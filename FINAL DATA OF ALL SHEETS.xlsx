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6.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C:\Users\Admin\Desktop\"/>
    </mc:Choice>
  </mc:AlternateContent>
  <xr:revisionPtr revIDLastSave="0" documentId="13_ncr:1_{EE85CC93-2B6C-44F7-8306-5ECA2BC20BCF}" xr6:coauthVersionLast="47" xr6:coauthVersionMax="47" xr10:uidLastSave="{00000000-0000-0000-0000-000000000000}"/>
  <bookViews>
    <workbookView xWindow="-120" yWindow="-120" windowWidth="20730" windowHeight="11160" firstSheet="3" activeTab="3" xr2:uid="{00000000-000D-0000-FFFF-FFFF00000000}"/>
  </bookViews>
  <sheets>
    <sheet name="dataset 1" sheetId="12" r:id="rId1"/>
    <sheet name="dataset 2" sheetId="13" r:id="rId2"/>
    <sheet name="dataset 1 or 2 merge" sheetId="14" r:id="rId3"/>
    <sheet name="final merge data" sheetId="1" r:id="rId4"/>
    <sheet name="SEASON CHART BAR" sheetId="6" r:id="rId5"/>
    <sheet name="Hourly Trend (Line Chart)" sheetId="2" r:id="rId6"/>
    <sheet name="WEATHER IMPECT PIE CHART" sheetId="3" r:id="rId7"/>
    <sheet name="WEEKDAY BY WEEKEND COLOUMN CHAT" sheetId="4" r:id="rId8"/>
    <sheet name="TYPE OF MONTH BY CSTACKED CHARD" sheetId="5" r:id="rId9"/>
    <sheet name="tem bar chart" sheetId="10" r:id="rId10"/>
    <sheet name="CORRELATION CHART" sheetId="7" r:id="rId11"/>
    <sheet name="dasboard" sheetId="8" r:id="rId12"/>
  </sheets>
  <definedNames>
    <definedName name="Slicer_mnth">#N/A</definedName>
    <definedName name="Slicer_season">#N/A</definedName>
    <definedName name="Slicer_weathersit_2">#N/A</definedName>
    <definedName name="Slicer_weekday_2">#N/A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4" l="1"/>
  <c r="R3" i="14"/>
  <c r="R4" i="14"/>
  <c r="R5" i="14"/>
  <c r="R6" i="14"/>
  <c r="R7" i="14"/>
  <c r="R8" i="14"/>
  <c r="R9" i="14"/>
  <c r="R10" i="14"/>
  <c r="R11" i="14"/>
  <c r="R12" i="14"/>
  <c r="R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R50" i="14"/>
  <c r="R51" i="14"/>
  <c r="R52" i="14"/>
  <c r="R53" i="14"/>
  <c r="R54" i="14"/>
  <c r="R55" i="14"/>
  <c r="R56" i="14"/>
  <c r="R57" i="14"/>
  <c r="R58" i="14"/>
  <c r="R59" i="14"/>
  <c r="R60" i="14"/>
  <c r="R61" i="14"/>
  <c r="R62" i="14"/>
  <c r="R63" i="14"/>
  <c r="R64" i="14"/>
  <c r="R65" i="14"/>
  <c r="R66" i="14"/>
  <c r="R67" i="14"/>
  <c r="R68" i="14"/>
  <c r="R69" i="14"/>
  <c r="R70" i="14"/>
  <c r="R71" i="14"/>
  <c r="R72" i="14"/>
  <c r="R73" i="14"/>
  <c r="R74" i="14"/>
  <c r="R75" i="14"/>
  <c r="R76" i="14"/>
  <c r="R77" i="14"/>
  <c r="R78" i="14"/>
  <c r="R79" i="14"/>
  <c r="R80" i="14"/>
  <c r="R81" i="14"/>
  <c r="R82" i="14"/>
  <c r="R83" i="14"/>
  <c r="R84" i="14"/>
  <c r="R85" i="14"/>
  <c r="R86" i="14"/>
  <c r="R87" i="14"/>
  <c r="R88" i="14"/>
  <c r="R89" i="14"/>
  <c r="R90" i="14"/>
  <c r="R91" i="14"/>
  <c r="R92" i="14"/>
  <c r="R93" i="14"/>
  <c r="R94" i="14"/>
  <c r="R95" i="14"/>
  <c r="R96" i="14"/>
  <c r="R97" i="14"/>
  <c r="R98" i="14"/>
  <c r="R99" i="14"/>
  <c r="R100" i="14"/>
  <c r="R101" i="14"/>
  <c r="R102" i="14"/>
  <c r="R103" i="14"/>
  <c r="R104" i="14"/>
  <c r="R105" i="14"/>
  <c r="R106" i="14"/>
  <c r="R107" i="14"/>
  <c r="R108" i="14"/>
  <c r="R109" i="14"/>
  <c r="R110" i="14"/>
  <c r="R111" i="14"/>
  <c r="R112" i="14"/>
  <c r="R113" i="14"/>
  <c r="R114" i="14"/>
  <c r="R115" i="14"/>
  <c r="R116" i="14"/>
  <c r="R117" i="14"/>
  <c r="R118" i="14"/>
  <c r="R119" i="14"/>
  <c r="R120" i="14"/>
  <c r="R121" i="14"/>
  <c r="R122" i="14"/>
  <c r="R123" i="14"/>
  <c r="R124" i="14"/>
  <c r="R125" i="14"/>
  <c r="R126" i="14"/>
  <c r="R127" i="14"/>
  <c r="R128" i="14"/>
  <c r="R129" i="14"/>
  <c r="R130" i="14"/>
  <c r="R131" i="14"/>
  <c r="R132" i="14"/>
  <c r="R133" i="14"/>
  <c r="R134" i="14"/>
  <c r="R135" i="14"/>
  <c r="R136" i="14"/>
  <c r="R137" i="14"/>
  <c r="R138" i="14"/>
  <c r="R139" i="14"/>
  <c r="R140" i="14"/>
  <c r="R141" i="14"/>
  <c r="R142" i="14"/>
  <c r="R143" i="14"/>
  <c r="R144" i="14"/>
  <c r="R145" i="14"/>
  <c r="R146" i="14"/>
  <c r="R147" i="14"/>
  <c r="R148" i="14"/>
  <c r="R149" i="14"/>
  <c r="R150" i="14"/>
  <c r="R151" i="14"/>
  <c r="R152" i="14"/>
  <c r="R153" i="14"/>
  <c r="R154" i="14"/>
  <c r="R155" i="14"/>
  <c r="R156" i="14"/>
  <c r="R157" i="14"/>
  <c r="R158" i="14"/>
  <c r="R159" i="14"/>
  <c r="R160" i="14"/>
  <c r="R161" i="14"/>
  <c r="R162" i="14"/>
  <c r="R163" i="14"/>
  <c r="R164" i="14"/>
  <c r="R165" i="14"/>
  <c r="R166" i="14"/>
  <c r="R167" i="14"/>
  <c r="R168" i="14"/>
  <c r="R169" i="14"/>
  <c r="R170" i="14"/>
  <c r="R171" i="14"/>
  <c r="R172" i="14"/>
  <c r="R173" i="14"/>
  <c r="R174" i="14"/>
  <c r="R175" i="14"/>
  <c r="R176" i="14"/>
  <c r="R177" i="14"/>
  <c r="R178" i="14"/>
  <c r="R179" i="14"/>
  <c r="R180" i="14"/>
  <c r="R181" i="14"/>
  <c r="R182" i="14"/>
  <c r="R183" i="14"/>
  <c r="R184" i="14"/>
  <c r="R185" i="14"/>
  <c r="R186" i="14"/>
  <c r="R187" i="14"/>
  <c r="R188" i="14"/>
  <c r="R189" i="14"/>
  <c r="R190" i="14"/>
  <c r="R191" i="14"/>
  <c r="R192" i="14"/>
  <c r="R193" i="14"/>
  <c r="R194" i="14"/>
  <c r="R195" i="14"/>
  <c r="R196" i="14"/>
  <c r="R197" i="14"/>
  <c r="R198" i="14"/>
  <c r="R199" i="14"/>
  <c r="R200" i="14"/>
  <c r="R201" i="14"/>
  <c r="R202" i="14"/>
  <c r="R203" i="14"/>
  <c r="R204" i="14"/>
  <c r="R205" i="14"/>
  <c r="R206" i="14"/>
  <c r="R207" i="14"/>
  <c r="R208" i="14"/>
  <c r="R209" i="14"/>
  <c r="R210" i="14"/>
  <c r="R211" i="14"/>
  <c r="R212" i="14"/>
  <c r="R213" i="14"/>
  <c r="R214" i="14"/>
  <c r="R215" i="14"/>
  <c r="R216" i="14"/>
  <c r="R217" i="14"/>
  <c r="R218" i="14"/>
  <c r="R219" i="14"/>
  <c r="R220" i="14"/>
  <c r="R221" i="14"/>
  <c r="R222" i="14"/>
  <c r="R223" i="14"/>
  <c r="R224" i="14"/>
  <c r="R225" i="14"/>
  <c r="R226" i="14"/>
  <c r="R227" i="14"/>
  <c r="R228" i="14"/>
  <c r="R229" i="14"/>
  <c r="R230" i="14"/>
  <c r="R231" i="14"/>
  <c r="R232" i="14"/>
  <c r="R233" i="14"/>
  <c r="R234" i="14"/>
  <c r="R235" i="14"/>
  <c r="R236" i="14"/>
  <c r="R237" i="14"/>
  <c r="R238" i="14"/>
  <c r="R239" i="14"/>
  <c r="R240" i="14"/>
  <c r="R241" i="14"/>
  <c r="R242" i="14"/>
  <c r="R243" i="14"/>
  <c r="R244" i="14"/>
  <c r="R245" i="14"/>
  <c r="R246" i="14"/>
  <c r="R247" i="14"/>
  <c r="R248" i="14"/>
  <c r="R249" i="14"/>
  <c r="R250" i="14"/>
  <c r="R251" i="14"/>
  <c r="R252" i="14"/>
  <c r="R253" i="14"/>
  <c r="R254" i="14"/>
  <c r="R255" i="14"/>
  <c r="R256" i="14"/>
  <c r="R257" i="14"/>
  <c r="R258" i="14"/>
  <c r="R259" i="14"/>
  <c r="R260" i="14"/>
  <c r="R261" i="14"/>
  <c r="R262" i="14"/>
  <c r="R263" i="14"/>
  <c r="R264" i="14"/>
  <c r="R265" i="14"/>
  <c r="R266" i="14"/>
  <c r="R267" i="14"/>
  <c r="R268" i="14"/>
  <c r="R269" i="14"/>
  <c r="R270" i="14"/>
  <c r="R271" i="14"/>
  <c r="R272" i="14"/>
  <c r="R273" i="14"/>
  <c r="R274" i="14"/>
  <c r="R275" i="14"/>
  <c r="R276" i="14"/>
  <c r="R277" i="14"/>
  <c r="R278" i="14"/>
  <c r="R279" i="14"/>
  <c r="R280" i="14"/>
  <c r="R281" i="14"/>
  <c r="R282" i="14"/>
  <c r="R283" i="14"/>
  <c r="R284" i="14"/>
  <c r="R285" i="14"/>
  <c r="R286" i="14"/>
  <c r="R287" i="14"/>
  <c r="R288" i="14"/>
  <c r="R289" i="14"/>
  <c r="R290" i="14"/>
  <c r="R291" i="14"/>
  <c r="R292" i="14"/>
  <c r="R293" i="14"/>
  <c r="R294" i="14"/>
  <c r="R295" i="14"/>
  <c r="R296" i="14"/>
  <c r="R297" i="14"/>
  <c r="R298" i="14"/>
  <c r="R299" i="14"/>
  <c r="R300" i="14"/>
  <c r="R301" i="14"/>
  <c r="R302" i="14"/>
  <c r="R303" i="14"/>
  <c r="R304" i="14"/>
  <c r="R305" i="14"/>
  <c r="R306" i="14"/>
  <c r="R307" i="14"/>
  <c r="R308" i="14"/>
  <c r="R309" i="14"/>
  <c r="R310" i="14"/>
  <c r="R311" i="14"/>
  <c r="R312" i="14"/>
  <c r="R313" i="14"/>
  <c r="R314" i="14"/>
  <c r="R315" i="14"/>
  <c r="R316" i="14"/>
  <c r="R317" i="14"/>
  <c r="R318" i="14"/>
  <c r="R319" i="14"/>
  <c r="R320" i="14"/>
  <c r="R321" i="14"/>
  <c r="R322" i="14"/>
  <c r="R323" i="14"/>
  <c r="R324" i="14"/>
  <c r="R325" i="14"/>
  <c r="R326" i="14"/>
  <c r="R327" i="14"/>
  <c r="R328" i="14"/>
  <c r="R329" i="14"/>
  <c r="R330" i="14"/>
  <c r="R331" i="14"/>
  <c r="R332" i="14"/>
  <c r="R333" i="14"/>
  <c r="R334" i="14"/>
  <c r="R335" i="14"/>
  <c r="R336" i="14"/>
  <c r="R337" i="14"/>
  <c r="R338" i="14"/>
  <c r="R339" i="14"/>
  <c r="R340" i="14"/>
  <c r="R341" i="14"/>
  <c r="R342" i="14"/>
  <c r="R343" i="14"/>
  <c r="R344" i="14"/>
  <c r="R345" i="14"/>
  <c r="R346" i="14"/>
  <c r="R347" i="14"/>
  <c r="R348" i="14"/>
  <c r="R349" i="14"/>
  <c r="R350" i="14"/>
  <c r="R351" i="14"/>
  <c r="R352" i="14"/>
  <c r="R353" i="14"/>
  <c r="R354" i="14"/>
  <c r="R355" i="14"/>
  <c r="R356" i="14"/>
  <c r="R357" i="14"/>
  <c r="R358" i="14"/>
  <c r="R359" i="14"/>
  <c r="R360" i="14"/>
  <c r="R361" i="14"/>
  <c r="R362" i="14"/>
  <c r="R363" i="14"/>
  <c r="R364" i="14"/>
  <c r="R365" i="14"/>
  <c r="R366" i="14"/>
  <c r="R367" i="14"/>
  <c r="R368" i="14"/>
  <c r="R369" i="14"/>
  <c r="R370" i="14"/>
  <c r="R371" i="14"/>
  <c r="R372" i="14"/>
  <c r="R373" i="14"/>
  <c r="R374" i="14"/>
  <c r="R375" i="14"/>
  <c r="R376" i="14"/>
  <c r="R377" i="14"/>
  <c r="R378" i="14"/>
  <c r="R379" i="14"/>
  <c r="R380" i="14"/>
  <c r="R381" i="14"/>
  <c r="R382" i="14"/>
  <c r="R383" i="14"/>
  <c r="R384" i="14"/>
  <c r="R385" i="14"/>
  <c r="R386" i="14"/>
  <c r="R387" i="14"/>
  <c r="R388" i="14"/>
  <c r="R389" i="14"/>
  <c r="R390" i="14"/>
  <c r="R391" i="14"/>
  <c r="R392" i="14"/>
  <c r="R393" i="14"/>
  <c r="R394" i="14"/>
  <c r="R395" i="14"/>
  <c r="R396" i="14"/>
  <c r="R397" i="14"/>
  <c r="R398" i="14"/>
  <c r="R399" i="14"/>
  <c r="R400" i="14"/>
  <c r="R401" i="14"/>
  <c r="R402" i="14"/>
  <c r="R403" i="14"/>
  <c r="R404" i="14"/>
  <c r="R405" i="14"/>
  <c r="R406" i="14"/>
  <c r="R407" i="14"/>
  <c r="R408" i="14"/>
  <c r="R409" i="14"/>
  <c r="R410" i="14"/>
  <c r="R411" i="14"/>
  <c r="R412" i="14"/>
  <c r="R413" i="14"/>
  <c r="R414" i="14"/>
  <c r="R415" i="14"/>
  <c r="R416" i="14"/>
  <c r="R417" i="14"/>
  <c r="R418" i="14"/>
  <c r="R419" i="14"/>
  <c r="R420" i="14"/>
  <c r="R421" i="14"/>
  <c r="R422" i="14"/>
  <c r="R423" i="14"/>
  <c r="R424" i="14"/>
  <c r="R425" i="14"/>
  <c r="R426" i="14"/>
  <c r="R427" i="14"/>
  <c r="R428" i="14"/>
  <c r="R429" i="14"/>
  <c r="R430" i="14"/>
  <c r="R431" i="14"/>
  <c r="R432" i="14"/>
  <c r="R433" i="14"/>
  <c r="R434" i="14"/>
  <c r="R435" i="14"/>
  <c r="R436" i="14"/>
  <c r="R437" i="14"/>
  <c r="R438" i="14"/>
  <c r="R439" i="14"/>
  <c r="R440" i="14"/>
  <c r="R441" i="14"/>
  <c r="R442" i="14"/>
  <c r="R443" i="14"/>
  <c r="R444" i="14"/>
  <c r="R445" i="14"/>
  <c r="R446" i="14"/>
  <c r="R447" i="14"/>
  <c r="R448" i="14"/>
  <c r="R449" i="14"/>
  <c r="R450" i="14"/>
  <c r="R451" i="14"/>
  <c r="R452" i="14"/>
  <c r="R453" i="14"/>
  <c r="R454" i="14"/>
  <c r="R455" i="14"/>
  <c r="R456" i="14"/>
  <c r="R457" i="14"/>
  <c r="R458" i="14"/>
  <c r="R459" i="14"/>
  <c r="R460" i="14"/>
  <c r="R461" i="14"/>
  <c r="R462" i="14"/>
  <c r="R463" i="14"/>
  <c r="R464" i="14"/>
  <c r="R465" i="14"/>
  <c r="R466" i="14"/>
  <c r="R467" i="14"/>
  <c r="R468" i="14"/>
  <c r="R469" i="14"/>
  <c r="R470" i="14"/>
  <c r="R471" i="14"/>
  <c r="R472" i="14"/>
  <c r="R473" i="14"/>
  <c r="R474" i="14"/>
  <c r="R475" i="14"/>
  <c r="R476" i="14"/>
  <c r="R477" i="14"/>
  <c r="R478" i="14"/>
  <c r="R479" i="14"/>
  <c r="R480" i="14"/>
  <c r="R481" i="14"/>
  <c r="R482" i="14"/>
  <c r="R483" i="14"/>
  <c r="R484" i="14"/>
  <c r="R485" i="14"/>
  <c r="R486" i="14"/>
  <c r="R487" i="14"/>
  <c r="R488" i="14"/>
  <c r="R489" i="14"/>
  <c r="R490" i="14"/>
  <c r="R491" i="14"/>
  <c r="R492" i="14"/>
  <c r="R493" i="14"/>
  <c r="R494" i="14"/>
  <c r="R495" i="14"/>
  <c r="R496" i="14"/>
  <c r="R497" i="14"/>
  <c r="R498" i="14"/>
  <c r="R499" i="14"/>
  <c r="R500" i="14"/>
  <c r="R501" i="14"/>
  <c r="R502" i="14"/>
  <c r="R503" i="14"/>
  <c r="R504" i="14"/>
  <c r="R505" i="14"/>
  <c r="R506" i="14"/>
  <c r="R507" i="14"/>
  <c r="R508" i="14"/>
  <c r="R509" i="14"/>
  <c r="R510" i="14"/>
  <c r="R511" i="14"/>
  <c r="R512" i="14"/>
  <c r="R513" i="14"/>
  <c r="R514" i="14"/>
  <c r="R515" i="14"/>
  <c r="R516" i="14"/>
  <c r="R517" i="14"/>
  <c r="R518" i="14"/>
  <c r="R519" i="14"/>
  <c r="R520" i="14"/>
  <c r="R521" i="14"/>
  <c r="R522" i="14"/>
  <c r="R523" i="14"/>
  <c r="R524" i="14"/>
  <c r="R525" i="14"/>
  <c r="R526" i="14"/>
  <c r="R527" i="14"/>
  <c r="R528" i="14"/>
  <c r="R529" i="14"/>
  <c r="R530" i="14"/>
  <c r="R531" i="14"/>
  <c r="R532" i="14"/>
  <c r="R533" i="14"/>
  <c r="R534" i="14"/>
  <c r="R535" i="14"/>
  <c r="R536" i="14"/>
  <c r="R537" i="14"/>
  <c r="R538" i="14"/>
  <c r="R539" i="14"/>
  <c r="R540" i="14"/>
  <c r="R541" i="14"/>
  <c r="R542" i="14"/>
  <c r="R543" i="14"/>
  <c r="R544" i="14"/>
  <c r="R545" i="14"/>
  <c r="R546" i="14"/>
  <c r="R547" i="14"/>
  <c r="R548" i="14"/>
  <c r="R549" i="14"/>
  <c r="R550" i="14"/>
  <c r="R551" i="14"/>
  <c r="R552" i="14"/>
  <c r="R553" i="14"/>
  <c r="R554" i="14"/>
  <c r="R555" i="14"/>
  <c r="R556" i="14"/>
  <c r="R557" i="14"/>
  <c r="R558" i="14"/>
  <c r="R559" i="14"/>
  <c r="R560" i="14"/>
  <c r="R561" i="14"/>
  <c r="R562" i="14"/>
  <c r="R563" i="14"/>
  <c r="R564" i="14"/>
  <c r="R565" i="14"/>
  <c r="R566" i="14"/>
  <c r="R567" i="14"/>
  <c r="R568" i="14"/>
  <c r="R569" i="14"/>
  <c r="R570" i="14"/>
  <c r="R571" i="14"/>
  <c r="R572" i="14"/>
  <c r="R573" i="14"/>
  <c r="R574" i="14"/>
  <c r="R575" i="14"/>
  <c r="R576" i="14"/>
  <c r="R577" i="14"/>
  <c r="R578" i="14"/>
  <c r="R579" i="14"/>
  <c r="R580" i="14"/>
  <c r="R581" i="14"/>
  <c r="R582" i="14"/>
  <c r="R583" i="14"/>
  <c r="R584" i="14"/>
  <c r="R585" i="14"/>
  <c r="R586" i="14"/>
  <c r="R587" i="14"/>
  <c r="R588" i="14"/>
  <c r="R589" i="14"/>
  <c r="R590" i="14"/>
  <c r="R591" i="14"/>
  <c r="R592" i="14"/>
  <c r="R593" i="14"/>
  <c r="R594" i="14"/>
  <c r="R595" i="14"/>
  <c r="R596" i="14"/>
  <c r="R597" i="14"/>
  <c r="R598" i="14"/>
  <c r="R599" i="14"/>
  <c r="R600" i="14"/>
  <c r="R601" i="14"/>
  <c r="R602" i="14"/>
  <c r="R603" i="14"/>
  <c r="R604" i="14"/>
  <c r="R605" i="14"/>
  <c r="R606" i="14"/>
  <c r="R607" i="14"/>
  <c r="R608" i="14"/>
  <c r="R609" i="14"/>
  <c r="R610" i="14"/>
  <c r="R611" i="14"/>
  <c r="Q611" i="14"/>
  <c r="Q610" i="14"/>
  <c r="Q609" i="14"/>
  <c r="Q608" i="14"/>
  <c r="Q607" i="14"/>
  <c r="Q606" i="14"/>
  <c r="Q605" i="14"/>
  <c r="Q604" i="14"/>
  <c r="Q603" i="14"/>
  <c r="Q602" i="14"/>
  <c r="Q601" i="14"/>
  <c r="Q600" i="14"/>
  <c r="Q599" i="14"/>
  <c r="Q598" i="14"/>
  <c r="Q597" i="14"/>
  <c r="Q596" i="14"/>
  <c r="Q595" i="14"/>
  <c r="Q594" i="14"/>
  <c r="Q593" i="14"/>
  <c r="Q592" i="14"/>
  <c r="Q591" i="14"/>
  <c r="Q590" i="14"/>
  <c r="Q589" i="14"/>
  <c r="Q588" i="14"/>
  <c r="Q587" i="14"/>
  <c r="Q586" i="14"/>
  <c r="Q585" i="14"/>
  <c r="Q584" i="14"/>
  <c r="Q583" i="14"/>
  <c r="Q582" i="14"/>
  <c r="Q581" i="14"/>
  <c r="Q580" i="14"/>
  <c r="Q579" i="14"/>
  <c r="Q578" i="14"/>
  <c r="Q577" i="14"/>
  <c r="Q576" i="14"/>
  <c r="Q575" i="14"/>
  <c r="Q574" i="14"/>
  <c r="Q573" i="14"/>
  <c r="Q572" i="14"/>
  <c r="Q571" i="14"/>
  <c r="Q570" i="14"/>
  <c r="Q569" i="14"/>
  <c r="Q568" i="14"/>
  <c r="Q567" i="14"/>
  <c r="Q566" i="14"/>
  <c r="Q565" i="14"/>
  <c r="Q564" i="14"/>
  <c r="Q563" i="14"/>
  <c r="Q562" i="14"/>
  <c r="Q561" i="14"/>
  <c r="Q560" i="14"/>
  <c r="Q559" i="14"/>
  <c r="Q558" i="14"/>
  <c r="Q557" i="14"/>
  <c r="Q556" i="14"/>
  <c r="Q555" i="14"/>
  <c r="Q554" i="14"/>
  <c r="Q553" i="14"/>
  <c r="Q552" i="14"/>
  <c r="Q551" i="14"/>
  <c r="Q550" i="14"/>
  <c r="Q549" i="14"/>
  <c r="Q548" i="14"/>
  <c r="Q547" i="14"/>
  <c r="Q546" i="14"/>
  <c r="Q545" i="14"/>
  <c r="Q544" i="14"/>
  <c r="Q543" i="14"/>
  <c r="Q542" i="14"/>
  <c r="Q541" i="14"/>
  <c r="Q540" i="14"/>
  <c r="Q539" i="14"/>
  <c r="Q538" i="14"/>
  <c r="Q537" i="14"/>
  <c r="Q536" i="14"/>
  <c r="Q535" i="14"/>
  <c r="Q534" i="14"/>
  <c r="Q533" i="14"/>
  <c r="Q532" i="14"/>
  <c r="Q531" i="14"/>
  <c r="Q530" i="14"/>
  <c r="Q529" i="14"/>
  <c r="Q528" i="14"/>
  <c r="Q527" i="14"/>
  <c r="Q526" i="14"/>
  <c r="Q525" i="14"/>
  <c r="Q524" i="14"/>
  <c r="Q523" i="14"/>
  <c r="Q522" i="14"/>
  <c r="Q521" i="14"/>
  <c r="Q520" i="14"/>
  <c r="Q519" i="14"/>
  <c r="Q518" i="14"/>
  <c r="Q517" i="14"/>
  <c r="Q516" i="14"/>
  <c r="Q515" i="14"/>
  <c r="Q514" i="14"/>
  <c r="Q513" i="14"/>
  <c r="Q512" i="14"/>
  <c r="Q511" i="14"/>
  <c r="Q510" i="14"/>
  <c r="Q509" i="14"/>
  <c r="Q508" i="14"/>
  <c r="Q507" i="14"/>
  <c r="Q506" i="14"/>
  <c r="Q505" i="14"/>
  <c r="Q504" i="14"/>
  <c r="Q503" i="14"/>
  <c r="Q502" i="14"/>
  <c r="Q501" i="14"/>
  <c r="Q500" i="14"/>
  <c r="Q499" i="14"/>
  <c r="Q498" i="14"/>
  <c r="Q497" i="14"/>
  <c r="Q496" i="14"/>
  <c r="Q495" i="14"/>
  <c r="Q494" i="14"/>
  <c r="Q493" i="14"/>
  <c r="Q492" i="14"/>
  <c r="Q491" i="14"/>
  <c r="Q490" i="14"/>
  <c r="Q489" i="14"/>
  <c r="Q488" i="14"/>
  <c r="Q487" i="14"/>
  <c r="Q486" i="14"/>
  <c r="Q485" i="14"/>
  <c r="Q484" i="14"/>
  <c r="Q483" i="14"/>
  <c r="Q482" i="14"/>
  <c r="Q481" i="14"/>
  <c r="Q480" i="14"/>
  <c r="Q479" i="14"/>
  <c r="Q478" i="14"/>
  <c r="Q477" i="14"/>
  <c r="Q476" i="14"/>
  <c r="Q475" i="14"/>
  <c r="Q474" i="14"/>
  <c r="Q473" i="14"/>
  <c r="Q472" i="14"/>
  <c r="Q471" i="14"/>
  <c r="Q470" i="14"/>
  <c r="Q469" i="14"/>
  <c r="Q468" i="14"/>
  <c r="Q467" i="14"/>
  <c r="Q466" i="14"/>
  <c r="Q465" i="14"/>
  <c r="Q464" i="14"/>
  <c r="Q463" i="14"/>
  <c r="Q462" i="14"/>
  <c r="Q461" i="14"/>
  <c r="Q460" i="14"/>
  <c r="Q459" i="14"/>
  <c r="Q458" i="14"/>
  <c r="Q457" i="14"/>
  <c r="Q456" i="14"/>
  <c r="Q455" i="14"/>
  <c r="Q454" i="14"/>
  <c r="Q453" i="14"/>
  <c r="Q452" i="14"/>
  <c r="Q451" i="14"/>
  <c r="Q450" i="14"/>
  <c r="Q449" i="14"/>
  <c r="Q448" i="14"/>
  <c r="Q447" i="14"/>
  <c r="Q446" i="14"/>
  <c r="Q445" i="14"/>
  <c r="Q444" i="14"/>
  <c r="Q443" i="14"/>
  <c r="Q442" i="14"/>
  <c r="Q441" i="14"/>
  <c r="Q440" i="14"/>
  <c r="Q439" i="14"/>
  <c r="Q438" i="14"/>
  <c r="Q437" i="14"/>
  <c r="Q436" i="14"/>
  <c r="Q435" i="14"/>
  <c r="Q434" i="14"/>
  <c r="Q433" i="14"/>
  <c r="Q432" i="14"/>
  <c r="Q431" i="14"/>
  <c r="Q430" i="14"/>
  <c r="Q429" i="14"/>
  <c r="Q428" i="14"/>
  <c r="Q427" i="14"/>
  <c r="Q426" i="14"/>
  <c r="Q425" i="14"/>
  <c r="Q424" i="14"/>
  <c r="Q423" i="14"/>
  <c r="Q422" i="14"/>
  <c r="Q421" i="14"/>
  <c r="Q420" i="14"/>
  <c r="Q419" i="14"/>
  <c r="Q418" i="14"/>
  <c r="Q417" i="14"/>
  <c r="Q416" i="14"/>
  <c r="Q415" i="14"/>
  <c r="Q414" i="14"/>
  <c r="Q413" i="14"/>
  <c r="Q412" i="14"/>
  <c r="Q411" i="14"/>
  <c r="Q410" i="14"/>
  <c r="Q409" i="14"/>
  <c r="Q408" i="14"/>
  <c r="Q407" i="14"/>
  <c r="Q406" i="14"/>
  <c r="Q405" i="14"/>
  <c r="Q404" i="14"/>
  <c r="Q403" i="14"/>
  <c r="Q402" i="14"/>
  <c r="Q401" i="14"/>
  <c r="Q400" i="14"/>
  <c r="Q399" i="14"/>
  <c r="Q398" i="14"/>
  <c r="Q397" i="14"/>
  <c r="Q396" i="14"/>
  <c r="Q395" i="14"/>
  <c r="Q394" i="14"/>
  <c r="Q393" i="14"/>
  <c r="Q392" i="14"/>
  <c r="Q391" i="14"/>
  <c r="Q390" i="14"/>
  <c r="Q389" i="14"/>
  <c r="Q388" i="14"/>
  <c r="Q387" i="14"/>
  <c r="Q386" i="14"/>
  <c r="Q385" i="14"/>
  <c r="Q384" i="14"/>
  <c r="Q383" i="14"/>
  <c r="Q382" i="14"/>
  <c r="Q381" i="14"/>
  <c r="Q380" i="14"/>
  <c r="Q379" i="14"/>
  <c r="Q378" i="14"/>
  <c r="Q377" i="14"/>
  <c r="Q376" i="14"/>
  <c r="Q375" i="14"/>
  <c r="Q374" i="14"/>
  <c r="Q373" i="14"/>
  <c r="Q372" i="14"/>
  <c r="Q371" i="14"/>
  <c r="Q370" i="14"/>
  <c r="Q369" i="14"/>
  <c r="Q368" i="14"/>
  <c r="Q367" i="14"/>
  <c r="Q366" i="14"/>
  <c r="Q365" i="14"/>
  <c r="Q364" i="14"/>
  <c r="Q363" i="14"/>
  <c r="Q362" i="14"/>
  <c r="Q361" i="14"/>
  <c r="Q360" i="14"/>
  <c r="Q359" i="14"/>
  <c r="Q358" i="14"/>
  <c r="Q357" i="14"/>
  <c r="Q356" i="14"/>
  <c r="Q355" i="14"/>
  <c r="Q354" i="14"/>
  <c r="Q353" i="14"/>
  <c r="Q352" i="14"/>
  <c r="Q351" i="14"/>
  <c r="Q350" i="14"/>
  <c r="Q349" i="14"/>
  <c r="Q348" i="14"/>
  <c r="Q347" i="14"/>
  <c r="Q346" i="14"/>
  <c r="Q345" i="14"/>
  <c r="Q344" i="14"/>
  <c r="Q343" i="14"/>
  <c r="Q342" i="14"/>
  <c r="Q341" i="14"/>
  <c r="Q340" i="14"/>
  <c r="Q339" i="14"/>
  <c r="Q338" i="14"/>
  <c r="Q337" i="14"/>
  <c r="Q336" i="14"/>
  <c r="Q335" i="14"/>
  <c r="Q334" i="14"/>
  <c r="Q333" i="14"/>
  <c r="Q332" i="14"/>
  <c r="Q331" i="14"/>
  <c r="Q330" i="14"/>
  <c r="Q329" i="14"/>
  <c r="Q328" i="14"/>
  <c r="Q327" i="14"/>
  <c r="Q326" i="14"/>
  <c r="Q325" i="14"/>
  <c r="Q324" i="14"/>
  <c r="Q323" i="14"/>
  <c r="Q322" i="14"/>
  <c r="Q321" i="14"/>
  <c r="Q320" i="14"/>
  <c r="Q319" i="14"/>
  <c r="Q318" i="14"/>
  <c r="Q317" i="14"/>
  <c r="Q316" i="14"/>
  <c r="Q315" i="14"/>
  <c r="Q314" i="14"/>
  <c r="Q313" i="14"/>
  <c r="Q312" i="14"/>
  <c r="Q311" i="14"/>
  <c r="Q310" i="14"/>
  <c r="Q309" i="14"/>
  <c r="Q308" i="14"/>
  <c r="Q307" i="14"/>
  <c r="Q306" i="14"/>
  <c r="Q305" i="14"/>
  <c r="Q304" i="14"/>
  <c r="Q303" i="14"/>
  <c r="Q302" i="14"/>
  <c r="Q301" i="14"/>
  <c r="Q300" i="14"/>
  <c r="Q299" i="14"/>
  <c r="Q298" i="14"/>
  <c r="Q297" i="14"/>
  <c r="Q296" i="14"/>
  <c r="Q295" i="14"/>
  <c r="Q294" i="14"/>
  <c r="Q293" i="14"/>
  <c r="Q292" i="14"/>
  <c r="Q291" i="14"/>
  <c r="Q290" i="14"/>
  <c r="Q289" i="14"/>
  <c r="Q288" i="14"/>
  <c r="Q287" i="14"/>
  <c r="Q286" i="14"/>
  <c r="Q285" i="14"/>
  <c r="Q284" i="14"/>
  <c r="Q283" i="14"/>
  <c r="Q282" i="14"/>
  <c r="Q281" i="14"/>
  <c r="Q280" i="14"/>
  <c r="Q279" i="14"/>
  <c r="Q278" i="14"/>
  <c r="Q277" i="14"/>
  <c r="Q276" i="14"/>
  <c r="Q275" i="14"/>
  <c r="Q274" i="14"/>
  <c r="Q273" i="14"/>
  <c r="Q272" i="14"/>
  <c r="Q271" i="14"/>
  <c r="Q270" i="14"/>
  <c r="Q269" i="14"/>
  <c r="Q268" i="14"/>
  <c r="Q267" i="14"/>
  <c r="Q266" i="14"/>
  <c r="Q265" i="14"/>
  <c r="Q264" i="14"/>
  <c r="Q263" i="14"/>
  <c r="Q262" i="14"/>
  <c r="Q261" i="14"/>
  <c r="Q260" i="14"/>
  <c r="Q259" i="14"/>
  <c r="Q258" i="14"/>
  <c r="Q257" i="14"/>
  <c r="Q256" i="14"/>
  <c r="Q255" i="14"/>
  <c r="Q254" i="14"/>
  <c r="Q253" i="14"/>
  <c r="Q252" i="14"/>
  <c r="Q251" i="14"/>
  <c r="Q250" i="14"/>
  <c r="Q249" i="14"/>
  <c r="Q248" i="14"/>
  <c r="Q247" i="14"/>
  <c r="Q246" i="14"/>
  <c r="Q245" i="14"/>
  <c r="Q244" i="14"/>
  <c r="Q243" i="14"/>
  <c r="Q242" i="14"/>
  <c r="Q241" i="14"/>
  <c r="Q240" i="14"/>
  <c r="Q239" i="14"/>
  <c r="Q238" i="14"/>
  <c r="Q237" i="14"/>
  <c r="Q236" i="14"/>
  <c r="Q235" i="14"/>
  <c r="Q234" i="14"/>
  <c r="Q233" i="14"/>
  <c r="Q232" i="14"/>
  <c r="Q231" i="14"/>
  <c r="Q230" i="14"/>
  <c r="Q229" i="14"/>
  <c r="Q228" i="14"/>
  <c r="Q227" i="14"/>
  <c r="Q226" i="14"/>
  <c r="Q225" i="14"/>
  <c r="Q224" i="14"/>
  <c r="Q223" i="14"/>
  <c r="Q222" i="14"/>
  <c r="Q221" i="14"/>
  <c r="Q220" i="14"/>
  <c r="Q219" i="14"/>
  <c r="Q218" i="14"/>
  <c r="Q217" i="14"/>
  <c r="Q216" i="14"/>
  <c r="Q215" i="14"/>
  <c r="Q214" i="14"/>
  <c r="Q213" i="14"/>
  <c r="Q212" i="14"/>
  <c r="Q211" i="14"/>
  <c r="Q210" i="14"/>
  <c r="Q209" i="14"/>
  <c r="Q208" i="14"/>
  <c r="Q207" i="14"/>
  <c r="Q206" i="14"/>
  <c r="Q205" i="14"/>
  <c r="Q204" i="14"/>
  <c r="Q203" i="14"/>
  <c r="Q202" i="14"/>
  <c r="Q201" i="14"/>
  <c r="Q200" i="14"/>
  <c r="Q199" i="14"/>
  <c r="Q198" i="14"/>
  <c r="Q197" i="14"/>
  <c r="Q196" i="14"/>
  <c r="Q195" i="14"/>
  <c r="Q194" i="14"/>
  <c r="Q193" i="14"/>
  <c r="Q192" i="14"/>
  <c r="Q191" i="14"/>
  <c r="Q190" i="14"/>
  <c r="Q189" i="14"/>
  <c r="Q188" i="14"/>
  <c r="Q187" i="14"/>
  <c r="Q186" i="14"/>
  <c r="Q185" i="14"/>
  <c r="Q184" i="14"/>
  <c r="Q183" i="14"/>
  <c r="Q182" i="14"/>
  <c r="Q181" i="14"/>
  <c r="Q180" i="14"/>
  <c r="Q179" i="14"/>
  <c r="Q178" i="14"/>
  <c r="Q177" i="14"/>
  <c r="Q176" i="14"/>
  <c r="Q175" i="14"/>
  <c r="Q174" i="14"/>
  <c r="Q173" i="14"/>
  <c r="Q172" i="14"/>
  <c r="Q171" i="14"/>
  <c r="Q170" i="14"/>
  <c r="Q169" i="14"/>
  <c r="Q168" i="14"/>
  <c r="Q167" i="14"/>
  <c r="Q166" i="14"/>
  <c r="Q165" i="14"/>
  <c r="Q164" i="14"/>
  <c r="Q163" i="14"/>
  <c r="Q162" i="14"/>
  <c r="Q161" i="14"/>
  <c r="Q160" i="14"/>
  <c r="Q159" i="14"/>
  <c r="Q158" i="14"/>
  <c r="Q157" i="14"/>
  <c r="Q156" i="14"/>
  <c r="Q155" i="14"/>
  <c r="Q154" i="14"/>
  <c r="Q153" i="14"/>
  <c r="Q152" i="14"/>
  <c r="Q151" i="14"/>
  <c r="Q150" i="14"/>
  <c r="Q149" i="14"/>
  <c r="Q148" i="14"/>
  <c r="Q147" i="14"/>
  <c r="Q146" i="14"/>
  <c r="Q145" i="14"/>
  <c r="Q144" i="14"/>
  <c r="Q143" i="14"/>
  <c r="Q142" i="14"/>
  <c r="Q141" i="14"/>
  <c r="Q140" i="14"/>
  <c r="Q139" i="14"/>
  <c r="Q138" i="14"/>
  <c r="Q137" i="14"/>
  <c r="Q136" i="14"/>
  <c r="Q135" i="14"/>
  <c r="Q134" i="14"/>
  <c r="Q133" i="14"/>
  <c r="Q132" i="14"/>
  <c r="Q131" i="14"/>
  <c r="Q130" i="14"/>
  <c r="Q129" i="14"/>
  <c r="Q128" i="14"/>
  <c r="Q127" i="14"/>
  <c r="Q126" i="14"/>
  <c r="Q125" i="14"/>
  <c r="Q124" i="14"/>
  <c r="Q123" i="14"/>
  <c r="Q122" i="14"/>
  <c r="Q121" i="14"/>
  <c r="Q120" i="14"/>
  <c r="Q119" i="14"/>
  <c r="Q118" i="14"/>
  <c r="Q117" i="14"/>
  <c r="Q116" i="14"/>
  <c r="Q115" i="14"/>
  <c r="Q114" i="14"/>
  <c r="Q113" i="14"/>
  <c r="Q112" i="14"/>
  <c r="Q111" i="14"/>
  <c r="Q110" i="14"/>
  <c r="Q109" i="14"/>
  <c r="Q108" i="14"/>
  <c r="Q107" i="14"/>
  <c r="Q106" i="14"/>
  <c r="Q105" i="14"/>
  <c r="Q104" i="14"/>
  <c r="Q103" i="14"/>
  <c r="Q102" i="14"/>
  <c r="Q101" i="14"/>
  <c r="Q100" i="14"/>
  <c r="Q99" i="14"/>
  <c r="Q98" i="14"/>
  <c r="Q97" i="14"/>
  <c r="Q96" i="14"/>
  <c r="Q95" i="14"/>
  <c r="Q94" i="14"/>
  <c r="Q93" i="14"/>
  <c r="Q92" i="14"/>
  <c r="Q91" i="14"/>
  <c r="Q90" i="14"/>
  <c r="Q89" i="14"/>
  <c r="Q88" i="14"/>
  <c r="Q87" i="14"/>
  <c r="Q86" i="14"/>
  <c r="Q85" i="14"/>
  <c r="Q84" i="14"/>
  <c r="Q83" i="14"/>
  <c r="Q82" i="14"/>
  <c r="Q81" i="14"/>
  <c r="Q80" i="14"/>
  <c r="Q79" i="14"/>
  <c r="Q78" i="14"/>
  <c r="Q77" i="14"/>
  <c r="Q76" i="14"/>
  <c r="Q75" i="14"/>
  <c r="Q74" i="14"/>
  <c r="Q73" i="14"/>
  <c r="Q72" i="14"/>
  <c r="Q71" i="14"/>
  <c r="Q70" i="14"/>
  <c r="Q69" i="14"/>
  <c r="Q68" i="14"/>
  <c r="Q67" i="14"/>
  <c r="Q66" i="14"/>
  <c r="Q65" i="14"/>
  <c r="Q64" i="14"/>
  <c r="Q63" i="14"/>
  <c r="Q62" i="14"/>
  <c r="Q61" i="14"/>
  <c r="Q60" i="14"/>
  <c r="Q59" i="14"/>
  <c r="Q58" i="14"/>
  <c r="Q57" i="14"/>
  <c r="Q56" i="14"/>
  <c r="Q55" i="14"/>
  <c r="Q54" i="14"/>
  <c r="Q53" i="14"/>
  <c r="Q52" i="14"/>
  <c r="Q51" i="14"/>
  <c r="Q50" i="14"/>
  <c r="Q49" i="14"/>
  <c r="Q48" i="14"/>
  <c r="Q47" i="14"/>
  <c r="Q46" i="14"/>
  <c r="Q45" i="14"/>
  <c r="Q44" i="14"/>
  <c r="Q43" i="14"/>
  <c r="Q42" i="14"/>
  <c r="Q41" i="14"/>
  <c r="Q40" i="14"/>
  <c r="Q39" i="14"/>
  <c r="Q38" i="14"/>
  <c r="Q37" i="14"/>
  <c r="Q36" i="14"/>
  <c r="Q35" i="14"/>
  <c r="Q34" i="14"/>
  <c r="Q33" i="14"/>
  <c r="Q32" i="14"/>
  <c r="Q31" i="14"/>
  <c r="Q30" i="14"/>
  <c r="Q29" i="14"/>
  <c r="Q28" i="14"/>
  <c r="Q27" i="14"/>
  <c r="Q26" i="14"/>
  <c r="Q25" i="14"/>
  <c r="Q24" i="14"/>
  <c r="Q23" i="14"/>
  <c r="Q22" i="14"/>
  <c r="Q21" i="14"/>
  <c r="Q20" i="14"/>
  <c r="Q19" i="14"/>
  <c r="Q18" i="14"/>
  <c r="Q17" i="14"/>
  <c r="Q16" i="14"/>
  <c r="Q15" i="14"/>
  <c r="Q14" i="14"/>
  <c r="Q13" i="14"/>
  <c r="Q12" i="14"/>
  <c r="Q11" i="14"/>
  <c r="Q10" i="14"/>
  <c r="Q9" i="14"/>
  <c r="Q8" i="14"/>
  <c r="Q7" i="14"/>
  <c r="Q6" i="14"/>
  <c r="Q5" i="14"/>
  <c r="Q4" i="14"/>
  <c r="Q3" i="14"/>
  <c r="Q2" i="14"/>
  <c r="L611" i="12" l="1"/>
  <c r="K611" i="12"/>
  <c r="L610" i="12"/>
  <c r="K610" i="12"/>
  <c r="L609" i="12"/>
  <c r="K609" i="12"/>
  <c r="L608" i="12"/>
  <c r="K608" i="12"/>
  <c r="L607" i="12"/>
  <c r="K607" i="12"/>
  <c r="L606" i="12"/>
  <c r="K606" i="12"/>
  <c r="L605" i="12"/>
  <c r="K605" i="12"/>
  <c r="L604" i="12"/>
  <c r="K604" i="12"/>
  <c r="L603" i="12"/>
  <c r="K603" i="12"/>
  <c r="L602" i="12"/>
  <c r="K602" i="12"/>
  <c r="L601" i="12"/>
  <c r="K601" i="12"/>
  <c r="L600" i="12"/>
  <c r="K600" i="12"/>
  <c r="L599" i="12"/>
  <c r="K599" i="12"/>
  <c r="L598" i="12"/>
  <c r="K598" i="12"/>
  <c r="L597" i="12"/>
  <c r="K597" i="12"/>
  <c r="L596" i="12"/>
  <c r="K596" i="12"/>
  <c r="L595" i="12"/>
  <c r="K595" i="12"/>
  <c r="L594" i="12"/>
  <c r="K594" i="12"/>
  <c r="L593" i="12"/>
  <c r="K593" i="12"/>
  <c r="L592" i="12"/>
  <c r="K592" i="12"/>
  <c r="L591" i="12"/>
  <c r="K591" i="12"/>
  <c r="L590" i="12"/>
  <c r="K590" i="12"/>
  <c r="L589" i="12"/>
  <c r="K589" i="12"/>
  <c r="L588" i="12"/>
  <c r="K588" i="12"/>
  <c r="L587" i="12"/>
  <c r="K587" i="12"/>
  <c r="L586" i="12"/>
  <c r="K586" i="12"/>
  <c r="L585" i="12"/>
  <c r="K585" i="12"/>
  <c r="L584" i="12"/>
  <c r="K584" i="12"/>
  <c r="L583" i="12"/>
  <c r="K583" i="12"/>
  <c r="L582" i="12"/>
  <c r="K582" i="12"/>
  <c r="L581" i="12"/>
  <c r="K581" i="12"/>
  <c r="L580" i="12"/>
  <c r="K580" i="12"/>
  <c r="L579" i="12"/>
  <c r="K579" i="12"/>
  <c r="L578" i="12"/>
  <c r="K578" i="12"/>
  <c r="L577" i="12"/>
  <c r="K577" i="12"/>
  <c r="L576" i="12"/>
  <c r="K576" i="12"/>
  <c r="L575" i="12"/>
  <c r="K575" i="12"/>
  <c r="L574" i="12"/>
  <c r="K574" i="12"/>
  <c r="L573" i="12"/>
  <c r="K573" i="12"/>
  <c r="L572" i="12"/>
  <c r="K572" i="12"/>
  <c r="L571" i="12"/>
  <c r="K571" i="12"/>
  <c r="L570" i="12"/>
  <c r="K570" i="12"/>
  <c r="L569" i="12"/>
  <c r="K569" i="12"/>
  <c r="L568" i="12"/>
  <c r="K568" i="12"/>
  <c r="L567" i="12"/>
  <c r="K567" i="12"/>
  <c r="L566" i="12"/>
  <c r="K566" i="12"/>
  <c r="L565" i="12"/>
  <c r="K565" i="12"/>
  <c r="L564" i="12"/>
  <c r="K564" i="12"/>
  <c r="L563" i="12"/>
  <c r="K563" i="12"/>
  <c r="L562" i="12"/>
  <c r="K562" i="12"/>
  <c r="L561" i="12"/>
  <c r="K561" i="12"/>
  <c r="L560" i="12"/>
  <c r="K560" i="12"/>
  <c r="L559" i="12"/>
  <c r="K559" i="12"/>
  <c r="L558" i="12"/>
  <c r="K558" i="12"/>
  <c r="L557" i="12"/>
  <c r="K557" i="12"/>
  <c r="L556" i="12"/>
  <c r="K556" i="12"/>
  <c r="L555" i="12"/>
  <c r="K555" i="12"/>
  <c r="L554" i="12"/>
  <c r="K554" i="12"/>
  <c r="L553" i="12"/>
  <c r="K553" i="12"/>
  <c r="L552" i="12"/>
  <c r="K552" i="12"/>
  <c r="L551" i="12"/>
  <c r="K551" i="12"/>
  <c r="L550" i="12"/>
  <c r="K550" i="12"/>
  <c r="L549" i="12"/>
  <c r="K549" i="12"/>
  <c r="L548" i="12"/>
  <c r="K548" i="12"/>
  <c r="L547" i="12"/>
  <c r="K547" i="12"/>
  <c r="L546" i="12"/>
  <c r="K546" i="12"/>
  <c r="L545" i="12"/>
  <c r="K545" i="12"/>
  <c r="L544" i="12"/>
  <c r="K544" i="12"/>
  <c r="L543" i="12"/>
  <c r="K543" i="12"/>
  <c r="L542" i="12"/>
  <c r="K542" i="12"/>
  <c r="L541" i="12"/>
  <c r="K541" i="12"/>
  <c r="L540" i="12"/>
  <c r="K540" i="12"/>
  <c r="L539" i="12"/>
  <c r="K539" i="12"/>
  <c r="L538" i="12"/>
  <c r="K538" i="12"/>
  <c r="L537" i="12"/>
  <c r="K537" i="12"/>
  <c r="L536" i="12"/>
  <c r="K536" i="12"/>
  <c r="L535" i="12"/>
  <c r="K535" i="12"/>
  <c r="L534" i="12"/>
  <c r="K534" i="12"/>
  <c r="L533" i="12"/>
  <c r="K533" i="12"/>
  <c r="L532" i="12"/>
  <c r="K532" i="12"/>
  <c r="L531" i="12"/>
  <c r="K531" i="12"/>
  <c r="L530" i="12"/>
  <c r="K530" i="12"/>
  <c r="L529" i="12"/>
  <c r="K529" i="12"/>
  <c r="L528" i="12"/>
  <c r="K528" i="12"/>
  <c r="L527" i="12"/>
  <c r="K527" i="12"/>
  <c r="L526" i="12"/>
  <c r="K526" i="12"/>
  <c r="L525" i="12"/>
  <c r="K525" i="12"/>
  <c r="L524" i="12"/>
  <c r="K524" i="12"/>
  <c r="L523" i="12"/>
  <c r="K523" i="12"/>
  <c r="L522" i="12"/>
  <c r="K522" i="12"/>
  <c r="L521" i="12"/>
  <c r="K521" i="12"/>
  <c r="L520" i="12"/>
  <c r="K520" i="12"/>
  <c r="L519" i="12"/>
  <c r="K519" i="12"/>
  <c r="L518" i="12"/>
  <c r="K518" i="12"/>
  <c r="L517" i="12"/>
  <c r="K517" i="12"/>
  <c r="L516" i="12"/>
  <c r="K516" i="12"/>
  <c r="L515" i="12"/>
  <c r="K515" i="12"/>
  <c r="L514" i="12"/>
  <c r="K514" i="12"/>
  <c r="L513" i="12"/>
  <c r="K513" i="12"/>
  <c r="L512" i="12"/>
  <c r="K512" i="12"/>
  <c r="L511" i="12"/>
  <c r="K511" i="12"/>
  <c r="L510" i="12"/>
  <c r="K510" i="12"/>
  <c r="L509" i="12"/>
  <c r="K509" i="12"/>
  <c r="L508" i="12"/>
  <c r="K508" i="12"/>
  <c r="L507" i="12"/>
  <c r="K507" i="12"/>
  <c r="L506" i="12"/>
  <c r="K506" i="12"/>
  <c r="L505" i="12"/>
  <c r="K505" i="12"/>
  <c r="L504" i="12"/>
  <c r="K504" i="12"/>
  <c r="L503" i="12"/>
  <c r="K503" i="12"/>
  <c r="L502" i="12"/>
  <c r="K502" i="12"/>
  <c r="L501" i="12"/>
  <c r="K501" i="12"/>
  <c r="L500" i="12"/>
  <c r="K500" i="12"/>
  <c r="L499" i="12"/>
  <c r="K499" i="12"/>
  <c r="L498" i="12"/>
  <c r="K498" i="12"/>
  <c r="L497" i="12"/>
  <c r="K497" i="12"/>
  <c r="L496" i="12"/>
  <c r="K496" i="12"/>
  <c r="L495" i="12"/>
  <c r="K495" i="12"/>
  <c r="L494" i="12"/>
  <c r="K494" i="12"/>
  <c r="L493" i="12"/>
  <c r="K493" i="12"/>
  <c r="L492" i="12"/>
  <c r="K492" i="12"/>
  <c r="L491" i="12"/>
  <c r="K491" i="12"/>
  <c r="L490" i="12"/>
  <c r="K490" i="12"/>
  <c r="L489" i="12"/>
  <c r="K489" i="12"/>
  <c r="L488" i="12"/>
  <c r="K488" i="12"/>
  <c r="L487" i="12"/>
  <c r="K487" i="12"/>
  <c r="L486" i="12"/>
  <c r="K486" i="12"/>
  <c r="L485" i="12"/>
  <c r="K485" i="12"/>
  <c r="L484" i="12"/>
  <c r="K484" i="12"/>
  <c r="L483" i="12"/>
  <c r="K483" i="12"/>
  <c r="L482" i="12"/>
  <c r="K482" i="12"/>
  <c r="L481" i="12"/>
  <c r="K481" i="12"/>
  <c r="L480" i="12"/>
  <c r="K480" i="12"/>
  <c r="L479" i="12"/>
  <c r="K479" i="12"/>
  <c r="L478" i="12"/>
  <c r="K478" i="12"/>
  <c r="L477" i="12"/>
  <c r="K477" i="12"/>
  <c r="L476" i="12"/>
  <c r="K476" i="12"/>
  <c r="L475" i="12"/>
  <c r="K475" i="12"/>
  <c r="L474" i="12"/>
  <c r="K474" i="12"/>
  <c r="L473" i="12"/>
  <c r="K473" i="12"/>
  <c r="L472" i="12"/>
  <c r="K472" i="12"/>
  <c r="L471" i="12"/>
  <c r="K471" i="12"/>
  <c r="L470" i="12"/>
  <c r="K470" i="12"/>
  <c r="L469" i="12"/>
  <c r="K469" i="12"/>
  <c r="L468" i="12"/>
  <c r="K468" i="12"/>
  <c r="L467" i="12"/>
  <c r="K467" i="12"/>
  <c r="L466" i="12"/>
  <c r="K466" i="12"/>
  <c r="L465" i="12"/>
  <c r="K465" i="12"/>
  <c r="L464" i="12"/>
  <c r="K464" i="12"/>
  <c r="L463" i="12"/>
  <c r="K463" i="12"/>
  <c r="L462" i="12"/>
  <c r="K462" i="12"/>
  <c r="L461" i="12"/>
  <c r="K461" i="12"/>
  <c r="L460" i="12"/>
  <c r="K460" i="12"/>
  <c r="L459" i="12"/>
  <c r="K459" i="12"/>
  <c r="L458" i="12"/>
  <c r="K458" i="12"/>
  <c r="L457" i="12"/>
  <c r="K457" i="12"/>
  <c r="L456" i="12"/>
  <c r="K456" i="12"/>
  <c r="L455" i="12"/>
  <c r="K455" i="12"/>
  <c r="L454" i="12"/>
  <c r="K454" i="12"/>
  <c r="L453" i="12"/>
  <c r="K453" i="12"/>
  <c r="L452" i="12"/>
  <c r="K452" i="12"/>
  <c r="L451" i="12"/>
  <c r="K451" i="12"/>
  <c r="L450" i="12"/>
  <c r="K450" i="12"/>
  <c r="L449" i="12"/>
  <c r="K449" i="12"/>
  <c r="L448" i="12"/>
  <c r="K448" i="12"/>
  <c r="L447" i="12"/>
  <c r="K447" i="12"/>
  <c r="L446" i="12"/>
  <c r="K446" i="12"/>
  <c r="L445" i="12"/>
  <c r="K445" i="12"/>
  <c r="L444" i="12"/>
  <c r="K444" i="12"/>
  <c r="L443" i="12"/>
  <c r="K443" i="12"/>
  <c r="L442" i="12"/>
  <c r="K442" i="12"/>
  <c r="L441" i="12"/>
  <c r="K441" i="12"/>
  <c r="L440" i="12"/>
  <c r="K440" i="12"/>
  <c r="L439" i="12"/>
  <c r="K439" i="12"/>
  <c r="L438" i="12"/>
  <c r="K438" i="12"/>
  <c r="L437" i="12"/>
  <c r="K437" i="12"/>
  <c r="L436" i="12"/>
  <c r="K436" i="12"/>
  <c r="L435" i="12"/>
  <c r="K435" i="12"/>
  <c r="L434" i="12"/>
  <c r="K434" i="12"/>
  <c r="L433" i="12"/>
  <c r="K433" i="12"/>
  <c r="L432" i="12"/>
  <c r="K432" i="12"/>
  <c r="L431" i="12"/>
  <c r="K431" i="12"/>
  <c r="L430" i="12"/>
  <c r="K430" i="12"/>
  <c r="L429" i="12"/>
  <c r="K429" i="12"/>
  <c r="L428" i="12"/>
  <c r="K428" i="12"/>
  <c r="L427" i="12"/>
  <c r="K427" i="12"/>
  <c r="L426" i="12"/>
  <c r="K426" i="12"/>
  <c r="L425" i="12"/>
  <c r="K425" i="12"/>
  <c r="L424" i="12"/>
  <c r="K424" i="12"/>
  <c r="L423" i="12"/>
  <c r="K423" i="12"/>
  <c r="L422" i="12"/>
  <c r="K422" i="12"/>
  <c r="L421" i="12"/>
  <c r="K421" i="12"/>
  <c r="L420" i="12"/>
  <c r="K420" i="12"/>
  <c r="L419" i="12"/>
  <c r="K419" i="12"/>
  <c r="L418" i="12"/>
  <c r="K418" i="12"/>
  <c r="L417" i="12"/>
  <c r="K417" i="12"/>
  <c r="L416" i="12"/>
  <c r="K416" i="12"/>
  <c r="L415" i="12"/>
  <c r="K415" i="12"/>
  <c r="L414" i="12"/>
  <c r="K414" i="12"/>
  <c r="L413" i="12"/>
  <c r="K413" i="12"/>
  <c r="L412" i="12"/>
  <c r="K412" i="12"/>
  <c r="L411" i="12"/>
  <c r="K411" i="12"/>
  <c r="L410" i="12"/>
  <c r="K410" i="12"/>
  <c r="L409" i="12"/>
  <c r="K409" i="12"/>
  <c r="L408" i="12"/>
  <c r="K408" i="12"/>
  <c r="L407" i="12"/>
  <c r="K407" i="12"/>
  <c r="L406" i="12"/>
  <c r="K406" i="12"/>
  <c r="L405" i="12"/>
  <c r="K405" i="12"/>
  <c r="L404" i="12"/>
  <c r="K404" i="12"/>
  <c r="L403" i="12"/>
  <c r="K403" i="12"/>
  <c r="L402" i="12"/>
  <c r="K402" i="12"/>
  <c r="L401" i="12"/>
  <c r="K401" i="12"/>
  <c r="L400" i="12"/>
  <c r="K400" i="12"/>
  <c r="L399" i="12"/>
  <c r="K399" i="12"/>
  <c r="L398" i="12"/>
  <c r="K398" i="12"/>
  <c r="L397" i="12"/>
  <c r="K397" i="12"/>
  <c r="L396" i="12"/>
  <c r="K396" i="12"/>
  <c r="L395" i="12"/>
  <c r="K395" i="12"/>
  <c r="L394" i="12"/>
  <c r="K394" i="12"/>
  <c r="L393" i="12"/>
  <c r="K393" i="12"/>
  <c r="L392" i="12"/>
  <c r="K392" i="12"/>
  <c r="L391" i="12"/>
  <c r="K391" i="12"/>
  <c r="L390" i="12"/>
  <c r="K390" i="12"/>
  <c r="L389" i="12"/>
  <c r="K389" i="12"/>
  <c r="L388" i="12"/>
  <c r="K388" i="12"/>
  <c r="L387" i="12"/>
  <c r="K387" i="12"/>
  <c r="L386" i="12"/>
  <c r="K386" i="12"/>
  <c r="L385" i="12"/>
  <c r="K385" i="12"/>
  <c r="L384" i="12"/>
  <c r="K384" i="12"/>
  <c r="L383" i="12"/>
  <c r="K383" i="12"/>
  <c r="L382" i="12"/>
  <c r="K382" i="12"/>
  <c r="L381" i="12"/>
  <c r="K381" i="12"/>
  <c r="L380" i="12"/>
  <c r="K380" i="12"/>
  <c r="L379" i="12"/>
  <c r="K379" i="12"/>
  <c r="L378" i="12"/>
  <c r="K378" i="12"/>
  <c r="L377" i="12"/>
  <c r="K377" i="12"/>
  <c r="L376" i="12"/>
  <c r="K376" i="12"/>
  <c r="L375" i="12"/>
  <c r="K375" i="12"/>
  <c r="L374" i="12"/>
  <c r="K374" i="12"/>
  <c r="L373" i="12"/>
  <c r="K373" i="12"/>
  <c r="L372" i="12"/>
  <c r="K372" i="12"/>
  <c r="L371" i="12"/>
  <c r="K371" i="12"/>
  <c r="L370" i="12"/>
  <c r="K370" i="12"/>
  <c r="L369" i="12"/>
  <c r="K369" i="12"/>
  <c r="L368" i="12"/>
  <c r="K368" i="12"/>
  <c r="L367" i="12"/>
  <c r="K367" i="12"/>
  <c r="L366" i="12"/>
  <c r="K366" i="12"/>
  <c r="L365" i="12"/>
  <c r="K365" i="12"/>
  <c r="L364" i="12"/>
  <c r="K364" i="12"/>
  <c r="L363" i="12"/>
  <c r="K363" i="12"/>
  <c r="L362" i="12"/>
  <c r="K362" i="12"/>
  <c r="L361" i="12"/>
  <c r="K361" i="12"/>
  <c r="L360" i="12"/>
  <c r="K360" i="12"/>
  <c r="L359" i="12"/>
  <c r="K359" i="12"/>
  <c r="L358" i="12"/>
  <c r="K358" i="12"/>
  <c r="L357" i="12"/>
  <c r="K357" i="12"/>
  <c r="L356" i="12"/>
  <c r="K356" i="12"/>
  <c r="L355" i="12"/>
  <c r="K355" i="12"/>
  <c r="L354" i="12"/>
  <c r="K354" i="12"/>
  <c r="L353" i="12"/>
  <c r="K353" i="12"/>
  <c r="L352" i="12"/>
  <c r="K352" i="12"/>
  <c r="L351" i="12"/>
  <c r="K351" i="12"/>
  <c r="L350" i="12"/>
  <c r="K350" i="12"/>
  <c r="L349" i="12"/>
  <c r="K349" i="12"/>
  <c r="L348" i="12"/>
  <c r="K348" i="12"/>
  <c r="L347" i="12"/>
  <c r="K347" i="12"/>
  <c r="L346" i="12"/>
  <c r="K346" i="12"/>
  <c r="L345" i="12"/>
  <c r="K345" i="12"/>
  <c r="L344" i="12"/>
  <c r="K344" i="12"/>
  <c r="L343" i="12"/>
  <c r="K343" i="12"/>
  <c r="L342" i="12"/>
  <c r="K342" i="12"/>
  <c r="L341" i="12"/>
  <c r="K341" i="12"/>
  <c r="L340" i="12"/>
  <c r="K340" i="12"/>
  <c r="L339" i="12"/>
  <c r="K339" i="12"/>
  <c r="L338" i="12"/>
  <c r="K338" i="12"/>
  <c r="L337" i="12"/>
  <c r="K337" i="12"/>
  <c r="L336" i="12"/>
  <c r="K336" i="12"/>
  <c r="L335" i="12"/>
  <c r="K335" i="12"/>
  <c r="L334" i="12"/>
  <c r="K334" i="12"/>
  <c r="L333" i="12"/>
  <c r="K333" i="12"/>
  <c r="L332" i="12"/>
  <c r="K332" i="12"/>
  <c r="L331" i="12"/>
  <c r="K331" i="12"/>
  <c r="L330" i="12"/>
  <c r="K330" i="12"/>
  <c r="L329" i="12"/>
  <c r="K329" i="12"/>
  <c r="L328" i="12"/>
  <c r="K328" i="12"/>
  <c r="L327" i="12"/>
  <c r="K327" i="12"/>
  <c r="L326" i="12"/>
  <c r="K326" i="12"/>
  <c r="L325" i="12"/>
  <c r="K325" i="12"/>
  <c r="L324" i="12"/>
  <c r="K324" i="12"/>
  <c r="L323" i="12"/>
  <c r="K323" i="12"/>
  <c r="L322" i="12"/>
  <c r="K322" i="12"/>
  <c r="L321" i="12"/>
  <c r="K321" i="12"/>
  <c r="L320" i="12"/>
  <c r="K320" i="12"/>
  <c r="L319" i="12"/>
  <c r="K319" i="12"/>
  <c r="L318" i="12"/>
  <c r="K318" i="12"/>
  <c r="L317" i="12"/>
  <c r="K317" i="12"/>
  <c r="L316" i="12"/>
  <c r="K316" i="12"/>
  <c r="L315" i="12"/>
  <c r="K315" i="12"/>
  <c r="L314" i="12"/>
  <c r="K314" i="12"/>
  <c r="L313" i="12"/>
  <c r="K313" i="12"/>
  <c r="L312" i="12"/>
  <c r="K312" i="12"/>
  <c r="L311" i="12"/>
  <c r="K311" i="12"/>
  <c r="L310" i="12"/>
  <c r="K310" i="12"/>
  <c r="L309" i="12"/>
  <c r="K309" i="12"/>
  <c r="L308" i="12"/>
  <c r="K308" i="12"/>
  <c r="L307" i="12"/>
  <c r="K307" i="12"/>
  <c r="L306" i="12"/>
  <c r="K306" i="12"/>
  <c r="L305" i="12"/>
  <c r="K305" i="12"/>
  <c r="L304" i="12"/>
  <c r="K304" i="12"/>
  <c r="L303" i="12"/>
  <c r="K303" i="12"/>
  <c r="L302" i="12"/>
  <c r="K302" i="12"/>
  <c r="L301" i="12"/>
  <c r="K301" i="12"/>
  <c r="L300" i="12"/>
  <c r="K300" i="12"/>
  <c r="L299" i="12"/>
  <c r="K299" i="12"/>
  <c r="L298" i="12"/>
  <c r="K298" i="12"/>
  <c r="L297" i="12"/>
  <c r="K297" i="12"/>
  <c r="L296" i="12"/>
  <c r="K296" i="12"/>
  <c r="L295" i="12"/>
  <c r="K295" i="12"/>
  <c r="L294" i="12"/>
  <c r="K294" i="12"/>
  <c r="L293" i="12"/>
  <c r="K293" i="12"/>
  <c r="L292" i="12"/>
  <c r="K292" i="12"/>
  <c r="L291" i="12"/>
  <c r="K291" i="12"/>
  <c r="L290" i="12"/>
  <c r="K290" i="12"/>
  <c r="L289" i="12"/>
  <c r="K289" i="12"/>
  <c r="L288" i="12"/>
  <c r="K288" i="12"/>
  <c r="L287" i="12"/>
  <c r="K287" i="12"/>
  <c r="L286" i="12"/>
  <c r="K286" i="12"/>
  <c r="L285" i="12"/>
  <c r="K285" i="12"/>
  <c r="L284" i="12"/>
  <c r="K284" i="12"/>
  <c r="L283" i="12"/>
  <c r="K283" i="12"/>
  <c r="L282" i="12"/>
  <c r="K282" i="12"/>
  <c r="L281" i="12"/>
  <c r="K281" i="12"/>
  <c r="L280" i="12"/>
  <c r="K280" i="12"/>
  <c r="L279" i="12"/>
  <c r="K279" i="12"/>
  <c r="L278" i="12"/>
  <c r="K278" i="12"/>
  <c r="L277" i="12"/>
  <c r="K277" i="12"/>
  <c r="L276" i="12"/>
  <c r="K276" i="12"/>
  <c r="L275" i="12"/>
  <c r="K275" i="12"/>
  <c r="L274" i="12"/>
  <c r="K274" i="12"/>
  <c r="L273" i="12"/>
  <c r="K273" i="12"/>
  <c r="L272" i="12"/>
  <c r="K272" i="12"/>
  <c r="L271" i="12"/>
  <c r="K271" i="12"/>
  <c r="L270" i="12"/>
  <c r="K270" i="12"/>
  <c r="L269" i="12"/>
  <c r="K269" i="12"/>
  <c r="L268" i="12"/>
  <c r="K268" i="12"/>
  <c r="L267" i="12"/>
  <c r="K267" i="12"/>
  <c r="L266" i="12"/>
  <c r="K266" i="12"/>
  <c r="L265" i="12"/>
  <c r="K265" i="12"/>
  <c r="L264" i="12"/>
  <c r="K264" i="12"/>
  <c r="L263" i="12"/>
  <c r="K263" i="12"/>
  <c r="L262" i="12"/>
  <c r="K262" i="12"/>
  <c r="L261" i="12"/>
  <c r="K261" i="12"/>
  <c r="L260" i="12"/>
  <c r="K260" i="12"/>
  <c r="L259" i="12"/>
  <c r="K259" i="12"/>
  <c r="L258" i="12"/>
  <c r="K258" i="12"/>
  <c r="L257" i="12"/>
  <c r="K257" i="12"/>
  <c r="L256" i="12"/>
  <c r="K256" i="12"/>
  <c r="L255" i="12"/>
  <c r="K255" i="12"/>
  <c r="L254" i="12"/>
  <c r="K254" i="12"/>
  <c r="L253" i="12"/>
  <c r="K253" i="12"/>
  <c r="L252" i="12"/>
  <c r="K252" i="12"/>
  <c r="L251" i="12"/>
  <c r="K251" i="12"/>
  <c r="L250" i="12"/>
  <c r="K250" i="12"/>
  <c r="L249" i="12"/>
  <c r="K249" i="12"/>
  <c r="L248" i="12"/>
  <c r="K248" i="12"/>
  <c r="L247" i="12"/>
  <c r="K247" i="12"/>
  <c r="L246" i="12"/>
  <c r="K246" i="12"/>
  <c r="L245" i="12"/>
  <c r="K245" i="12"/>
  <c r="L244" i="12"/>
  <c r="K244" i="12"/>
  <c r="L243" i="12"/>
  <c r="K243" i="12"/>
  <c r="L242" i="12"/>
  <c r="K242" i="12"/>
  <c r="L241" i="12"/>
  <c r="K241" i="12"/>
  <c r="L240" i="12"/>
  <c r="K240" i="12"/>
  <c r="L239" i="12"/>
  <c r="K239" i="12"/>
  <c r="L238" i="12"/>
  <c r="K238" i="12"/>
  <c r="L237" i="12"/>
  <c r="K237" i="12"/>
  <c r="L236" i="12"/>
  <c r="K236" i="12"/>
  <c r="L235" i="12"/>
  <c r="K235" i="12"/>
  <c r="L234" i="12"/>
  <c r="K234" i="12"/>
  <c r="L233" i="12"/>
  <c r="K233" i="12"/>
  <c r="L232" i="12"/>
  <c r="K232" i="12"/>
  <c r="L231" i="12"/>
  <c r="K231" i="12"/>
  <c r="L230" i="12"/>
  <c r="K230" i="12"/>
  <c r="L229" i="12"/>
  <c r="K229" i="12"/>
  <c r="L228" i="12"/>
  <c r="K228" i="12"/>
  <c r="L227" i="12"/>
  <c r="K227" i="12"/>
  <c r="L226" i="12"/>
  <c r="K226" i="12"/>
  <c r="L225" i="12"/>
  <c r="K225" i="12"/>
  <c r="L224" i="12"/>
  <c r="K224" i="12"/>
  <c r="L223" i="12"/>
  <c r="K223" i="12"/>
  <c r="L222" i="12"/>
  <c r="K222" i="12"/>
  <c r="L221" i="12"/>
  <c r="K221" i="12"/>
  <c r="L220" i="12"/>
  <c r="K220" i="12"/>
  <c r="L219" i="12"/>
  <c r="K219" i="12"/>
  <c r="L218" i="12"/>
  <c r="K218" i="12"/>
  <c r="L217" i="12"/>
  <c r="K217" i="12"/>
  <c r="L216" i="12"/>
  <c r="K216" i="12"/>
  <c r="L215" i="12"/>
  <c r="K215" i="12"/>
  <c r="L214" i="12"/>
  <c r="K214" i="12"/>
  <c r="L213" i="12"/>
  <c r="K213" i="12"/>
  <c r="L212" i="12"/>
  <c r="K212" i="12"/>
  <c r="L211" i="12"/>
  <c r="K211" i="12"/>
  <c r="L210" i="12"/>
  <c r="K210" i="12"/>
  <c r="L209" i="12"/>
  <c r="K209" i="12"/>
  <c r="L208" i="12"/>
  <c r="K208" i="12"/>
  <c r="L207" i="12"/>
  <c r="K207" i="12"/>
  <c r="L206" i="12"/>
  <c r="K206" i="12"/>
  <c r="L205" i="12"/>
  <c r="K205" i="12"/>
  <c r="L204" i="12"/>
  <c r="K204" i="12"/>
  <c r="L203" i="12"/>
  <c r="K203" i="12"/>
  <c r="L202" i="12"/>
  <c r="K202" i="12"/>
  <c r="L201" i="12"/>
  <c r="K201" i="12"/>
  <c r="L200" i="12"/>
  <c r="K200" i="12"/>
  <c r="L199" i="12"/>
  <c r="K199" i="12"/>
  <c r="L198" i="12"/>
  <c r="K198" i="12"/>
  <c r="L197" i="12"/>
  <c r="K197" i="12"/>
  <c r="L196" i="12"/>
  <c r="K196" i="12"/>
  <c r="L195" i="12"/>
  <c r="K195" i="12"/>
  <c r="L194" i="12"/>
  <c r="K194" i="12"/>
  <c r="L193" i="12"/>
  <c r="K193" i="12"/>
  <c r="L192" i="12"/>
  <c r="K192" i="12"/>
  <c r="L191" i="12"/>
  <c r="K191" i="12"/>
  <c r="L190" i="12"/>
  <c r="K190" i="12"/>
  <c r="L189" i="12"/>
  <c r="K189" i="12"/>
  <c r="L188" i="12"/>
  <c r="K188" i="12"/>
  <c r="L187" i="12"/>
  <c r="K187" i="12"/>
  <c r="L186" i="12"/>
  <c r="K186" i="12"/>
  <c r="L185" i="12"/>
  <c r="K185" i="12"/>
  <c r="L184" i="12"/>
  <c r="K184" i="12"/>
  <c r="L183" i="12"/>
  <c r="K183" i="12"/>
  <c r="L182" i="12"/>
  <c r="K182" i="12"/>
  <c r="L181" i="12"/>
  <c r="K181" i="12"/>
  <c r="L180" i="12"/>
  <c r="K180" i="12"/>
  <c r="L179" i="12"/>
  <c r="K179" i="12"/>
  <c r="L178" i="12"/>
  <c r="K178" i="12"/>
  <c r="L177" i="12"/>
  <c r="K177" i="12"/>
  <c r="L176" i="12"/>
  <c r="K176" i="12"/>
  <c r="L175" i="12"/>
  <c r="K175" i="12"/>
  <c r="L174" i="12"/>
  <c r="K174" i="12"/>
  <c r="L173" i="12"/>
  <c r="K173" i="12"/>
  <c r="L172" i="12"/>
  <c r="K172" i="12"/>
  <c r="L171" i="12"/>
  <c r="K171" i="12"/>
  <c r="L170" i="12"/>
  <c r="K170" i="12"/>
  <c r="L169" i="12"/>
  <c r="K169" i="12"/>
  <c r="L168" i="12"/>
  <c r="K168" i="12"/>
  <c r="L167" i="12"/>
  <c r="K167" i="12"/>
  <c r="L166" i="12"/>
  <c r="K166" i="12"/>
  <c r="L165" i="12"/>
  <c r="K165" i="12"/>
  <c r="L164" i="12"/>
  <c r="K164" i="12"/>
  <c r="L163" i="12"/>
  <c r="K163" i="12"/>
  <c r="L162" i="12"/>
  <c r="K162" i="12"/>
  <c r="L161" i="12"/>
  <c r="K161" i="12"/>
  <c r="L160" i="12"/>
  <c r="K160" i="12"/>
  <c r="L159" i="12"/>
  <c r="K159" i="12"/>
  <c r="L158" i="12"/>
  <c r="K158" i="12"/>
  <c r="L157" i="12"/>
  <c r="K157" i="12"/>
  <c r="L156" i="12"/>
  <c r="K156" i="12"/>
  <c r="L155" i="12"/>
  <c r="K155" i="12"/>
  <c r="L154" i="12"/>
  <c r="K154" i="12"/>
  <c r="L153" i="12"/>
  <c r="K153" i="12"/>
  <c r="L152" i="12"/>
  <c r="K152" i="12"/>
  <c r="L151" i="12"/>
  <c r="K151" i="12"/>
  <c r="L150" i="12"/>
  <c r="K150" i="12"/>
  <c r="L149" i="12"/>
  <c r="K149" i="12"/>
  <c r="L148" i="12"/>
  <c r="K148" i="12"/>
  <c r="L147" i="12"/>
  <c r="K147" i="12"/>
  <c r="L146" i="12"/>
  <c r="K146" i="12"/>
  <c r="L145" i="12"/>
  <c r="K145" i="12"/>
  <c r="L144" i="12"/>
  <c r="K144" i="12"/>
  <c r="L143" i="12"/>
  <c r="K143" i="12"/>
  <c r="L142" i="12"/>
  <c r="K142" i="12"/>
  <c r="L141" i="12"/>
  <c r="K141" i="12"/>
  <c r="L140" i="12"/>
  <c r="K140" i="12"/>
  <c r="L139" i="12"/>
  <c r="K139" i="12"/>
  <c r="L138" i="12"/>
  <c r="K138" i="12"/>
  <c r="L137" i="12"/>
  <c r="K137" i="12"/>
  <c r="L136" i="12"/>
  <c r="K136" i="12"/>
  <c r="L135" i="12"/>
  <c r="K135" i="12"/>
  <c r="L134" i="12"/>
  <c r="K134" i="12"/>
  <c r="L133" i="12"/>
  <c r="K133" i="12"/>
  <c r="L132" i="12"/>
  <c r="K132" i="12"/>
  <c r="L131" i="12"/>
  <c r="K131" i="12"/>
  <c r="L130" i="12"/>
  <c r="K130" i="12"/>
  <c r="L129" i="12"/>
  <c r="K129" i="12"/>
  <c r="L128" i="12"/>
  <c r="K128" i="12"/>
  <c r="L127" i="12"/>
  <c r="K127" i="12"/>
  <c r="L126" i="12"/>
  <c r="K126" i="12"/>
  <c r="L125" i="12"/>
  <c r="K125" i="12"/>
  <c r="L124" i="12"/>
  <c r="K124" i="12"/>
  <c r="L123" i="12"/>
  <c r="K123" i="12"/>
  <c r="L122" i="12"/>
  <c r="K122" i="12"/>
  <c r="L121" i="12"/>
  <c r="K121" i="12"/>
  <c r="L120" i="12"/>
  <c r="K120" i="12"/>
  <c r="L119" i="12"/>
  <c r="K119" i="12"/>
  <c r="L118" i="12"/>
  <c r="K118" i="12"/>
  <c r="L117" i="12"/>
  <c r="K117" i="12"/>
  <c r="L116" i="12"/>
  <c r="K116" i="12"/>
  <c r="L115" i="12"/>
  <c r="K115" i="12"/>
  <c r="L114" i="12"/>
  <c r="K114" i="12"/>
  <c r="L113" i="12"/>
  <c r="K113" i="12"/>
  <c r="L112" i="12"/>
  <c r="K112" i="12"/>
  <c r="L111" i="12"/>
  <c r="K111" i="12"/>
  <c r="L110" i="12"/>
  <c r="K110" i="12"/>
  <c r="L109" i="12"/>
  <c r="K109" i="12"/>
  <c r="L108" i="12"/>
  <c r="K108" i="12"/>
  <c r="L107" i="12"/>
  <c r="K107" i="12"/>
  <c r="L106" i="12"/>
  <c r="K106" i="12"/>
  <c r="L105" i="12"/>
  <c r="K105" i="12"/>
  <c r="L104" i="12"/>
  <c r="K104" i="12"/>
  <c r="L103" i="12"/>
  <c r="K103" i="12"/>
  <c r="L102" i="12"/>
  <c r="K102" i="12"/>
  <c r="L101" i="12"/>
  <c r="K101" i="12"/>
  <c r="L100" i="12"/>
  <c r="K100" i="12"/>
  <c r="L99" i="12"/>
  <c r="K99" i="12"/>
  <c r="L98" i="12"/>
  <c r="K98" i="12"/>
  <c r="L97" i="12"/>
  <c r="K97" i="12"/>
  <c r="L96" i="12"/>
  <c r="K96" i="12"/>
  <c r="L95" i="12"/>
  <c r="K95" i="12"/>
  <c r="L94" i="12"/>
  <c r="K94" i="12"/>
  <c r="L93" i="12"/>
  <c r="K93" i="12"/>
  <c r="L92" i="12"/>
  <c r="K92" i="12"/>
  <c r="L91" i="12"/>
  <c r="K91" i="12"/>
  <c r="L90" i="12"/>
  <c r="K90" i="12"/>
  <c r="L89" i="12"/>
  <c r="K89" i="12"/>
  <c r="L88" i="12"/>
  <c r="K88" i="12"/>
  <c r="L87" i="12"/>
  <c r="K87" i="12"/>
  <c r="L86" i="12"/>
  <c r="K86" i="12"/>
  <c r="L85" i="12"/>
  <c r="K85" i="12"/>
  <c r="L84" i="12"/>
  <c r="K84" i="12"/>
  <c r="L83" i="12"/>
  <c r="K83" i="12"/>
  <c r="L82" i="12"/>
  <c r="K82" i="12"/>
  <c r="L81" i="12"/>
  <c r="K81" i="12"/>
  <c r="L80" i="12"/>
  <c r="K80" i="12"/>
  <c r="L79" i="12"/>
  <c r="K79" i="12"/>
  <c r="L78" i="12"/>
  <c r="K78" i="12"/>
  <c r="L77" i="12"/>
  <c r="K77" i="12"/>
  <c r="L76" i="12"/>
  <c r="K76" i="12"/>
  <c r="L75" i="12"/>
  <c r="K75" i="12"/>
  <c r="L74" i="12"/>
  <c r="K74" i="12"/>
  <c r="L73" i="12"/>
  <c r="K73" i="12"/>
  <c r="L72" i="12"/>
  <c r="K72" i="12"/>
  <c r="L71" i="12"/>
  <c r="K71" i="12"/>
  <c r="L70" i="12"/>
  <c r="K70" i="12"/>
  <c r="L69" i="12"/>
  <c r="K69" i="12"/>
  <c r="L68" i="12"/>
  <c r="K68" i="12"/>
  <c r="L67" i="12"/>
  <c r="K67" i="12"/>
  <c r="L66" i="12"/>
  <c r="K66" i="12"/>
  <c r="L65" i="12"/>
  <c r="K65" i="12"/>
  <c r="L64" i="12"/>
  <c r="K64" i="12"/>
  <c r="L63" i="12"/>
  <c r="K63" i="12"/>
  <c r="L62" i="12"/>
  <c r="K62" i="12"/>
  <c r="L61" i="12"/>
  <c r="K61" i="12"/>
  <c r="L60" i="12"/>
  <c r="K60" i="12"/>
  <c r="L59" i="12"/>
  <c r="K59" i="12"/>
  <c r="L58" i="12"/>
  <c r="K58" i="12"/>
  <c r="L57" i="12"/>
  <c r="K57" i="12"/>
  <c r="L56" i="12"/>
  <c r="K56" i="12"/>
  <c r="L55" i="12"/>
  <c r="K55" i="12"/>
  <c r="L54" i="12"/>
  <c r="K54" i="12"/>
  <c r="L53" i="12"/>
  <c r="K53" i="12"/>
  <c r="L52" i="12"/>
  <c r="K52" i="12"/>
  <c r="L51" i="12"/>
  <c r="K51" i="12"/>
  <c r="L50" i="12"/>
  <c r="K50" i="12"/>
  <c r="L49" i="12"/>
  <c r="K49" i="12"/>
  <c r="L48" i="12"/>
  <c r="K48" i="12"/>
  <c r="L47" i="12"/>
  <c r="K47" i="12"/>
  <c r="L46" i="12"/>
  <c r="K46" i="12"/>
  <c r="L45" i="12"/>
  <c r="K45" i="12"/>
  <c r="L44" i="12"/>
  <c r="K44" i="12"/>
  <c r="L43" i="12"/>
  <c r="K43" i="12"/>
  <c r="L42" i="12"/>
  <c r="K42" i="12"/>
  <c r="L41" i="12"/>
  <c r="K41" i="12"/>
  <c r="L40" i="12"/>
  <c r="K40" i="12"/>
  <c r="L39" i="12"/>
  <c r="K39" i="12"/>
  <c r="L38" i="12"/>
  <c r="K38" i="12"/>
  <c r="L37" i="12"/>
  <c r="K37" i="12"/>
  <c r="L36" i="12"/>
  <c r="K36" i="12"/>
  <c r="L35" i="12"/>
  <c r="K35" i="12"/>
  <c r="L34" i="12"/>
  <c r="K34" i="12"/>
  <c r="L33" i="12"/>
  <c r="K33" i="12"/>
  <c r="L32" i="12"/>
  <c r="K32" i="12"/>
  <c r="L31" i="12"/>
  <c r="K31" i="12"/>
  <c r="L30" i="12"/>
  <c r="K30" i="12"/>
  <c r="L29" i="12"/>
  <c r="K29" i="12"/>
  <c r="L28" i="12"/>
  <c r="K28" i="12"/>
  <c r="L27" i="12"/>
  <c r="K27" i="12"/>
  <c r="L26" i="12"/>
  <c r="K26" i="12"/>
  <c r="L25" i="12"/>
  <c r="K25" i="12"/>
  <c r="L24" i="12"/>
  <c r="K24" i="12"/>
  <c r="L23" i="12"/>
  <c r="K23" i="12"/>
  <c r="L22" i="12"/>
  <c r="K22" i="12"/>
  <c r="L21" i="12"/>
  <c r="K21" i="12"/>
  <c r="L20" i="12"/>
  <c r="K20" i="12"/>
  <c r="L19" i="12"/>
  <c r="K19" i="12"/>
  <c r="L18" i="12"/>
  <c r="K18" i="12"/>
  <c r="L17" i="12"/>
  <c r="K17" i="12"/>
  <c r="L16" i="12"/>
  <c r="K16" i="12"/>
  <c r="L15" i="12"/>
  <c r="K15" i="12"/>
  <c r="L14" i="12"/>
  <c r="K14" i="12"/>
  <c r="L13" i="12"/>
  <c r="K13" i="12"/>
  <c r="L12" i="12"/>
  <c r="K12" i="12"/>
  <c r="L11" i="12"/>
  <c r="K11" i="12"/>
  <c r="L10" i="12"/>
  <c r="K10" i="12"/>
  <c r="L9" i="12"/>
  <c r="K9" i="12"/>
  <c r="L8" i="12"/>
  <c r="K8" i="12"/>
  <c r="L7" i="12"/>
  <c r="K7" i="12"/>
  <c r="L6" i="12"/>
  <c r="K6" i="12"/>
  <c r="L5" i="12"/>
  <c r="K5" i="12"/>
  <c r="L4" i="12"/>
  <c r="K4" i="12"/>
  <c r="L3" i="12"/>
  <c r="K3" i="12"/>
  <c r="L2" i="12"/>
  <c r="K2" i="12"/>
  <c r="V3" i="1" l="1" a="1"/>
  <c r="V3" i="1" s="1"/>
  <c r="V4" i="1" a="1"/>
  <c r="V4" i="1" s="1"/>
  <c r="V5" i="1" a="1"/>
  <c r="V5" i="1" s="1"/>
  <c r="V6" i="1" a="1"/>
  <c r="V6" i="1" s="1"/>
  <c r="V7" i="1" a="1"/>
  <c r="V7" i="1" s="1"/>
  <c r="V8" i="1" a="1"/>
  <c r="V8" i="1" s="1"/>
  <c r="V9" i="1" a="1"/>
  <c r="V9" i="1" s="1"/>
  <c r="V10" i="1" a="1"/>
  <c r="V10" i="1" s="1"/>
  <c r="V11" i="1" a="1"/>
  <c r="V11" i="1" s="1"/>
  <c r="V12" i="1" a="1"/>
  <c r="V12" i="1" s="1"/>
  <c r="V13" i="1" a="1"/>
  <c r="V13" i="1" s="1"/>
  <c r="V14" i="1" a="1"/>
  <c r="V14" i="1" s="1"/>
  <c r="V15" i="1" a="1"/>
  <c r="V15" i="1" s="1"/>
  <c r="V16" i="1" a="1"/>
  <c r="V16" i="1" s="1"/>
  <c r="V17" i="1" a="1"/>
  <c r="V17" i="1" s="1"/>
  <c r="V18" i="1" a="1"/>
  <c r="V18" i="1" s="1"/>
  <c r="V19" i="1" a="1"/>
  <c r="V19" i="1" s="1"/>
  <c r="V20" i="1" a="1"/>
  <c r="V20" i="1" s="1"/>
  <c r="V21" i="1" a="1"/>
  <c r="V21" i="1" s="1"/>
  <c r="V22" i="1" a="1"/>
  <c r="V22" i="1" s="1"/>
  <c r="V23" i="1" a="1"/>
  <c r="V23" i="1" s="1"/>
  <c r="V24" i="1" a="1"/>
  <c r="V24" i="1" s="1"/>
  <c r="V25" i="1" a="1"/>
  <c r="V25" i="1" s="1"/>
  <c r="V26" i="1" a="1"/>
  <c r="V26" i="1" s="1"/>
  <c r="V27" i="1" a="1"/>
  <c r="V27" i="1" s="1"/>
  <c r="V28" i="1" a="1"/>
  <c r="V28" i="1" s="1"/>
  <c r="V29" i="1" a="1"/>
  <c r="V29" i="1" s="1"/>
  <c r="V30" i="1" a="1"/>
  <c r="V30" i="1" s="1"/>
  <c r="V31" i="1" a="1"/>
  <c r="V31" i="1" s="1"/>
  <c r="V32" i="1" a="1"/>
  <c r="V32" i="1" s="1"/>
  <c r="V33" i="1" a="1"/>
  <c r="V33" i="1" s="1"/>
  <c r="V34" i="1" a="1"/>
  <c r="V34" i="1"/>
  <c r="V35" i="1" a="1"/>
  <c r="V35" i="1" s="1"/>
  <c r="V36" i="1" a="1"/>
  <c r="V36" i="1" s="1"/>
  <c r="V37" i="1" a="1"/>
  <c r="V37" i="1" s="1"/>
  <c r="V38" i="1" a="1"/>
  <c r="V38" i="1" s="1"/>
  <c r="V39" i="1" a="1"/>
  <c r="V39" i="1" s="1"/>
  <c r="V40" i="1" a="1"/>
  <c r="V40" i="1" s="1"/>
  <c r="V41" i="1" a="1"/>
  <c r="V41" i="1" s="1"/>
  <c r="V42" i="1" a="1"/>
  <c r="V42" i="1"/>
  <c r="V43" i="1" a="1"/>
  <c r="V43" i="1" s="1"/>
  <c r="V44" i="1" a="1"/>
  <c r="V44" i="1" s="1"/>
  <c r="V45" i="1" a="1"/>
  <c r="V45" i="1" s="1"/>
  <c r="V46" i="1" a="1"/>
  <c r="V46" i="1" s="1"/>
  <c r="V47" i="1" a="1"/>
  <c r="V47" i="1" s="1"/>
  <c r="V48" i="1" a="1"/>
  <c r="V48" i="1" s="1"/>
  <c r="V49" i="1" a="1"/>
  <c r="V49" i="1" s="1"/>
  <c r="V50" i="1" a="1"/>
  <c r="V50" i="1" s="1"/>
  <c r="V51" i="1" a="1"/>
  <c r="V51" i="1"/>
  <c r="V52" i="1" a="1"/>
  <c r="V52" i="1" s="1"/>
  <c r="V53" i="1" a="1"/>
  <c r="V53" i="1" s="1"/>
  <c r="V54" i="1" a="1"/>
  <c r="V54" i="1" s="1"/>
  <c r="V55" i="1" a="1"/>
  <c r="V55" i="1" s="1"/>
  <c r="V56" i="1" a="1"/>
  <c r="V56" i="1" s="1"/>
  <c r="V57" i="1" a="1"/>
  <c r="V57" i="1" s="1"/>
  <c r="V58" i="1" a="1"/>
  <c r="V58" i="1" s="1"/>
  <c r="V59" i="1" a="1"/>
  <c r="V59" i="1" s="1"/>
  <c r="V60" i="1" a="1"/>
  <c r="V60" i="1" s="1"/>
  <c r="V61" i="1" a="1"/>
  <c r="V61" i="1" s="1"/>
  <c r="V62" i="1" a="1"/>
  <c r="V62" i="1" s="1"/>
  <c r="V63" i="1" a="1"/>
  <c r="V63" i="1"/>
  <c r="V64" i="1" a="1"/>
  <c r="V64" i="1" s="1"/>
  <c r="V65" i="1" a="1"/>
  <c r="V65" i="1" s="1"/>
  <c r="V66" i="1" a="1"/>
  <c r="V66" i="1" s="1"/>
  <c r="V67" i="1" a="1"/>
  <c r="V67" i="1" s="1"/>
  <c r="V68" i="1" a="1"/>
  <c r="V68" i="1" s="1"/>
  <c r="V69" i="1" a="1"/>
  <c r="V69" i="1" s="1"/>
  <c r="V70" i="1" a="1"/>
  <c r="V70" i="1" s="1"/>
  <c r="V71" i="1" a="1"/>
  <c r="V71" i="1" s="1"/>
  <c r="V72" i="1" a="1"/>
  <c r="V72" i="1" s="1"/>
  <c r="V73" i="1" a="1"/>
  <c r="V73" i="1" s="1"/>
  <c r="V74" i="1" a="1"/>
  <c r="V74" i="1" s="1"/>
  <c r="V75" i="1" a="1"/>
  <c r="V75" i="1" s="1"/>
  <c r="V76" i="1" a="1"/>
  <c r="V76" i="1" s="1"/>
  <c r="V77" i="1" a="1"/>
  <c r="V77" i="1" s="1"/>
  <c r="V78" i="1" a="1"/>
  <c r="V78" i="1"/>
  <c r="V79" i="1" a="1"/>
  <c r="V79" i="1" s="1"/>
  <c r="V80" i="1" a="1"/>
  <c r="V80" i="1" s="1"/>
  <c r="V81" i="1" a="1"/>
  <c r="V81" i="1" s="1"/>
  <c r="V82" i="1" a="1"/>
  <c r="V82" i="1" s="1"/>
  <c r="V83" i="1" a="1"/>
  <c r="V83" i="1" s="1"/>
  <c r="V84" i="1" a="1"/>
  <c r="V84" i="1" s="1"/>
  <c r="V85" i="1" a="1"/>
  <c r="V85" i="1" s="1"/>
  <c r="V86" i="1" a="1"/>
  <c r="V86" i="1" s="1"/>
  <c r="V87" i="1" a="1"/>
  <c r="V87" i="1" s="1"/>
  <c r="V88" i="1" a="1"/>
  <c r="V88" i="1"/>
  <c r="V89" i="1" a="1"/>
  <c r="V89" i="1" s="1"/>
  <c r="V90" i="1" a="1"/>
  <c r="V90" i="1" s="1"/>
  <c r="V91" i="1" a="1"/>
  <c r="V91" i="1"/>
  <c r="V92" i="1" a="1"/>
  <c r="V92" i="1" s="1"/>
  <c r="V93" i="1" a="1"/>
  <c r="V93" i="1" s="1"/>
  <c r="V94" i="1" a="1"/>
  <c r="V94" i="1" s="1"/>
  <c r="V95" i="1" a="1"/>
  <c r="V95" i="1" s="1"/>
  <c r="V96" i="1" a="1"/>
  <c r="V96" i="1" s="1"/>
  <c r="V97" i="1" a="1"/>
  <c r="V97" i="1" s="1"/>
  <c r="V98" i="1" a="1"/>
  <c r="V98" i="1" s="1"/>
  <c r="V99" i="1" a="1"/>
  <c r="V99" i="1" s="1"/>
  <c r="V100" i="1" a="1"/>
  <c r="V100" i="1" s="1"/>
  <c r="V101" i="1" a="1"/>
  <c r="V101" i="1"/>
  <c r="V102" i="1" a="1"/>
  <c r="V102" i="1"/>
  <c r="V103" i="1" a="1"/>
  <c r="V103" i="1" s="1"/>
  <c r="V104" i="1" a="1"/>
  <c r="V104" i="1" s="1"/>
  <c r="V105" i="1" a="1"/>
  <c r="V105" i="1" s="1"/>
  <c r="V106" i="1" a="1"/>
  <c r="V106" i="1" s="1"/>
  <c r="V107" i="1" a="1"/>
  <c r="V107" i="1" s="1"/>
  <c r="V108" i="1" a="1"/>
  <c r="V108" i="1" s="1"/>
  <c r="V109" i="1" a="1"/>
  <c r="V109" i="1" s="1"/>
  <c r="V110" i="1" a="1"/>
  <c r="V110" i="1" s="1"/>
  <c r="V111" i="1" a="1"/>
  <c r="V111" i="1"/>
  <c r="V112" i="1" a="1"/>
  <c r="V112" i="1" s="1"/>
  <c r="V113" i="1" a="1"/>
  <c r="V113" i="1" s="1"/>
  <c r="V114" i="1" a="1"/>
  <c r="V114" i="1"/>
  <c r="V115" i="1" a="1"/>
  <c r="V115" i="1" s="1"/>
  <c r="V116" i="1" a="1"/>
  <c r="V116" i="1" s="1"/>
  <c r="V117" i="1" a="1"/>
  <c r="V117" i="1" s="1"/>
  <c r="V118" i="1" a="1"/>
  <c r="V118" i="1" s="1"/>
  <c r="V119" i="1" a="1"/>
  <c r="V119" i="1" s="1"/>
  <c r="V120" i="1" a="1"/>
  <c r="V120" i="1" s="1"/>
  <c r="V121" i="1" a="1"/>
  <c r="V121" i="1" s="1"/>
  <c r="V122" i="1" a="1"/>
  <c r="V122" i="1" s="1"/>
  <c r="V123" i="1" a="1"/>
  <c r="V123" i="1" s="1"/>
  <c r="V124" i="1" a="1"/>
  <c r="V124" i="1"/>
  <c r="V125" i="1" a="1"/>
  <c r="V125" i="1" s="1"/>
  <c r="V126" i="1" a="1"/>
  <c r="V126" i="1" s="1"/>
  <c r="V127" i="1" a="1"/>
  <c r="V127" i="1" s="1"/>
  <c r="V128" i="1" a="1"/>
  <c r="V128" i="1" s="1"/>
  <c r="V129" i="1" a="1"/>
  <c r="V129" i="1" s="1"/>
  <c r="V130" i="1" a="1"/>
  <c r="V130" i="1" s="1"/>
  <c r="V131" i="1" a="1"/>
  <c r="V131" i="1" s="1"/>
  <c r="V132" i="1" a="1"/>
  <c r="V132" i="1" s="1"/>
  <c r="V133" i="1" a="1"/>
  <c r="V133" i="1" s="1"/>
  <c r="V134" i="1" a="1"/>
  <c r="V134" i="1" s="1"/>
  <c r="V135" i="1" a="1"/>
  <c r="V135" i="1"/>
  <c r="V136" i="1" a="1"/>
  <c r="V136" i="1" s="1"/>
  <c r="V137" i="1" a="1"/>
  <c r="V137" i="1"/>
  <c r="V138" i="1" a="1"/>
  <c r="V138" i="1" s="1"/>
  <c r="V139" i="1" a="1"/>
  <c r="V139" i="1" s="1"/>
  <c r="V140" i="1" a="1"/>
  <c r="V140" i="1" s="1"/>
  <c r="V141" i="1" a="1"/>
  <c r="V141" i="1" s="1"/>
  <c r="V142" i="1" a="1"/>
  <c r="V142" i="1" s="1"/>
  <c r="V143" i="1" a="1"/>
  <c r="V143" i="1" s="1"/>
  <c r="V144" i="1" a="1"/>
  <c r="V144" i="1" s="1"/>
  <c r="V145" i="1" a="1"/>
  <c r="V145" i="1"/>
  <c r="V146" i="1" a="1"/>
  <c r="V146" i="1" s="1"/>
  <c r="V147" i="1" a="1"/>
  <c r="V147" i="1"/>
  <c r="V148" i="1" a="1"/>
  <c r="V148" i="1"/>
  <c r="V149" i="1" a="1"/>
  <c r="V149" i="1" s="1"/>
  <c r="V150" i="1" a="1"/>
  <c r="V150" i="1" s="1"/>
  <c r="V151" i="1" a="1"/>
  <c r="V151" i="1" s="1"/>
  <c r="V152" i="1" a="1"/>
  <c r="V152" i="1" s="1"/>
  <c r="V153" i="1" a="1"/>
  <c r="V153" i="1" s="1"/>
  <c r="V154" i="1" a="1"/>
  <c r="V154" i="1" s="1"/>
  <c r="V155" i="1" a="1"/>
  <c r="V155" i="1" s="1"/>
  <c r="V156" i="1" a="1"/>
  <c r="V156" i="1" s="1"/>
  <c r="V157" i="1" a="1"/>
  <c r="V157" i="1" s="1"/>
  <c r="V158" i="1" a="1"/>
  <c r="V158" i="1" s="1"/>
  <c r="V159" i="1" a="1"/>
  <c r="V159" i="1" s="1"/>
  <c r="V160" i="1" a="1"/>
  <c r="V160" i="1" s="1"/>
  <c r="V161" i="1" a="1"/>
  <c r="V161" i="1"/>
  <c r="V162" i="1" a="1"/>
  <c r="V162" i="1" s="1"/>
  <c r="V163" i="1" a="1"/>
  <c r="V163" i="1"/>
  <c r="V164" i="1" a="1"/>
  <c r="V164" i="1" s="1"/>
  <c r="V165" i="1" a="1"/>
  <c r="V165" i="1"/>
  <c r="V166" i="1" a="1"/>
  <c r="V166" i="1" s="1"/>
  <c r="V167" i="1" a="1"/>
  <c r="V167" i="1" s="1"/>
  <c r="V168" i="1" a="1"/>
  <c r="V168" i="1" s="1"/>
  <c r="V169" i="1" a="1"/>
  <c r="V169" i="1" s="1"/>
  <c r="V170" i="1" a="1"/>
  <c r="V170" i="1" s="1"/>
  <c r="V171" i="1" a="1"/>
  <c r="V171" i="1" s="1"/>
  <c r="V172" i="1" a="1"/>
  <c r="V172" i="1" s="1"/>
  <c r="V173" i="1" a="1"/>
  <c r="V173" i="1" s="1"/>
  <c r="V174" i="1" a="1"/>
  <c r="V174" i="1" s="1"/>
  <c r="V175" i="1" a="1"/>
  <c r="V175" i="1" s="1"/>
  <c r="V176" i="1" a="1"/>
  <c r="V176" i="1" s="1"/>
  <c r="V177" i="1" a="1"/>
  <c r="V177" i="1" s="1"/>
  <c r="V178" i="1" a="1"/>
  <c r="V178" i="1" s="1"/>
  <c r="V179" i="1" a="1"/>
  <c r="V179" i="1" s="1"/>
  <c r="V180" i="1" a="1"/>
  <c r="V180" i="1" s="1"/>
  <c r="V181" i="1" a="1"/>
  <c r="V181" i="1" s="1"/>
  <c r="V182" i="1" a="1"/>
  <c r="V182" i="1" s="1"/>
  <c r="V183" i="1" a="1"/>
  <c r="V183" i="1"/>
  <c r="V184" i="1" a="1"/>
  <c r="V184" i="1" s="1"/>
  <c r="V185" i="1" a="1"/>
  <c r="V185" i="1" s="1"/>
  <c r="V186" i="1" a="1"/>
  <c r="V186" i="1"/>
  <c r="V187" i="1" a="1"/>
  <c r="V187" i="1" s="1"/>
  <c r="V188" i="1" a="1"/>
  <c r="V188" i="1" s="1"/>
  <c r="V189" i="1" a="1"/>
  <c r="V189" i="1" s="1"/>
  <c r="V190" i="1" a="1"/>
  <c r="V190" i="1" s="1"/>
  <c r="V191" i="1" a="1"/>
  <c r="V191" i="1" s="1"/>
  <c r="V192" i="1" a="1"/>
  <c r="V192" i="1" s="1"/>
  <c r="V193" i="1" a="1"/>
  <c r="V193" i="1" s="1"/>
  <c r="V194" i="1" a="1"/>
  <c r="V194" i="1" s="1"/>
  <c r="V195" i="1" a="1"/>
  <c r="V195" i="1" s="1"/>
  <c r="V196" i="1" a="1"/>
  <c r="V196" i="1"/>
  <c r="V197" i="1" a="1"/>
  <c r="V197" i="1" s="1"/>
  <c r="V198" i="1" a="1"/>
  <c r="V198" i="1" s="1"/>
  <c r="V199" i="1" a="1"/>
  <c r="V199" i="1"/>
  <c r="V200" i="1" a="1"/>
  <c r="V200" i="1" s="1"/>
  <c r="V201" i="1" a="1"/>
  <c r="V201" i="1" s="1"/>
  <c r="V202" i="1" a="1"/>
  <c r="V202" i="1" s="1"/>
  <c r="V203" i="1" a="1"/>
  <c r="V203" i="1" s="1"/>
  <c r="V204" i="1" a="1"/>
  <c r="V204" i="1" s="1"/>
  <c r="V205" i="1" a="1"/>
  <c r="V205" i="1" s="1"/>
  <c r="V206" i="1" a="1"/>
  <c r="V206" i="1" s="1"/>
  <c r="V207" i="1" a="1"/>
  <c r="V207" i="1" s="1"/>
  <c r="V208" i="1" a="1"/>
  <c r="V208" i="1" s="1"/>
  <c r="V209" i="1" a="1"/>
  <c r="V209" i="1" s="1"/>
  <c r="V210" i="1" a="1"/>
  <c r="V210" i="1" s="1"/>
  <c r="V211" i="1" a="1"/>
  <c r="V211" i="1" s="1"/>
  <c r="V212" i="1" a="1"/>
  <c r="V212" i="1" s="1"/>
  <c r="V213" i="1" a="1"/>
  <c r="V213" i="1" s="1"/>
  <c r="V214" i="1" a="1"/>
  <c r="V214" i="1" s="1"/>
  <c r="V215" i="1" a="1"/>
  <c r="V215" i="1" s="1"/>
  <c r="V216" i="1" a="1"/>
  <c r="V216" i="1" s="1"/>
  <c r="V217" i="1" a="1"/>
  <c r="V217" i="1" s="1"/>
  <c r="V218" i="1" a="1"/>
  <c r="V218" i="1" s="1"/>
  <c r="V219" i="1" a="1"/>
  <c r="V219" i="1" s="1"/>
  <c r="V220" i="1" a="1"/>
  <c r="V220" i="1"/>
  <c r="V221" i="1" a="1"/>
  <c r="V221" i="1" s="1"/>
  <c r="V222" i="1" a="1"/>
  <c r="V222" i="1" s="1"/>
  <c r="V223" i="1" a="1"/>
  <c r="V223" i="1" s="1"/>
  <c r="V224" i="1" a="1"/>
  <c r="V224" i="1" s="1"/>
  <c r="V225" i="1" a="1"/>
  <c r="V225" i="1" s="1"/>
  <c r="V226" i="1" a="1"/>
  <c r="V226" i="1" s="1"/>
  <c r="V227" i="1" a="1"/>
  <c r="V227" i="1"/>
  <c r="V228" i="1" a="1"/>
  <c r="V228" i="1" s="1"/>
  <c r="V229" i="1" a="1"/>
  <c r="V229" i="1" s="1"/>
  <c r="V230" i="1" a="1"/>
  <c r="V230" i="1" s="1"/>
  <c r="V231" i="1" a="1"/>
  <c r="V231" i="1" s="1"/>
  <c r="V232" i="1" a="1"/>
  <c r="V232" i="1" s="1"/>
  <c r="V233" i="1" a="1"/>
  <c r="V233" i="1"/>
  <c r="V234" i="1" a="1"/>
  <c r="V234" i="1" s="1"/>
  <c r="V235" i="1" a="1"/>
  <c r="V235" i="1"/>
  <c r="V236" i="1" a="1"/>
  <c r="V236" i="1" s="1"/>
  <c r="V237" i="1" a="1"/>
  <c r="V237" i="1"/>
  <c r="V238" i="1" a="1"/>
  <c r="V238" i="1" s="1"/>
  <c r="V239" i="1" a="1"/>
  <c r="V239" i="1" s="1"/>
  <c r="V240" i="1" a="1"/>
  <c r="V240" i="1" s="1"/>
  <c r="V241" i="1" a="1"/>
  <c r="V241" i="1" s="1"/>
  <c r="V242" i="1" a="1"/>
  <c r="V242" i="1" s="1"/>
  <c r="V243" i="1" a="1"/>
  <c r="V243" i="1" s="1"/>
  <c r="V244" i="1" a="1"/>
  <c r="V244" i="1" s="1"/>
  <c r="V245" i="1" a="1"/>
  <c r="V245" i="1" s="1"/>
  <c r="V246" i="1" a="1"/>
  <c r="V246" i="1" s="1"/>
  <c r="V247" i="1" a="1"/>
  <c r="V247" i="1" s="1"/>
  <c r="V248" i="1" a="1"/>
  <c r="V248" i="1" s="1"/>
  <c r="V249" i="1" a="1"/>
  <c r="V249" i="1" s="1"/>
  <c r="V250" i="1" a="1"/>
  <c r="V250" i="1"/>
  <c r="V251" i="1" a="1"/>
  <c r="V251" i="1" s="1"/>
  <c r="V252" i="1" a="1"/>
  <c r="V252" i="1" s="1"/>
  <c r="V253" i="1" a="1"/>
  <c r="V253" i="1"/>
  <c r="V254" i="1" a="1"/>
  <c r="V254" i="1" s="1"/>
  <c r="V255" i="1" a="1"/>
  <c r="V255" i="1" s="1"/>
  <c r="V256" i="1" a="1"/>
  <c r="V256" i="1" s="1"/>
  <c r="V257" i="1" a="1"/>
  <c r="V257" i="1" s="1"/>
  <c r="V258" i="1" a="1"/>
  <c r="V258" i="1" s="1"/>
  <c r="V259" i="1" a="1"/>
  <c r="V259" i="1"/>
  <c r="V260" i="1" a="1"/>
  <c r="V260" i="1" s="1"/>
  <c r="V261" i="1" a="1"/>
  <c r="V261" i="1" s="1"/>
  <c r="V262" i="1" a="1"/>
  <c r="V262" i="1" s="1"/>
  <c r="V263" i="1" a="1"/>
  <c r="V263" i="1" s="1"/>
  <c r="V264" i="1" a="1"/>
  <c r="V264" i="1" s="1"/>
  <c r="V265" i="1" a="1"/>
  <c r="V265" i="1" s="1"/>
  <c r="V266" i="1" a="1"/>
  <c r="V266" i="1" s="1"/>
  <c r="V267" i="1" a="1"/>
  <c r="V267" i="1" s="1"/>
  <c r="V268" i="1" a="1"/>
  <c r="V268" i="1"/>
  <c r="V269" i="1" a="1"/>
  <c r="V269" i="1" s="1"/>
  <c r="V270" i="1" a="1"/>
  <c r="V270" i="1" s="1"/>
  <c r="V271" i="1" a="1"/>
  <c r="V271" i="1"/>
  <c r="V272" i="1" a="1"/>
  <c r="V272" i="1" s="1"/>
  <c r="V273" i="1" a="1"/>
  <c r="V273" i="1" s="1"/>
  <c r="V274" i="1" a="1"/>
  <c r="V274" i="1" s="1"/>
  <c r="V275" i="1" a="1"/>
  <c r="V275" i="1" s="1"/>
  <c r="V276" i="1" a="1"/>
  <c r="V276" i="1" s="1"/>
  <c r="V277" i="1" a="1"/>
  <c r="V277" i="1" s="1"/>
  <c r="V278" i="1" a="1"/>
  <c r="V278" i="1" s="1"/>
  <c r="V279" i="1" a="1"/>
  <c r="V279" i="1" s="1"/>
  <c r="V280" i="1" a="1"/>
  <c r="V280" i="1" s="1"/>
  <c r="V281" i="1" a="1"/>
  <c r="V281" i="1" s="1"/>
  <c r="V282" i="1" a="1"/>
  <c r="V282" i="1" s="1"/>
  <c r="V283" i="1" a="1"/>
  <c r="V283" i="1" s="1"/>
  <c r="V284" i="1" a="1"/>
  <c r="V284" i="1" s="1"/>
  <c r="V285" i="1" a="1"/>
  <c r="V285" i="1" s="1"/>
  <c r="V286" i="1" a="1"/>
  <c r="V286" i="1"/>
  <c r="V287" i="1" a="1"/>
  <c r="V287" i="1" s="1"/>
  <c r="V288" i="1" a="1"/>
  <c r="V288" i="1" s="1"/>
  <c r="V289" i="1" a="1"/>
  <c r="V289" i="1"/>
  <c r="V290" i="1" a="1"/>
  <c r="V290" i="1" s="1"/>
  <c r="V291" i="1" a="1"/>
  <c r="V291" i="1" s="1"/>
  <c r="V292" i="1" a="1"/>
  <c r="V292" i="1" s="1"/>
  <c r="V293" i="1" a="1"/>
  <c r="V293" i="1" s="1"/>
  <c r="V294" i="1" a="1"/>
  <c r="V294" i="1"/>
  <c r="V295" i="1" a="1"/>
  <c r="V295" i="1" s="1"/>
  <c r="V296" i="1" a="1"/>
  <c r="V296" i="1" s="1"/>
  <c r="V297" i="1" a="1"/>
  <c r="V297" i="1" s="1"/>
  <c r="V298" i="1" a="1"/>
  <c r="V298" i="1" s="1"/>
  <c r="V299" i="1" a="1"/>
  <c r="V299" i="1" s="1"/>
  <c r="V300" i="1" a="1"/>
  <c r="V300" i="1" s="1"/>
  <c r="V301" i="1" a="1"/>
  <c r="V301" i="1" s="1"/>
  <c r="V302" i="1" a="1"/>
  <c r="V302" i="1" s="1"/>
  <c r="V303" i="1" a="1"/>
  <c r="V303" i="1" s="1"/>
  <c r="V304" i="1" a="1"/>
  <c r="V304" i="1"/>
  <c r="V305" i="1" a="1"/>
  <c r="V305" i="1" s="1"/>
  <c r="V306" i="1" a="1"/>
  <c r="V306" i="1" s="1"/>
  <c r="V307" i="1" a="1"/>
  <c r="V307" i="1"/>
  <c r="V308" i="1" a="1"/>
  <c r="V308" i="1" s="1"/>
  <c r="V309" i="1" a="1"/>
  <c r="V309" i="1"/>
  <c r="V310" i="1" a="1"/>
  <c r="V310" i="1" s="1"/>
  <c r="V311" i="1" a="1"/>
  <c r="V311" i="1" s="1"/>
  <c r="V312" i="1" a="1"/>
  <c r="V312" i="1"/>
  <c r="V313" i="1" a="1"/>
  <c r="V313" i="1" s="1"/>
  <c r="V314" i="1" a="1"/>
  <c r="V314" i="1" s="1"/>
  <c r="V315" i="1" a="1"/>
  <c r="V315" i="1" s="1"/>
  <c r="V316" i="1" a="1"/>
  <c r="V316" i="1" s="1"/>
  <c r="V317" i="1" a="1"/>
  <c r="V317" i="1" s="1"/>
  <c r="V318" i="1" a="1"/>
  <c r="V318" i="1"/>
  <c r="V319" i="1" a="1"/>
  <c r="V319" i="1" s="1"/>
  <c r="V320" i="1" a="1"/>
  <c r="V320" i="1" s="1"/>
  <c r="V321" i="1" a="1"/>
  <c r="V321" i="1" s="1"/>
  <c r="V322" i="1" a="1"/>
  <c r="V322" i="1"/>
  <c r="V323" i="1" a="1"/>
  <c r="V323" i="1" s="1"/>
  <c r="V324" i="1" a="1"/>
  <c r="V324" i="1" s="1"/>
  <c r="V325" i="1" a="1"/>
  <c r="V325" i="1"/>
  <c r="V326" i="1" a="1"/>
  <c r="V326" i="1" s="1"/>
  <c r="V327" i="1" a="1"/>
  <c r="V327" i="1"/>
  <c r="V328" i="1" a="1"/>
  <c r="V328" i="1" s="1"/>
  <c r="V329" i="1" a="1"/>
  <c r="V329" i="1" s="1"/>
  <c r="V330" i="1" a="1"/>
  <c r="V330" i="1"/>
  <c r="V331" i="1" a="1"/>
  <c r="V331" i="1" s="1"/>
  <c r="V332" i="1" a="1"/>
  <c r="V332" i="1" s="1"/>
  <c r="V333" i="1" a="1"/>
  <c r="V333" i="1" s="1"/>
  <c r="V334" i="1" a="1"/>
  <c r="V334" i="1" s="1"/>
  <c r="V335" i="1" a="1"/>
  <c r="V335" i="1"/>
  <c r="V336" i="1" a="1"/>
  <c r="V336" i="1" s="1"/>
  <c r="V337" i="1" a="1"/>
  <c r="V337" i="1" s="1"/>
  <c r="V338" i="1" a="1"/>
  <c r="V338" i="1" s="1"/>
  <c r="V339" i="1" a="1"/>
  <c r="V339" i="1" s="1"/>
  <c r="V340" i="1" a="1"/>
  <c r="V340" i="1"/>
  <c r="V341" i="1" a="1"/>
  <c r="V341" i="1" s="1"/>
  <c r="V342" i="1" a="1"/>
  <c r="V342" i="1" s="1"/>
  <c r="V343" i="1" a="1"/>
  <c r="V343" i="1" s="1"/>
  <c r="V344" i="1" a="1"/>
  <c r="V344" i="1" s="1"/>
  <c r="V345" i="1" a="1"/>
  <c r="V345" i="1"/>
  <c r="V346" i="1" a="1"/>
  <c r="V346" i="1" s="1"/>
  <c r="V347" i="1" a="1"/>
  <c r="V347" i="1" s="1"/>
  <c r="V348" i="1" a="1"/>
  <c r="V348" i="1"/>
  <c r="V349" i="1" a="1"/>
  <c r="V349" i="1" s="1"/>
  <c r="V350" i="1" a="1"/>
  <c r="V350" i="1" s="1"/>
  <c r="V351" i="1" a="1"/>
  <c r="V351" i="1"/>
  <c r="V352" i="1" a="1"/>
  <c r="V352" i="1" s="1"/>
  <c r="V353" i="1" a="1"/>
  <c r="V353" i="1" s="1"/>
  <c r="V354" i="1" a="1"/>
  <c r="V354" i="1" s="1"/>
  <c r="V355" i="1" a="1"/>
  <c r="V355" i="1" s="1"/>
  <c r="V356" i="1" a="1"/>
  <c r="V356" i="1" s="1"/>
  <c r="V357" i="1" a="1"/>
  <c r="V357" i="1" s="1"/>
  <c r="V358" i="1" a="1"/>
  <c r="V358" i="1"/>
  <c r="V359" i="1" a="1"/>
  <c r="V359" i="1" s="1"/>
  <c r="V360" i="1" a="1"/>
  <c r="V360" i="1" s="1"/>
  <c r="V361" i="1" a="1"/>
  <c r="V361" i="1" s="1"/>
  <c r="V362" i="1" a="1"/>
  <c r="V362" i="1" s="1"/>
  <c r="V363" i="1" a="1"/>
  <c r="V363" i="1"/>
  <c r="V364" i="1" a="1"/>
  <c r="V364" i="1"/>
  <c r="V365" i="1" a="1"/>
  <c r="V365" i="1" s="1"/>
  <c r="V366" i="1" a="1"/>
  <c r="V366" i="1"/>
  <c r="V367" i="1" a="1"/>
  <c r="V367" i="1" s="1"/>
  <c r="V368" i="1" a="1"/>
  <c r="V368" i="1" s="1"/>
  <c r="V369" i="1" a="1"/>
  <c r="V369" i="1" s="1"/>
  <c r="V370" i="1" a="1"/>
  <c r="V370" i="1" s="1"/>
  <c r="V371" i="1" a="1"/>
  <c r="V371" i="1" s="1"/>
  <c r="V372" i="1" a="1"/>
  <c r="V372" i="1" s="1"/>
  <c r="V373" i="1" a="1"/>
  <c r="V373" i="1" s="1"/>
  <c r="V374" i="1" a="1"/>
  <c r="V374" i="1" s="1"/>
  <c r="V375" i="1" a="1"/>
  <c r="V375" i="1" s="1"/>
  <c r="V376" i="1" a="1"/>
  <c r="V376" i="1"/>
  <c r="V377" i="1" a="1"/>
  <c r="V377" i="1" s="1"/>
  <c r="V378" i="1" a="1"/>
  <c r="V378" i="1" s="1"/>
  <c r="V379" i="1" a="1"/>
  <c r="V379" i="1"/>
  <c r="V380" i="1" a="1"/>
  <c r="V380" i="1" s="1"/>
  <c r="V381" i="1" a="1"/>
  <c r="V381" i="1"/>
  <c r="V382" i="1" a="1"/>
  <c r="V382" i="1" s="1"/>
  <c r="V383" i="1" a="1"/>
  <c r="V383" i="1" s="1"/>
  <c r="V384" i="1" a="1"/>
  <c r="V384" i="1"/>
  <c r="V385" i="1" a="1"/>
  <c r="V385" i="1" s="1"/>
  <c r="V386" i="1" a="1"/>
  <c r="V386" i="1" s="1"/>
  <c r="V387" i="1" a="1"/>
  <c r="V387" i="1" s="1"/>
  <c r="V388" i="1" a="1"/>
  <c r="V388" i="1" s="1"/>
  <c r="V389" i="1" a="1"/>
  <c r="V389" i="1" s="1"/>
  <c r="V390" i="1" a="1"/>
  <c r="V390" i="1"/>
  <c r="V391" i="1" a="1"/>
  <c r="V391" i="1" s="1"/>
  <c r="V392" i="1" a="1"/>
  <c r="V392" i="1" s="1"/>
  <c r="V393" i="1" a="1"/>
  <c r="V393" i="1" s="1"/>
  <c r="V394" i="1" a="1"/>
  <c r="V394" i="1" s="1"/>
  <c r="V395" i="1" a="1"/>
  <c r="V395" i="1" s="1"/>
  <c r="V396" i="1" a="1"/>
  <c r="V396" i="1" s="1"/>
  <c r="V397" i="1" a="1"/>
  <c r="V397" i="1" s="1"/>
  <c r="V398" i="1" a="1"/>
  <c r="V398" i="1" s="1"/>
  <c r="V399" i="1" a="1"/>
  <c r="V399" i="1" s="1"/>
  <c r="V400" i="1" a="1"/>
  <c r="V400" i="1" s="1"/>
  <c r="V401" i="1" a="1"/>
  <c r="V401" i="1" s="1"/>
  <c r="V402" i="1" a="1"/>
  <c r="V402" i="1"/>
  <c r="V403" i="1" a="1"/>
  <c r="V403" i="1" s="1"/>
  <c r="V404" i="1" a="1"/>
  <c r="V404" i="1" s="1"/>
  <c r="V405" i="1" a="1"/>
  <c r="V405" i="1" s="1"/>
  <c r="V406" i="1" a="1"/>
  <c r="V406" i="1" s="1"/>
  <c r="V407" i="1" a="1"/>
  <c r="V407" i="1"/>
  <c r="V408" i="1" a="1"/>
  <c r="V408" i="1" s="1"/>
  <c r="V409" i="1" a="1"/>
  <c r="V409" i="1" s="1"/>
  <c r="V410" i="1" a="1"/>
  <c r="V410" i="1" s="1"/>
  <c r="V411" i="1" a="1"/>
  <c r="V411" i="1" s="1"/>
  <c r="V412" i="1" a="1"/>
  <c r="V412" i="1" s="1"/>
  <c r="V413" i="1" a="1"/>
  <c r="V413" i="1" s="1"/>
  <c r="V414" i="1" a="1"/>
  <c r="V414" i="1" s="1"/>
  <c r="V415" i="1" a="1"/>
  <c r="V415" i="1" s="1"/>
  <c r="V416" i="1" a="1"/>
  <c r="V416" i="1" s="1"/>
  <c r="V417" i="1" a="1"/>
  <c r="V417" i="1"/>
  <c r="V418" i="1" a="1"/>
  <c r="V418" i="1" s="1"/>
  <c r="V419" i="1" a="1"/>
  <c r="V419" i="1" s="1"/>
  <c r="V420" i="1" a="1"/>
  <c r="V420" i="1" s="1"/>
  <c r="V421" i="1" a="1"/>
  <c r="V421" i="1" s="1"/>
  <c r="V422" i="1" a="1"/>
  <c r="V422" i="1" s="1"/>
  <c r="V423" i="1" a="1"/>
  <c r="V423" i="1" s="1"/>
  <c r="V424" i="1" a="1"/>
  <c r="V424" i="1" s="1"/>
  <c r="V425" i="1" a="1"/>
  <c r="V425" i="1" s="1"/>
  <c r="V426" i="1" a="1"/>
  <c r="V426" i="1" s="1"/>
  <c r="V427" i="1" a="1"/>
  <c r="V427" i="1" s="1"/>
  <c r="V428" i="1" a="1"/>
  <c r="V428" i="1" s="1"/>
  <c r="V429" i="1" a="1"/>
  <c r="V429" i="1" s="1"/>
  <c r="V430" i="1" a="1"/>
  <c r="V430" i="1"/>
  <c r="V431" i="1" a="1"/>
  <c r="V431" i="1" s="1"/>
  <c r="V432" i="1" a="1"/>
  <c r="V432" i="1" s="1"/>
  <c r="V433" i="1" a="1"/>
  <c r="V433" i="1"/>
  <c r="V434" i="1" a="1"/>
  <c r="V434" i="1" s="1"/>
  <c r="V435" i="1" a="1"/>
  <c r="V435" i="1" s="1"/>
  <c r="V436" i="1" a="1"/>
  <c r="V436" i="1"/>
  <c r="V437" i="1" a="1"/>
  <c r="V437" i="1" s="1"/>
  <c r="V438" i="1" a="1"/>
  <c r="V438" i="1"/>
  <c r="V439" i="1" a="1"/>
  <c r="V439" i="1" s="1"/>
  <c r="V440" i="1" a="1"/>
  <c r="V440" i="1" s="1"/>
  <c r="V441" i="1" a="1"/>
  <c r="V441" i="1" s="1"/>
  <c r="V442" i="1" a="1"/>
  <c r="V442" i="1" s="1"/>
  <c r="V443" i="1" a="1"/>
  <c r="V443" i="1" s="1"/>
  <c r="V444" i="1" a="1"/>
  <c r="V444" i="1" s="1"/>
  <c r="V445" i="1" a="1"/>
  <c r="V445" i="1" s="1"/>
  <c r="V446" i="1" a="1"/>
  <c r="V446" i="1" s="1"/>
  <c r="V447" i="1" a="1"/>
  <c r="V447" i="1" s="1"/>
  <c r="V448" i="1" a="1"/>
  <c r="V448" i="1"/>
  <c r="V449" i="1" a="1"/>
  <c r="V449" i="1" s="1"/>
  <c r="V450" i="1" a="1"/>
  <c r="V450" i="1" s="1"/>
  <c r="V451" i="1" a="1"/>
  <c r="V451" i="1"/>
  <c r="V452" i="1" a="1"/>
  <c r="V452" i="1" s="1"/>
  <c r="V453" i="1" a="1"/>
  <c r="V453" i="1" s="1"/>
  <c r="V454" i="1" a="1"/>
  <c r="V454" i="1" s="1"/>
  <c r="V455" i="1" a="1"/>
  <c r="V455" i="1"/>
  <c r="V456" i="1" a="1"/>
  <c r="V456" i="1" s="1"/>
  <c r="V457" i="1" a="1"/>
  <c r="V457" i="1" s="1"/>
  <c r="V458" i="1" a="1"/>
  <c r="V458" i="1" s="1"/>
  <c r="V459" i="1" a="1"/>
  <c r="V459" i="1" s="1"/>
  <c r="V460" i="1" a="1"/>
  <c r="V460" i="1" s="1"/>
  <c r="V461" i="1" a="1"/>
  <c r="V461" i="1"/>
  <c r="V462" i="1" a="1"/>
  <c r="V462" i="1" s="1"/>
  <c r="V463" i="1" a="1"/>
  <c r="V463" i="1" s="1"/>
  <c r="V464" i="1" a="1"/>
  <c r="V464" i="1" s="1"/>
  <c r="V465" i="1" a="1"/>
  <c r="V465" i="1" s="1"/>
  <c r="V466" i="1" a="1"/>
  <c r="V466" i="1" s="1"/>
  <c r="V467" i="1" a="1"/>
  <c r="V467" i="1" s="1"/>
  <c r="V468" i="1" a="1"/>
  <c r="V468" i="1"/>
  <c r="V469" i="1" a="1"/>
  <c r="V469" i="1" s="1"/>
  <c r="V470" i="1" a="1"/>
  <c r="V470" i="1" s="1"/>
  <c r="V471" i="1" a="1"/>
  <c r="V471" i="1" s="1"/>
  <c r="V472" i="1" a="1"/>
  <c r="V472" i="1" s="1"/>
  <c r="V473" i="1" a="1"/>
  <c r="V473" i="1" s="1"/>
  <c r="V474" i="1" a="1"/>
  <c r="V474" i="1" s="1"/>
  <c r="V475" i="1" a="1"/>
  <c r="V475" i="1"/>
  <c r="V476" i="1" a="1"/>
  <c r="V476" i="1" s="1"/>
  <c r="V477" i="1" a="1"/>
  <c r="V477" i="1" s="1"/>
  <c r="V478" i="1" a="1"/>
  <c r="V478" i="1"/>
  <c r="V479" i="1" a="1"/>
  <c r="V479" i="1" s="1"/>
  <c r="V480" i="1" a="1"/>
  <c r="V480" i="1" s="1"/>
  <c r="V481" i="1" a="1"/>
  <c r="V481" i="1"/>
  <c r="V482" i="1" a="1"/>
  <c r="V482" i="1" s="1"/>
  <c r="V483" i="1" a="1"/>
  <c r="V483" i="1" s="1"/>
  <c r="V484" i="1" a="1"/>
  <c r="V484" i="1"/>
  <c r="V485" i="1" a="1"/>
  <c r="V485" i="1" s="1"/>
  <c r="V486" i="1" a="1"/>
  <c r="V486" i="1" s="1"/>
  <c r="V487" i="1" a="1"/>
  <c r="V487" i="1"/>
  <c r="V488" i="1" a="1"/>
  <c r="V488" i="1" s="1"/>
  <c r="V489" i="1" a="1"/>
  <c r="V489" i="1" s="1"/>
  <c r="V490" i="1" a="1"/>
  <c r="V490" i="1" s="1"/>
  <c r="V491" i="1" a="1"/>
  <c r="V491" i="1" s="1"/>
  <c r="V492" i="1" a="1"/>
  <c r="V492" i="1" s="1"/>
  <c r="V493" i="1" a="1"/>
  <c r="V493" i="1" s="1"/>
  <c r="V494" i="1" a="1"/>
  <c r="V494" i="1" s="1"/>
  <c r="V495" i="1" a="1"/>
  <c r="V495" i="1" s="1"/>
  <c r="V496" i="1" a="1"/>
  <c r="V496" i="1" s="1"/>
  <c r="V497" i="1" a="1"/>
  <c r="V497" i="1" s="1"/>
  <c r="V498" i="1" a="1"/>
  <c r="V498" i="1" s="1"/>
  <c r="V499" i="1" a="1"/>
  <c r="V499" i="1" s="1"/>
  <c r="V500" i="1" a="1"/>
  <c r="V500" i="1" s="1"/>
  <c r="V501" i="1" a="1"/>
  <c r="V501" i="1"/>
  <c r="V502" i="1" a="1"/>
  <c r="V502" i="1"/>
  <c r="V503" i="1" a="1"/>
  <c r="V503" i="1" s="1"/>
  <c r="V504" i="1" a="1"/>
  <c r="V504" i="1" s="1"/>
  <c r="V505" i="1" a="1"/>
  <c r="V505" i="1" s="1"/>
  <c r="V506" i="1" a="1"/>
  <c r="V506" i="1" s="1"/>
  <c r="V507" i="1" a="1"/>
  <c r="V507" i="1" s="1"/>
  <c r="V508" i="1" a="1"/>
  <c r="V508" i="1" s="1"/>
  <c r="V509" i="1" a="1"/>
  <c r="V509" i="1" s="1"/>
  <c r="V510" i="1" a="1"/>
  <c r="V510" i="1"/>
  <c r="V511" i="1" a="1"/>
  <c r="V511" i="1" s="1"/>
  <c r="V512" i="1" a="1"/>
  <c r="V512" i="1" s="1"/>
  <c r="V513" i="1" a="1"/>
  <c r="V513" i="1" s="1"/>
  <c r="V514" i="1" a="1"/>
  <c r="V514" i="1" s="1"/>
  <c r="V515" i="1" a="1"/>
  <c r="V515" i="1" s="1"/>
  <c r="V516" i="1" a="1"/>
  <c r="V516" i="1" s="1"/>
  <c r="V517" i="1" a="1"/>
  <c r="V517" i="1" s="1"/>
  <c r="V518" i="1" a="1"/>
  <c r="V518" i="1" s="1"/>
  <c r="V519" i="1" a="1"/>
  <c r="V519" i="1" s="1"/>
  <c r="V520" i="1" a="1"/>
  <c r="V520" i="1" s="1"/>
  <c r="V521" i="1" a="1"/>
  <c r="V521" i="1" s="1"/>
  <c r="V522" i="1" a="1"/>
  <c r="V522" i="1" s="1"/>
  <c r="V523" i="1" a="1"/>
  <c r="V523" i="1"/>
  <c r="V524" i="1" a="1"/>
  <c r="V524" i="1" s="1"/>
  <c r="V525" i="1" a="1"/>
  <c r="V525" i="1" s="1"/>
  <c r="V526" i="1" a="1"/>
  <c r="V526" i="1" s="1"/>
  <c r="V527" i="1" a="1"/>
  <c r="V527" i="1" s="1"/>
  <c r="V528" i="1" a="1"/>
  <c r="V528" i="1"/>
  <c r="V529" i="1" a="1"/>
  <c r="V529" i="1"/>
  <c r="V530" i="1" a="1"/>
  <c r="V530" i="1" s="1"/>
  <c r="V531" i="1" a="1"/>
  <c r="V531" i="1" s="1"/>
  <c r="V532" i="1" a="1"/>
  <c r="V532" i="1" s="1"/>
  <c r="V533" i="1" a="1"/>
  <c r="V533" i="1" s="1"/>
  <c r="V534" i="1" a="1"/>
  <c r="V534" i="1" s="1"/>
  <c r="V535" i="1" a="1"/>
  <c r="V535" i="1" s="1"/>
  <c r="V536" i="1" a="1"/>
  <c r="V536" i="1" s="1"/>
  <c r="V537" i="1" a="1"/>
  <c r="V537" i="1" s="1"/>
  <c r="V538" i="1" a="1"/>
  <c r="V538" i="1" s="1"/>
  <c r="V539" i="1" a="1"/>
  <c r="V539" i="1" s="1"/>
  <c r="V540" i="1" a="1"/>
  <c r="V540" i="1" s="1"/>
  <c r="V541" i="1" a="1"/>
  <c r="V541" i="1" s="1"/>
  <c r="V542" i="1" a="1"/>
  <c r="V542" i="1" s="1"/>
  <c r="V543" i="1" a="1"/>
  <c r="V543" i="1" s="1"/>
  <c r="V544" i="1" a="1"/>
  <c r="V544" i="1" s="1"/>
  <c r="V545" i="1" a="1"/>
  <c r="V545" i="1" s="1"/>
  <c r="V546" i="1" a="1"/>
  <c r="V546" i="1" s="1"/>
  <c r="V547" i="1" a="1"/>
  <c r="V547" i="1"/>
  <c r="V548" i="1" a="1"/>
  <c r="V548" i="1" s="1"/>
  <c r="V549" i="1" a="1"/>
  <c r="V549" i="1" s="1"/>
  <c r="V550" i="1" a="1"/>
  <c r="V550" i="1" s="1"/>
  <c r="V551" i="1" a="1"/>
  <c r="V551" i="1" s="1"/>
  <c r="V552" i="1" a="1"/>
  <c r="V552" i="1" s="1"/>
  <c r="V553" i="1" a="1"/>
  <c r="V553" i="1" s="1"/>
  <c r="V554" i="1" a="1"/>
  <c r="V554" i="1"/>
  <c r="V555" i="1" a="1"/>
  <c r="V555" i="1" s="1"/>
  <c r="V556" i="1" a="1"/>
  <c r="V556" i="1" s="1"/>
  <c r="V557" i="1" a="1"/>
  <c r="V557" i="1" s="1"/>
  <c r="V558" i="1" a="1"/>
  <c r="V558" i="1" s="1"/>
  <c r="V559" i="1" a="1"/>
  <c r="V559" i="1" s="1"/>
  <c r="V560" i="1" a="1"/>
  <c r="V560" i="1" s="1"/>
  <c r="V561" i="1" a="1"/>
  <c r="V561" i="1" s="1"/>
  <c r="V562" i="1" a="1"/>
  <c r="V562" i="1" s="1"/>
  <c r="V563" i="1" a="1"/>
  <c r="V563" i="1" s="1"/>
  <c r="V564" i="1" a="1"/>
  <c r="V564" i="1" s="1"/>
  <c r="V565" i="1" a="1"/>
  <c r="V565" i="1" s="1"/>
  <c r="V566" i="1" a="1"/>
  <c r="V566" i="1" s="1"/>
  <c r="V567" i="1" a="1"/>
  <c r="V567" i="1" s="1"/>
  <c r="V568" i="1" a="1"/>
  <c r="V568" i="1" s="1"/>
  <c r="V569" i="1" a="1"/>
  <c r="V569" i="1"/>
  <c r="V570" i="1" a="1"/>
  <c r="V570" i="1" s="1"/>
  <c r="V571" i="1" a="1"/>
  <c r="V571" i="1" s="1"/>
  <c r="V572" i="1" a="1"/>
  <c r="V572" i="1" s="1"/>
  <c r="V573" i="1" a="1"/>
  <c r="V573" i="1" s="1"/>
  <c r="V574" i="1" a="1"/>
  <c r="V574" i="1" s="1"/>
  <c r="V575" i="1" a="1"/>
  <c r="V575" i="1" s="1"/>
  <c r="V576" i="1" a="1"/>
  <c r="V576" i="1" s="1"/>
  <c r="V577" i="1" a="1"/>
  <c r="V577" i="1" s="1"/>
  <c r="V578" i="1" a="1"/>
  <c r="V578" i="1" s="1"/>
  <c r="V579" i="1" a="1"/>
  <c r="V579" i="1" s="1"/>
  <c r="V580" i="1" a="1"/>
  <c r="V580" i="1" s="1"/>
  <c r="V581" i="1" a="1"/>
  <c r="V581" i="1" s="1"/>
  <c r="V582" i="1" a="1"/>
  <c r="V582" i="1" s="1"/>
  <c r="V583" i="1" a="1"/>
  <c r="V583" i="1" s="1"/>
  <c r="V584" i="1" a="1"/>
  <c r="V584" i="1" s="1"/>
  <c r="V585" i="1" a="1"/>
  <c r="V585" i="1" s="1"/>
  <c r="V586" i="1" a="1"/>
  <c r="V586" i="1" s="1"/>
  <c r="V587" i="1" a="1"/>
  <c r="V587" i="1" s="1"/>
  <c r="V588" i="1" a="1"/>
  <c r="V588" i="1" s="1"/>
  <c r="V589" i="1" a="1"/>
  <c r="V589" i="1" s="1"/>
  <c r="V590" i="1" a="1"/>
  <c r="V590" i="1" s="1"/>
  <c r="V591" i="1" a="1"/>
  <c r="V591" i="1" s="1"/>
  <c r="V592" i="1" a="1"/>
  <c r="V592" i="1" s="1"/>
  <c r="V593" i="1" a="1"/>
  <c r="V593" i="1" s="1"/>
  <c r="V594" i="1" a="1"/>
  <c r="V594" i="1" s="1"/>
  <c r="V595" i="1" a="1"/>
  <c r="V595" i="1" s="1"/>
  <c r="V596" i="1" a="1"/>
  <c r="V596" i="1" s="1"/>
  <c r="V597" i="1" a="1"/>
  <c r="V597" i="1" s="1"/>
  <c r="V598" i="1" a="1"/>
  <c r="V598" i="1" s="1"/>
  <c r="V599" i="1" a="1"/>
  <c r="V599" i="1" s="1"/>
  <c r="V600" i="1" a="1"/>
  <c r="V600" i="1" s="1"/>
  <c r="V601" i="1" a="1"/>
  <c r="V601" i="1" s="1"/>
  <c r="V602" i="1" a="1"/>
  <c r="V602" i="1" s="1"/>
  <c r="V603" i="1" a="1"/>
  <c r="V603" i="1" s="1"/>
  <c r="V604" i="1" a="1"/>
  <c r="V604" i="1" s="1"/>
  <c r="V605" i="1" a="1"/>
  <c r="V605" i="1" s="1"/>
  <c r="V606" i="1" a="1"/>
  <c r="V606" i="1" s="1"/>
  <c r="V607" i="1" a="1"/>
  <c r="V607" i="1" s="1"/>
  <c r="V608" i="1" a="1"/>
  <c r="V608" i="1" s="1"/>
  <c r="V609" i="1" a="1"/>
  <c r="V609" i="1" s="1"/>
  <c r="V610" i="1" a="1"/>
  <c r="V610" i="1" s="1"/>
  <c r="V611" i="1" a="1"/>
  <c r="V611" i="1" s="1"/>
  <c r="V612" i="1" a="1"/>
  <c r="V612" i="1" s="1"/>
  <c r="V613" i="1" a="1"/>
  <c r="V613" i="1" s="1"/>
  <c r="V614" i="1" a="1"/>
  <c r="V614" i="1" s="1"/>
  <c r="V615" i="1" a="1"/>
  <c r="V615" i="1" s="1"/>
  <c r="V616" i="1" a="1"/>
  <c r="V616" i="1" s="1"/>
  <c r="V617" i="1" a="1"/>
  <c r="V617" i="1" s="1"/>
  <c r="V618" i="1" a="1"/>
  <c r="V618" i="1" s="1"/>
  <c r="V619" i="1" a="1"/>
  <c r="V619" i="1" s="1"/>
  <c r="V620" i="1" a="1"/>
  <c r="V620" i="1" s="1"/>
  <c r="V621" i="1" a="1"/>
  <c r="V621" i="1" s="1"/>
  <c r="V622" i="1" a="1"/>
  <c r="V622" i="1" s="1"/>
  <c r="V623" i="1" a="1"/>
  <c r="V623" i="1" s="1"/>
  <c r="V624" i="1" a="1"/>
  <c r="V624" i="1" s="1"/>
  <c r="V625" i="1" a="1"/>
  <c r="V625" i="1" s="1"/>
  <c r="V626" i="1" a="1"/>
  <c r="V626" i="1" s="1"/>
  <c r="V627" i="1" a="1"/>
  <c r="V627" i="1" s="1"/>
  <c r="V628" i="1" a="1"/>
  <c r="V628" i="1" s="1"/>
  <c r="V629" i="1" a="1"/>
  <c r="V629" i="1" s="1"/>
  <c r="V630" i="1" a="1"/>
  <c r="V630" i="1" s="1"/>
  <c r="V631" i="1" a="1"/>
  <c r="V631" i="1" s="1"/>
  <c r="V632" i="1" a="1"/>
  <c r="V632" i="1" s="1"/>
  <c r="V633" i="1" a="1"/>
  <c r="V633" i="1" s="1"/>
  <c r="V634" i="1" a="1"/>
  <c r="V634" i="1" s="1"/>
  <c r="V635" i="1" a="1"/>
  <c r="V635" i="1" s="1"/>
  <c r="V636" i="1" a="1"/>
  <c r="V636" i="1" s="1"/>
  <c r="V637" i="1" a="1"/>
  <c r="V637" i="1" s="1"/>
  <c r="V638" i="1" a="1"/>
  <c r="V638" i="1" s="1"/>
  <c r="V639" i="1" a="1"/>
  <c r="V639" i="1" s="1"/>
  <c r="V640" i="1" a="1"/>
  <c r="V640" i="1" s="1"/>
  <c r="V641" i="1" a="1"/>
  <c r="V641" i="1" s="1"/>
  <c r="V642" i="1" a="1"/>
  <c r="V642" i="1" s="1"/>
  <c r="V643" i="1" a="1"/>
  <c r="V643" i="1" s="1"/>
  <c r="V644" i="1" a="1"/>
  <c r="V644" i="1" s="1"/>
  <c r="V645" i="1" a="1"/>
  <c r="V645" i="1" s="1"/>
  <c r="V646" i="1" a="1"/>
  <c r="V646" i="1" s="1"/>
  <c r="V647" i="1" a="1"/>
  <c r="V647" i="1" s="1"/>
  <c r="V648" i="1" a="1"/>
  <c r="V648" i="1" s="1"/>
  <c r="V649" i="1" a="1"/>
  <c r="V649" i="1" s="1"/>
  <c r="V650" i="1" a="1"/>
  <c r="V650" i="1" s="1"/>
  <c r="V651" i="1" a="1"/>
  <c r="V651" i="1" s="1"/>
  <c r="V652" i="1" a="1"/>
  <c r="V652" i="1" s="1"/>
  <c r="V653" i="1" a="1"/>
  <c r="V653" i="1" s="1"/>
  <c r="V654" i="1" a="1"/>
  <c r="V654" i="1" s="1"/>
  <c r="V655" i="1" a="1"/>
  <c r="V655" i="1" s="1"/>
  <c r="V656" i="1" a="1"/>
  <c r="V656" i="1" s="1"/>
  <c r="V657" i="1" a="1"/>
  <c r="V657" i="1" s="1"/>
  <c r="V658" i="1" a="1"/>
  <c r="V658" i="1" s="1"/>
  <c r="V659" i="1" a="1"/>
  <c r="V659" i="1" s="1"/>
  <c r="V660" i="1" a="1"/>
  <c r="V660" i="1" s="1"/>
  <c r="V661" i="1" a="1"/>
  <c r="V661" i="1" s="1"/>
  <c r="V662" i="1" a="1"/>
  <c r="V662" i="1" s="1"/>
  <c r="V663" i="1" a="1"/>
  <c r="V663" i="1" s="1"/>
  <c r="V664" i="1" a="1"/>
  <c r="V664" i="1" s="1"/>
  <c r="V665" i="1" a="1"/>
  <c r="V665" i="1" s="1"/>
  <c r="V666" i="1" a="1"/>
  <c r="V666" i="1" s="1"/>
  <c r="V667" i="1" a="1"/>
  <c r="V667" i="1" s="1"/>
  <c r="V668" i="1" a="1"/>
  <c r="V668" i="1" s="1"/>
  <c r="V669" i="1" a="1"/>
  <c r="V669" i="1" s="1"/>
  <c r="V670" i="1" a="1"/>
  <c r="V670" i="1" s="1"/>
  <c r="V671" i="1" a="1"/>
  <c r="V671" i="1" s="1"/>
  <c r="V672" i="1" a="1"/>
  <c r="V672" i="1" s="1"/>
  <c r="V673" i="1" a="1"/>
  <c r="V673" i="1" s="1"/>
  <c r="V674" i="1" a="1"/>
  <c r="V674" i="1" s="1"/>
  <c r="V675" i="1" a="1"/>
  <c r="V675" i="1" s="1"/>
  <c r="V676" i="1" a="1"/>
  <c r="V676" i="1" s="1"/>
  <c r="V677" i="1" a="1"/>
  <c r="V677" i="1" s="1"/>
  <c r="V678" i="1" a="1"/>
  <c r="V678" i="1" s="1"/>
  <c r="V679" i="1" a="1"/>
  <c r="V679" i="1" s="1"/>
  <c r="V680" i="1" a="1"/>
  <c r="V680" i="1" s="1"/>
  <c r="V681" i="1" a="1"/>
  <c r="V681" i="1" s="1"/>
  <c r="V682" i="1" a="1"/>
  <c r="V682" i="1" s="1"/>
  <c r="V683" i="1" a="1"/>
  <c r="V683" i="1" s="1"/>
  <c r="V684" i="1" a="1"/>
  <c r="V684" i="1" s="1"/>
  <c r="V685" i="1" a="1"/>
  <c r="V685" i="1" s="1"/>
  <c r="V686" i="1" a="1"/>
  <c r="V686" i="1" s="1"/>
  <c r="V687" i="1" a="1"/>
  <c r="V687" i="1" s="1"/>
  <c r="V688" i="1" a="1"/>
  <c r="V688" i="1" s="1"/>
  <c r="V689" i="1" a="1"/>
  <c r="V689" i="1" s="1"/>
  <c r="V690" i="1" a="1"/>
  <c r="V690" i="1" s="1"/>
  <c r="V691" i="1" a="1"/>
  <c r="V691" i="1" s="1"/>
  <c r="V692" i="1" a="1"/>
  <c r="V692" i="1" s="1"/>
  <c r="V693" i="1" a="1"/>
  <c r="V693" i="1" s="1"/>
  <c r="V694" i="1" a="1"/>
  <c r="V694" i="1" s="1"/>
  <c r="V695" i="1" a="1"/>
  <c r="V695" i="1" s="1"/>
  <c r="V696" i="1" a="1"/>
  <c r="V696" i="1" s="1"/>
  <c r="V697" i="1" a="1"/>
  <c r="V697" i="1" s="1"/>
  <c r="V698" i="1" a="1"/>
  <c r="V698" i="1" s="1"/>
  <c r="V699" i="1" a="1"/>
  <c r="V699" i="1" s="1"/>
  <c r="V700" i="1" a="1"/>
  <c r="V700" i="1" s="1"/>
  <c r="V701" i="1" a="1"/>
  <c r="V701" i="1" s="1"/>
  <c r="V702" i="1" a="1"/>
  <c r="V702" i="1" s="1"/>
  <c r="V703" i="1" a="1"/>
  <c r="V703" i="1" s="1"/>
  <c r="V704" i="1" a="1"/>
  <c r="V704" i="1" s="1"/>
  <c r="V705" i="1" a="1"/>
  <c r="V705" i="1" s="1"/>
  <c r="V706" i="1" a="1"/>
  <c r="V706" i="1" s="1"/>
  <c r="V707" i="1" a="1"/>
  <c r="V707" i="1" s="1"/>
  <c r="V708" i="1" a="1"/>
  <c r="V708" i="1" s="1"/>
  <c r="V709" i="1" a="1"/>
  <c r="V709" i="1" s="1"/>
  <c r="V710" i="1" a="1"/>
  <c r="V710" i="1" s="1"/>
  <c r="V711" i="1" a="1"/>
  <c r="V711" i="1" s="1"/>
  <c r="V712" i="1" a="1"/>
  <c r="V712" i="1" s="1"/>
  <c r="V713" i="1" a="1"/>
  <c r="V713" i="1" s="1"/>
  <c r="V714" i="1" a="1"/>
  <c r="V714" i="1" s="1"/>
  <c r="V715" i="1" a="1"/>
  <c r="V715" i="1" s="1"/>
  <c r="V716" i="1" a="1"/>
  <c r="V716" i="1" s="1"/>
  <c r="V717" i="1" a="1"/>
  <c r="V717" i="1" s="1"/>
  <c r="V718" i="1" a="1"/>
  <c r="V718" i="1" s="1"/>
  <c r="V719" i="1" a="1"/>
  <c r="V719" i="1" s="1"/>
  <c r="V720" i="1" a="1"/>
  <c r="V720" i="1" s="1"/>
  <c r="V721" i="1" a="1"/>
  <c r="V721" i="1" s="1"/>
  <c r="V722" i="1" a="1"/>
  <c r="V722" i="1" s="1"/>
  <c r="V723" i="1" a="1"/>
  <c r="V723" i="1" s="1"/>
  <c r="V724" i="1" a="1"/>
  <c r="V724" i="1" s="1"/>
  <c r="V725" i="1" a="1"/>
  <c r="V725" i="1" s="1"/>
  <c r="V726" i="1" a="1"/>
  <c r="V726" i="1" s="1"/>
  <c r="V727" i="1" a="1"/>
  <c r="V727" i="1" s="1"/>
  <c r="V728" i="1" a="1"/>
  <c r="V728" i="1" s="1"/>
  <c r="V729" i="1" a="1"/>
  <c r="V729" i="1" s="1"/>
  <c r="V730" i="1" a="1"/>
  <c r="V730" i="1" s="1"/>
  <c r="V731" i="1" a="1"/>
  <c r="V731" i="1" s="1"/>
  <c r="V732" i="1" a="1"/>
  <c r="V732" i="1" s="1"/>
  <c r="V733" i="1" a="1"/>
  <c r="V733" i="1" s="1"/>
  <c r="V734" i="1" a="1"/>
  <c r="V734" i="1" s="1"/>
  <c r="V735" i="1" a="1"/>
  <c r="V735" i="1" s="1"/>
  <c r="V736" i="1" a="1"/>
  <c r="V736" i="1" s="1"/>
  <c r="V737" i="1" a="1"/>
  <c r="V737" i="1" s="1"/>
  <c r="V738" i="1" a="1"/>
  <c r="V738" i="1" s="1"/>
  <c r="V739" i="1" a="1"/>
  <c r="V739" i="1" s="1"/>
  <c r="V740" i="1" a="1"/>
  <c r="V740" i="1" s="1"/>
  <c r="V741" i="1" a="1"/>
  <c r="V741" i="1" s="1"/>
  <c r="V742" i="1" a="1"/>
  <c r="V742" i="1" s="1"/>
  <c r="V743" i="1" a="1"/>
  <c r="V743" i="1" s="1"/>
  <c r="V744" i="1" a="1"/>
  <c r="V744" i="1" s="1"/>
  <c r="V745" i="1" a="1"/>
  <c r="V745" i="1" s="1"/>
  <c r="V746" i="1" a="1"/>
  <c r="V746" i="1" s="1"/>
  <c r="V747" i="1" a="1"/>
  <c r="V747" i="1" s="1"/>
  <c r="V748" i="1" a="1"/>
  <c r="V748" i="1" s="1"/>
  <c r="V749" i="1" a="1"/>
  <c r="V749" i="1" s="1"/>
  <c r="V750" i="1" a="1"/>
  <c r="V750" i="1" s="1"/>
  <c r="V751" i="1" a="1"/>
  <c r="V751" i="1" s="1"/>
  <c r="V752" i="1" a="1"/>
  <c r="V752" i="1" s="1"/>
  <c r="V753" i="1" a="1"/>
  <c r="V753" i="1" s="1"/>
  <c r="V754" i="1" a="1"/>
  <c r="V754" i="1" s="1"/>
  <c r="V755" i="1" a="1"/>
  <c r="V755" i="1" s="1"/>
  <c r="V756" i="1" a="1"/>
  <c r="V756" i="1" s="1"/>
  <c r="V757" i="1" a="1"/>
  <c r="V757" i="1" s="1"/>
  <c r="V758" i="1" a="1"/>
  <c r="V758" i="1" s="1"/>
  <c r="V759" i="1" a="1"/>
  <c r="V759" i="1" s="1"/>
  <c r="V760" i="1" a="1"/>
  <c r="V760" i="1" s="1"/>
  <c r="V761" i="1" a="1"/>
  <c r="V761" i="1" s="1"/>
  <c r="V762" i="1" a="1"/>
  <c r="V762" i="1" s="1"/>
  <c r="V763" i="1" a="1"/>
  <c r="V763" i="1" s="1"/>
  <c r="V764" i="1" a="1"/>
  <c r="V764" i="1" s="1"/>
  <c r="V765" i="1" a="1"/>
  <c r="V765" i="1" s="1"/>
  <c r="V766" i="1" a="1"/>
  <c r="V766" i="1" s="1"/>
  <c r="V767" i="1" a="1"/>
  <c r="V767" i="1" s="1"/>
  <c r="V768" i="1" a="1"/>
  <c r="V768" i="1" s="1"/>
  <c r="V769" i="1" a="1"/>
  <c r="V769" i="1" s="1"/>
  <c r="V770" i="1" a="1"/>
  <c r="V770" i="1" s="1"/>
  <c r="V771" i="1" a="1"/>
  <c r="V771" i="1" s="1"/>
  <c r="V772" i="1" a="1"/>
  <c r="V772" i="1" s="1"/>
  <c r="V773" i="1" a="1"/>
  <c r="V773" i="1" s="1"/>
  <c r="V774" i="1" a="1"/>
  <c r="V774" i="1" s="1"/>
  <c r="V775" i="1" a="1"/>
  <c r="V775" i="1" s="1"/>
  <c r="V776" i="1" a="1"/>
  <c r="V776" i="1" s="1"/>
  <c r="V777" i="1" a="1"/>
  <c r="V777" i="1" s="1"/>
  <c r="V778" i="1" a="1"/>
  <c r="V778" i="1" s="1"/>
  <c r="V779" i="1" a="1"/>
  <c r="V779" i="1" s="1"/>
  <c r="V780" i="1" a="1"/>
  <c r="V780" i="1" s="1"/>
  <c r="V781" i="1" a="1"/>
  <c r="V781" i="1" s="1"/>
  <c r="V782" i="1" a="1"/>
  <c r="V782" i="1" s="1"/>
  <c r="V783" i="1" a="1"/>
  <c r="V783" i="1" s="1"/>
  <c r="V784" i="1" a="1"/>
  <c r="V784" i="1" s="1"/>
  <c r="V785" i="1" a="1"/>
  <c r="V785" i="1" s="1"/>
  <c r="V786" i="1" a="1"/>
  <c r="V786" i="1" s="1"/>
  <c r="V787" i="1" a="1"/>
  <c r="V787" i="1" s="1"/>
  <c r="V788" i="1" a="1"/>
  <c r="V788" i="1" s="1"/>
  <c r="V789" i="1" a="1"/>
  <c r="V789" i="1" s="1"/>
  <c r="V790" i="1" a="1"/>
  <c r="V790" i="1" s="1"/>
  <c r="V791" i="1" a="1"/>
  <c r="V791" i="1" s="1"/>
  <c r="V792" i="1" a="1"/>
  <c r="V792" i="1" s="1"/>
  <c r="V793" i="1" a="1"/>
  <c r="V793" i="1" s="1"/>
  <c r="V794" i="1" a="1"/>
  <c r="V794" i="1" s="1"/>
  <c r="V795" i="1" a="1"/>
  <c r="V795" i="1" s="1"/>
  <c r="V796" i="1" a="1"/>
  <c r="V796" i="1" s="1"/>
  <c r="V797" i="1" a="1"/>
  <c r="V797" i="1" s="1"/>
  <c r="V798" i="1" a="1"/>
  <c r="V798" i="1" s="1"/>
  <c r="V799" i="1" a="1"/>
  <c r="V799" i="1" s="1"/>
  <c r="V800" i="1" a="1"/>
  <c r="V800" i="1" s="1"/>
  <c r="V801" i="1" a="1"/>
  <c r="V801" i="1" s="1"/>
  <c r="V802" i="1" a="1"/>
  <c r="V802" i="1" s="1"/>
  <c r="V803" i="1" a="1"/>
  <c r="V803" i="1" s="1"/>
  <c r="V804" i="1" a="1"/>
  <c r="V804" i="1" s="1"/>
  <c r="V805" i="1" a="1"/>
  <c r="V805" i="1" s="1"/>
  <c r="V806" i="1" a="1"/>
  <c r="V806" i="1" s="1"/>
  <c r="V807" i="1" a="1"/>
  <c r="V807" i="1" s="1"/>
  <c r="V808" i="1" a="1"/>
  <c r="V808" i="1" s="1"/>
  <c r="V809" i="1" a="1"/>
  <c r="V809" i="1" s="1"/>
  <c r="V810" i="1" a="1"/>
  <c r="V810" i="1" s="1"/>
  <c r="V811" i="1" a="1"/>
  <c r="V811" i="1" s="1"/>
  <c r="V812" i="1" a="1"/>
  <c r="V812" i="1" s="1"/>
  <c r="V813" i="1" a="1"/>
  <c r="V813" i="1" s="1"/>
  <c r="V814" i="1" a="1"/>
  <c r="V814" i="1" s="1"/>
  <c r="V815" i="1" a="1"/>
  <c r="V815" i="1" s="1"/>
  <c r="V816" i="1" a="1"/>
  <c r="V816" i="1" s="1"/>
  <c r="V817" i="1" a="1"/>
  <c r="V817" i="1" s="1"/>
  <c r="V818" i="1" a="1"/>
  <c r="V818" i="1" s="1"/>
  <c r="V819" i="1" a="1"/>
  <c r="V819" i="1" s="1"/>
  <c r="V820" i="1" a="1"/>
  <c r="V820" i="1" s="1"/>
  <c r="V821" i="1" a="1"/>
  <c r="V821" i="1" s="1"/>
  <c r="V822" i="1" a="1"/>
  <c r="V822" i="1" s="1"/>
  <c r="V823" i="1" a="1"/>
  <c r="V823" i="1" s="1"/>
  <c r="V824" i="1" a="1"/>
  <c r="V824" i="1" s="1"/>
  <c r="V825" i="1" a="1"/>
  <c r="V825" i="1" s="1"/>
  <c r="V826" i="1" a="1"/>
  <c r="V826" i="1" s="1"/>
  <c r="V827" i="1" a="1"/>
  <c r="V827" i="1" s="1"/>
  <c r="V828" i="1" a="1"/>
  <c r="V828" i="1" s="1"/>
  <c r="V829" i="1" a="1"/>
  <c r="V829" i="1" s="1"/>
  <c r="V830" i="1" a="1"/>
  <c r="V830" i="1" s="1"/>
  <c r="V831" i="1" a="1"/>
  <c r="V831" i="1" s="1"/>
  <c r="V832" i="1" a="1"/>
  <c r="V832" i="1" s="1"/>
  <c r="V833" i="1" a="1"/>
  <c r="V833" i="1" s="1"/>
  <c r="V834" i="1" a="1"/>
  <c r="V834" i="1" s="1"/>
  <c r="V835" i="1" a="1"/>
  <c r="V835" i="1" s="1"/>
  <c r="V836" i="1" a="1"/>
  <c r="V836" i="1" s="1"/>
  <c r="V837" i="1" a="1"/>
  <c r="V837" i="1" s="1"/>
  <c r="V838" i="1" a="1"/>
  <c r="V838" i="1" s="1"/>
  <c r="V839" i="1" a="1"/>
  <c r="V839" i="1" s="1"/>
  <c r="V840" i="1" a="1"/>
  <c r="V840" i="1" s="1"/>
  <c r="V841" i="1" a="1"/>
  <c r="V841" i="1" s="1"/>
  <c r="V842" i="1" a="1"/>
  <c r="V842" i="1" s="1"/>
  <c r="V843" i="1" a="1"/>
  <c r="V843" i="1" s="1"/>
  <c r="V844" i="1" a="1"/>
  <c r="V844" i="1" s="1"/>
  <c r="V845" i="1" a="1"/>
  <c r="V845" i="1" s="1"/>
  <c r="V846" i="1" a="1"/>
  <c r="V846" i="1" s="1"/>
  <c r="V847" i="1" a="1"/>
  <c r="V847" i="1" s="1"/>
  <c r="V848" i="1" a="1"/>
  <c r="V848" i="1" s="1"/>
  <c r="V849" i="1" a="1"/>
  <c r="V849" i="1" s="1"/>
  <c r="V850" i="1" a="1"/>
  <c r="V850" i="1" s="1"/>
  <c r="V851" i="1" a="1"/>
  <c r="V851" i="1" s="1"/>
  <c r="V852" i="1" a="1"/>
  <c r="V852" i="1" s="1"/>
  <c r="V853" i="1" a="1"/>
  <c r="V853" i="1" s="1"/>
  <c r="V854" i="1" a="1"/>
  <c r="V854" i="1" s="1"/>
  <c r="V855" i="1" a="1"/>
  <c r="V855" i="1" s="1"/>
  <c r="V856" i="1" a="1"/>
  <c r="V856" i="1" s="1"/>
  <c r="V857" i="1" a="1"/>
  <c r="V857" i="1" s="1"/>
  <c r="V858" i="1" a="1"/>
  <c r="V858" i="1" s="1"/>
  <c r="V859" i="1" a="1"/>
  <c r="V859" i="1" s="1"/>
  <c r="V860" i="1" a="1"/>
  <c r="V860" i="1" s="1"/>
  <c r="V861" i="1" a="1"/>
  <c r="V861" i="1" s="1"/>
  <c r="V862" i="1" a="1"/>
  <c r="V862" i="1" s="1"/>
  <c r="V863" i="1" a="1"/>
  <c r="V863" i="1"/>
  <c r="V864" i="1" a="1"/>
  <c r="V864" i="1"/>
  <c r="V865" i="1" a="1"/>
  <c r="V865" i="1" s="1"/>
  <c r="V866" i="1" a="1"/>
  <c r="V866" i="1"/>
  <c r="V867" i="1" a="1"/>
  <c r="V867" i="1" s="1"/>
  <c r="V868" i="1" a="1"/>
  <c r="V868" i="1" s="1"/>
  <c r="V869" i="1" a="1"/>
  <c r="V869" i="1" s="1"/>
  <c r="V870" i="1" a="1"/>
  <c r="V870" i="1" s="1"/>
  <c r="V871" i="1" a="1"/>
  <c r="V871" i="1" s="1"/>
  <c r="V872" i="1" a="1"/>
  <c r="V872" i="1" s="1"/>
  <c r="V873" i="1" a="1"/>
  <c r="V873" i="1" s="1"/>
  <c r="V874" i="1" a="1"/>
  <c r="V874" i="1"/>
  <c r="V875" i="1" a="1"/>
  <c r="V875" i="1" s="1"/>
  <c r="V876" i="1" a="1"/>
  <c r="V876" i="1" s="1"/>
  <c r="V877" i="1" a="1"/>
  <c r="V877" i="1"/>
  <c r="V878" i="1" a="1"/>
  <c r="V878" i="1" s="1"/>
  <c r="V879" i="1" a="1"/>
  <c r="V879" i="1" s="1"/>
  <c r="V880" i="1" a="1"/>
  <c r="V880" i="1" s="1"/>
  <c r="V881" i="1" a="1"/>
  <c r="V881" i="1" s="1"/>
  <c r="V882" i="1" a="1"/>
  <c r="V882" i="1" s="1"/>
  <c r="V883" i="1" a="1"/>
  <c r="V883" i="1" s="1"/>
  <c r="V884" i="1" a="1"/>
  <c r="V884" i="1" s="1"/>
  <c r="V885" i="1" a="1"/>
  <c r="V885" i="1" s="1"/>
  <c r="V886" i="1" a="1"/>
  <c r="V886" i="1"/>
  <c r="V887" i="1" a="1"/>
  <c r="V887" i="1" s="1"/>
  <c r="V888" i="1" a="1"/>
  <c r="V888" i="1"/>
  <c r="V889" i="1" a="1"/>
  <c r="V889" i="1" s="1"/>
  <c r="V890" i="1" a="1"/>
  <c r="V890" i="1" s="1"/>
  <c r="V891" i="1" a="1"/>
  <c r="V891" i="1" s="1"/>
  <c r="V892" i="1" a="1"/>
  <c r="V892" i="1" s="1"/>
  <c r="V893" i="1" a="1"/>
  <c r="V893" i="1" s="1"/>
  <c r="V894" i="1" a="1"/>
  <c r="V894" i="1" s="1"/>
  <c r="V895" i="1" a="1"/>
  <c r="V895" i="1" s="1"/>
  <c r="V896" i="1" a="1"/>
  <c r="V896" i="1" s="1"/>
  <c r="V897" i="1" a="1"/>
  <c r="V897" i="1" s="1"/>
  <c r="V898" i="1" a="1"/>
  <c r="V898" i="1"/>
  <c r="V899" i="1" a="1"/>
  <c r="V899" i="1"/>
  <c r="V900" i="1" a="1"/>
  <c r="V900" i="1" s="1"/>
  <c r="V901" i="1" a="1"/>
  <c r="V901" i="1" s="1"/>
  <c r="V902" i="1" a="1"/>
  <c r="V902" i="1"/>
  <c r="V903" i="1" a="1"/>
  <c r="V903" i="1" s="1"/>
  <c r="V904" i="1" a="1"/>
  <c r="V904" i="1" s="1"/>
  <c r="V905" i="1" a="1"/>
  <c r="V905" i="1" s="1"/>
  <c r="V906" i="1" a="1"/>
  <c r="V906" i="1" s="1"/>
  <c r="V907" i="1" a="1"/>
  <c r="V907" i="1" s="1"/>
  <c r="V908" i="1" a="1"/>
  <c r="V908" i="1" s="1"/>
  <c r="V909" i="1" a="1"/>
  <c r="V909" i="1" s="1"/>
  <c r="V910" i="1" a="1"/>
  <c r="V910" i="1"/>
  <c r="V911" i="1" a="1"/>
  <c r="V911" i="1"/>
  <c r="V912" i="1" a="1"/>
  <c r="V912" i="1" s="1"/>
  <c r="V913" i="1" a="1"/>
  <c r="V913" i="1" s="1"/>
  <c r="V914" i="1" a="1"/>
  <c r="V914" i="1" s="1"/>
  <c r="V915" i="1" a="1"/>
  <c r="V915" i="1" s="1"/>
  <c r="V916" i="1" a="1"/>
  <c r="V916" i="1" s="1"/>
  <c r="V917" i="1" a="1"/>
  <c r="V917" i="1" s="1"/>
  <c r="V918" i="1" a="1"/>
  <c r="V918" i="1" s="1"/>
  <c r="V919" i="1" a="1"/>
  <c r="V919" i="1" s="1"/>
  <c r="V920" i="1" a="1"/>
  <c r="V920" i="1" s="1"/>
  <c r="V921" i="1" a="1"/>
  <c r="V921" i="1" s="1"/>
  <c r="V922" i="1" a="1"/>
  <c r="V922" i="1" s="1"/>
  <c r="V923" i="1" a="1"/>
  <c r="V923" i="1"/>
  <c r="V924" i="1" a="1"/>
  <c r="V924" i="1"/>
  <c r="V925" i="1" a="1"/>
  <c r="V925" i="1" s="1"/>
  <c r="V926" i="1" a="1"/>
  <c r="V926" i="1" s="1"/>
  <c r="V927" i="1" a="1"/>
  <c r="V927" i="1" s="1"/>
  <c r="V928" i="1" a="1"/>
  <c r="V928" i="1" s="1"/>
  <c r="V929" i="1" a="1"/>
  <c r="V929" i="1" s="1"/>
  <c r="V930" i="1" a="1"/>
  <c r="V930" i="1" s="1"/>
  <c r="V931" i="1" a="1"/>
  <c r="V931" i="1" s="1"/>
  <c r="V932" i="1" a="1"/>
  <c r="V932" i="1" s="1"/>
  <c r="V933" i="1" a="1"/>
  <c r="V933" i="1" s="1"/>
  <c r="V934" i="1" a="1"/>
  <c r="V934" i="1" s="1"/>
  <c r="V935" i="1" a="1"/>
  <c r="V935" i="1"/>
  <c r="V936" i="1" a="1"/>
  <c r="V936" i="1"/>
  <c r="V937" i="1" a="1"/>
  <c r="V937" i="1" s="1"/>
  <c r="V938" i="1" a="1"/>
  <c r="V938" i="1"/>
  <c r="V939" i="1" a="1"/>
  <c r="V939" i="1" s="1"/>
  <c r="V940" i="1" a="1"/>
  <c r="V940" i="1" s="1"/>
  <c r="V941" i="1" a="1"/>
  <c r="V941" i="1" s="1"/>
  <c r="V942" i="1" a="1"/>
  <c r="V942" i="1" s="1"/>
  <c r="V943" i="1" a="1"/>
  <c r="V943" i="1" s="1"/>
  <c r="V944" i="1" a="1"/>
  <c r="V944" i="1" s="1"/>
  <c r="V945" i="1" a="1"/>
  <c r="V945" i="1" s="1"/>
  <c r="V946" i="1" a="1"/>
  <c r="V946" i="1"/>
  <c r="V947" i="1" a="1"/>
  <c r="V947" i="1" s="1"/>
  <c r="V948" i="1" a="1"/>
  <c r="V948" i="1"/>
  <c r="V949" i="1" a="1"/>
  <c r="V949" i="1"/>
  <c r="V950" i="1" a="1"/>
  <c r="V950" i="1" s="1"/>
  <c r="V951" i="1" a="1"/>
  <c r="V951" i="1" s="1"/>
  <c r="V952" i="1" a="1"/>
  <c r="V952" i="1" s="1"/>
  <c r="V953" i="1" a="1"/>
  <c r="V953" i="1" s="1"/>
  <c r="V954" i="1" a="1"/>
  <c r="V954" i="1" s="1"/>
  <c r="V955" i="1" a="1"/>
  <c r="V955" i="1" s="1"/>
  <c r="V956" i="1" a="1"/>
  <c r="V956" i="1" s="1"/>
  <c r="V957" i="1" a="1"/>
  <c r="V957" i="1" s="1"/>
  <c r="V958" i="1" a="1"/>
  <c r="V958" i="1"/>
  <c r="V959" i="1" a="1"/>
  <c r="V959" i="1" s="1"/>
  <c r="V960" i="1" a="1"/>
  <c r="V960" i="1"/>
  <c r="V961" i="1" a="1"/>
  <c r="V961" i="1" s="1"/>
  <c r="V962" i="1" a="1"/>
  <c r="V962" i="1" s="1"/>
  <c r="V963" i="1" a="1"/>
  <c r="V963" i="1" s="1"/>
  <c r="V964" i="1" a="1"/>
  <c r="V964" i="1" s="1"/>
  <c r="V965" i="1" a="1"/>
  <c r="V965" i="1" s="1"/>
  <c r="V966" i="1" a="1"/>
  <c r="V966" i="1" s="1"/>
  <c r="V967" i="1" a="1"/>
  <c r="V967" i="1" s="1"/>
  <c r="V968" i="1" a="1"/>
  <c r="V968" i="1" s="1"/>
  <c r="V969" i="1" a="1"/>
  <c r="V969" i="1" s="1"/>
  <c r="V970" i="1" a="1"/>
  <c r="V970" i="1" s="1"/>
  <c r="V971" i="1" a="1"/>
  <c r="V971" i="1"/>
  <c r="V972" i="1" a="1"/>
  <c r="V972" i="1" s="1"/>
  <c r="V973" i="1" a="1"/>
  <c r="V973" i="1"/>
  <c r="V974" i="1" a="1"/>
  <c r="V974" i="1"/>
  <c r="V975" i="1" a="1"/>
  <c r="V975" i="1" s="1"/>
  <c r="V976" i="1" a="1"/>
  <c r="V976" i="1" s="1"/>
  <c r="V977" i="1" a="1"/>
  <c r="V977" i="1" s="1"/>
  <c r="V978" i="1" a="1"/>
  <c r="V978" i="1" s="1"/>
  <c r="V979" i="1" a="1"/>
  <c r="V979" i="1" s="1"/>
  <c r="V980" i="1" a="1"/>
  <c r="V980" i="1" s="1"/>
  <c r="V981" i="1" a="1"/>
  <c r="V981" i="1" s="1"/>
  <c r="V982" i="1" a="1"/>
  <c r="V982" i="1"/>
  <c r="V983" i="1" a="1"/>
  <c r="V983" i="1"/>
  <c r="V984" i="1" a="1"/>
  <c r="V984" i="1" s="1"/>
  <c r="V985" i="1" a="1"/>
  <c r="V985" i="1"/>
  <c r="V986" i="1" a="1"/>
  <c r="V986" i="1" s="1"/>
  <c r="V987" i="1" a="1"/>
  <c r="V987" i="1" s="1"/>
  <c r="V988" i="1" a="1"/>
  <c r="V988" i="1" s="1"/>
  <c r="V989" i="1" a="1"/>
  <c r="V989" i="1" s="1"/>
  <c r="V990" i="1" a="1"/>
  <c r="V990" i="1" s="1"/>
  <c r="V991" i="1" a="1"/>
  <c r="V991" i="1" s="1"/>
  <c r="V992" i="1" a="1"/>
  <c r="V992" i="1" s="1"/>
  <c r="V993" i="1" a="1"/>
  <c r="V993" i="1" s="1"/>
  <c r="V994" i="1" a="1"/>
  <c r="V994" i="1" s="1"/>
  <c r="V995" i="1" a="1"/>
  <c r="V995" i="1" s="1"/>
  <c r="V996" i="1" a="1"/>
  <c r="V996" i="1"/>
  <c r="V997" i="1" a="1"/>
  <c r="V997" i="1" s="1"/>
  <c r="V998" i="1" a="1"/>
  <c r="V998" i="1"/>
  <c r="V999" i="1" a="1"/>
  <c r="V999" i="1" s="1"/>
  <c r="V1000" i="1" a="1"/>
  <c r="V1000" i="1" s="1"/>
  <c r="V1001" i="1" a="1"/>
  <c r="V1001" i="1" s="1"/>
  <c r="V2" i="1" a="1"/>
  <c r="V2" i="1" s="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Q1001" i="1" l="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alcChain>
</file>

<file path=xl/sharedStrings.xml><?xml version="1.0" encoding="utf-8"?>
<sst xmlns="http://schemas.openxmlformats.org/spreadsheetml/2006/main" count="89" uniqueCount="39">
  <si>
    <t>instant</t>
  </si>
  <si>
    <t>dteday</t>
  </si>
  <si>
    <t>season</t>
  </si>
  <si>
    <t>yr</t>
  </si>
  <si>
    <t>mnth</t>
  </si>
  <si>
    <t>hr</t>
  </si>
  <si>
    <t>holiday</t>
  </si>
  <si>
    <t>weekday</t>
  </si>
  <si>
    <t>weathersit</t>
  </si>
  <si>
    <t>temp</t>
  </si>
  <si>
    <t>atemp</t>
  </si>
  <si>
    <t>hum</t>
  </si>
  <si>
    <t>windspeed</t>
  </si>
  <si>
    <t>casual</t>
  </si>
  <si>
    <t>registered</t>
  </si>
  <si>
    <t>cnt</t>
  </si>
  <si>
    <t>ttt</t>
  </si>
  <si>
    <t>weekday 2</t>
  </si>
  <si>
    <t>weathersit 2</t>
  </si>
  <si>
    <t>Hum by Rental</t>
  </si>
  <si>
    <t>windspeed by rental</t>
  </si>
  <si>
    <t>Row Labels</t>
  </si>
  <si>
    <t>Grand Total</t>
  </si>
  <si>
    <t>Sum of cnt</t>
  </si>
  <si>
    <t>Average of cnt</t>
  </si>
  <si>
    <t>Clear</t>
  </si>
  <si>
    <t>Light Snow/Rain</t>
  </si>
  <si>
    <t>Mist/Cloudy</t>
  </si>
  <si>
    <t>Weekday</t>
  </si>
  <si>
    <t>Weekend</t>
  </si>
  <si>
    <t>Sum of casual</t>
  </si>
  <si>
    <t>Sum of registered</t>
  </si>
  <si>
    <t xml:space="preserve">Total Rentals
</t>
  </si>
  <si>
    <t xml:space="preserve">Average Rentals
</t>
  </si>
  <si>
    <t xml:space="preserve">Max  Rentals( In a Hour)
</t>
  </si>
  <si>
    <t>Tem by Rentals</t>
  </si>
  <si>
    <t>weekday2</t>
  </si>
  <si>
    <t>wethersit 2</t>
  </si>
  <si>
    <t>Unnamed: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</si>
</sst>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rgb="FFFF0000"/>
      <name val="Calibri"/>
      <family val="2"/>
      <scheme val="minor"/>
    </font>
    <font>
      <sz val="22"/>
      <color theme="1"/>
      <name val="Calibri"/>
      <family val="2"/>
      <scheme val="minor"/>
    </font>
    <font>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0" borderId="0" xfId="0" applyFont="1" applyAlignment="1">
      <alignment vertical="top" wrapText="1"/>
    </xf>
    <xf numFmtId="0" fontId="0" fillId="0" borderId="0" xfId="0" applyAlignment="1">
      <alignment horizontal="center" vertical="top"/>
    </xf>
    <xf numFmtId="2" fontId="0" fillId="0" borderId="0" xfId="0" applyNumberFormat="1"/>
    <xf numFmtId="0" fontId="20" fillId="0" borderId="0" xfId="0" applyFont="1"/>
    <xf numFmtId="14" fontId="20" fillId="0" borderId="0" xfId="0" applyNumberFormat="1" applyFont="1" applyAlignment="1">
      <alignment horizontal="center"/>
    </xf>
    <xf numFmtId="0" fontId="1" fillId="0" borderId="0" xfId="0" applyFont="1"/>
    <xf numFmtId="0" fontId="18" fillId="0" borderId="0" xfId="0" applyFont="1" applyAlignment="1">
      <alignment horizontal="center" vertical="top" wrapText="1"/>
    </xf>
    <xf numFmtId="0" fontId="14"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0" formatCode="General"/>
    </dxf>
    <dxf>
      <numFmt numFmtId="0" formatCode="General"/>
    </dxf>
    <dxf>
      <numFmt numFmtId="0" formatCode="General"/>
    </dxf>
    <dxf>
      <numFmt numFmtId="19" formatCode="m/d/yyyy"/>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'final merge data'!#REF!</c:f>
            </c:numRef>
          </c:xVal>
          <c:yVal>
            <c:numRef>
              <c:f>'final merge data'!#REF!</c:f>
              <c:numCache>
                <c:formatCode>General</c:formatCode>
                <c:ptCount val="1"/>
                <c:pt idx="0">
                  <c:v>1</c:v>
                </c:pt>
              </c:numCache>
            </c:numRef>
          </c:yVal>
          <c:smooth val="0"/>
          <c:extLst>
            <c:ext xmlns:c16="http://schemas.microsoft.com/office/drawing/2014/chart" uri="{C3380CC4-5D6E-409C-BE32-E72D297353CC}">
              <c16:uniqueId val="{00000000-6A79-44BC-AFC0-3DD47086D810}"/>
            </c:ext>
          </c:extLst>
        </c:ser>
        <c:dLbls>
          <c:showLegendKey val="0"/>
          <c:showVal val="0"/>
          <c:showCatName val="0"/>
          <c:showSerName val="0"/>
          <c:showPercent val="0"/>
          <c:showBubbleSize val="0"/>
        </c:dLbls>
        <c:axId val="305899776"/>
        <c:axId val="305901568"/>
      </c:scatterChart>
      <c:valAx>
        <c:axId val="305899776"/>
        <c:scaling>
          <c:orientation val="minMax"/>
        </c:scaling>
        <c:delete val="0"/>
        <c:axPos val="b"/>
        <c:majorTickMark val="out"/>
        <c:minorTickMark val="none"/>
        <c:tickLblPos val="nextTo"/>
        <c:crossAx val="305901568"/>
        <c:crosses val="autoZero"/>
        <c:crossBetween val="midCat"/>
      </c:valAx>
      <c:valAx>
        <c:axId val="305901568"/>
        <c:scaling>
          <c:orientation val="minMax"/>
        </c:scaling>
        <c:delete val="0"/>
        <c:axPos val="l"/>
        <c:majorGridlines/>
        <c:numFmt formatCode="General" sourceLinked="1"/>
        <c:majorTickMark val="out"/>
        <c:minorTickMark val="none"/>
        <c:tickLblPos val="nextTo"/>
        <c:crossAx val="30589977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OF ALL SHEETS.xlsx]SEASON CHART BAR!PivotTable5</c:name>
    <c:fmtId val="0"/>
  </c:pivotSource>
  <c:chart>
    <c:title>
      <c:overlay val="0"/>
    </c:title>
    <c:autoTitleDeleted val="0"/>
    <c:pivotFmts>
      <c:pivotFmt>
        <c:idx val="0"/>
        <c:spPr>
          <a:solidFill>
            <a:srgbClr val="002060"/>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'SEASON CHART BAR'!$B$3</c:f>
              <c:strCache>
                <c:ptCount val="1"/>
                <c:pt idx="0">
                  <c:v>Total</c:v>
                </c:pt>
              </c:strCache>
            </c:strRef>
          </c:tx>
          <c:spPr>
            <a:solidFill>
              <a:srgbClr val="002060"/>
            </a:solidFill>
          </c:spPr>
          <c:invertIfNegative val="0"/>
          <c:cat>
            <c:strRef>
              <c:f>'SEASON CHART BAR'!$A$4:$A$5</c:f>
              <c:strCache>
                <c:ptCount val="1"/>
                <c:pt idx="0">
                  <c:v>1</c:v>
                </c:pt>
              </c:strCache>
            </c:strRef>
          </c:cat>
          <c:val>
            <c:numRef>
              <c:f>'SEASON CHART BAR'!$B$4:$B$5</c:f>
              <c:numCache>
                <c:formatCode>General</c:formatCode>
                <c:ptCount val="1"/>
                <c:pt idx="0">
                  <c:v>20115</c:v>
                </c:pt>
              </c:numCache>
            </c:numRef>
          </c:val>
          <c:extLst>
            <c:ext xmlns:c16="http://schemas.microsoft.com/office/drawing/2014/chart" uri="{C3380CC4-5D6E-409C-BE32-E72D297353CC}">
              <c16:uniqueId val="{00000000-1DB6-4C14-B0E6-0BF9F398A460}"/>
            </c:ext>
          </c:extLst>
        </c:ser>
        <c:dLbls>
          <c:showLegendKey val="0"/>
          <c:showVal val="0"/>
          <c:showCatName val="0"/>
          <c:showSerName val="0"/>
          <c:showPercent val="0"/>
          <c:showBubbleSize val="0"/>
        </c:dLbls>
        <c:gapWidth val="150"/>
        <c:axId val="305821568"/>
        <c:axId val="305823104"/>
      </c:barChart>
      <c:catAx>
        <c:axId val="305821568"/>
        <c:scaling>
          <c:orientation val="minMax"/>
        </c:scaling>
        <c:delete val="0"/>
        <c:axPos val="l"/>
        <c:numFmt formatCode="General" sourceLinked="0"/>
        <c:majorTickMark val="out"/>
        <c:minorTickMark val="none"/>
        <c:tickLblPos val="nextTo"/>
        <c:crossAx val="305823104"/>
        <c:crosses val="autoZero"/>
        <c:auto val="1"/>
        <c:lblAlgn val="ctr"/>
        <c:lblOffset val="100"/>
        <c:noMultiLvlLbl val="0"/>
      </c:catAx>
      <c:valAx>
        <c:axId val="305823104"/>
        <c:scaling>
          <c:orientation val="minMax"/>
        </c:scaling>
        <c:delete val="0"/>
        <c:axPos val="b"/>
        <c:majorGridlines/>
        <c:numFmt formatCode="General" sourceLinked="1"/>
        <c:majorTickMark val="out"/>
        <c:minorTickMark val="none"/>
        <c:tickLblPos val="nextTo"/>
        <c:crossAx val="30582156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OF ALL SHEETS.xlsx]Hourly Trend (Line Chart)!PivotTable1</c:name>
    <c:fmtId val="0"/>
  </c:pivotSource>
  <c:chart>
    <c:title>
      <c:overlay val="0"/>
    </c:title>
    <c:autoTitleDeleted val="0"/>
    <c:pivotFmts>
      <c:pivotFmt>
        <c:idx val="0"/>
        <c:spPr>
          <a:ln>
            <a:solidFill>
              <a:srgbClr val="00B050"/>
            </a:solidFill>
          </a:ln>
        </c:spPr>
        <c:marker>
          <c:spPr>
            <a:ln>
              <a:solidFill>
                <a:srgbClr val="00B050"/>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'Hourly Trend (Line Chart)'!$B$3</c:f>
              <c:strCache>
                <c:ptCount val="1"/>
                <c:pt idx="0">
                  <c:v>Total</c:v>
                </c:pt>
              </c:strCache>
            </c:strRef>
          </c:tx>
          <c:spPr>
            <a:ln>
              <a:solidFill>
                <a:srgbClr val="00B050"/>
              </a:solidFill>
            </a:ln>
          </c:spPr>
          <c:marker>
            <c:spPr>
              <a:ln>
                <a:solidFill>
                  <a:srgbClr val="00B050"/>
                </a:solidFill>
              </a:ln>
            </c:spPr>
          </c:marker>
          <c:cat>
            <c:strRef>
              <c:f>'Hourly Trend (Line Chart)'!$A$4:$A$28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Trend (Line Chart)'!$B$4:$B$28</c:f>
              <c:numCache>
                <c:formatCode>General</c:formatCode>
                <c:ptCount val="24"/>
                <c:pt idx="0">
                  <c:v>18.928571428571427</c:v>
                </c:pt>
                <c:pt idx="1">
                  <c:v>11.785714285714286</c:v>
                </c:pt>
                <c:pt idx="2">
                  <c:v>6.9285714285714288</c:v>
                </c:pt>
                <c:pt idx="3">
                  <c:v>4.75</c:v>
                </c:pt>
                <c:pt idx="4">
                  <c:v>2.7777777777777777</c:v>
                </c:pt>
                <c:pt idx="5">
                  <c:v>4.4615384615384617</c:v>
                </c:pt>
                <c:pt idx="6">
                  <c:v>21.928571428571427</c:v>
                </c:pt>
                <c:pt idx="7">
                  <c:v>61.857142857142854</c:v>
                </c:pt>
                <c:pt idx="8">
                  <c:v>141.46153846153845</c:v>
                </c:pt>
                <c:pt idx="9">
                  <c:v>99.384615384615387</c:v>
                </c:pt>
                <c:pt idx="10">
                  <c:v>58.769230769230766</c:v>
                </c:pt>
                <c:pt idx="11">
                  <c:v>66.769230769230774</c:v>
                </c:pt>
                <c:pt idx="12">
                  <c:v>84.92307692307692</c:v>
                </c:pt>
                <c:pt idx="13">
                  <c:v>89.07692307692308</c:v>
                </c:pt>
                <c:pt idx="14">
                  <c:v>82</c:v>
                </c:pt>
                <c:pt idx="15">
                  <c:v>88.07692307692308</c:v>
                </c:pt>
                <c:pt idx="16">
                  <c:v>102.46153846153847</c:v>
                </c:pt>
                <c:pt idx="17">
                  <c:v>164.69230769230768</c:v>
                </c:pt>
                <c:pt idx="18">
                  <c:v>138.69230769230768</c:v>
                </c:pt>
                <c:pt idx="19">
                  <c:v>87.307692307692307</c:v>
                </c:pt>
                <c:pt idx="20">
                  <c:v>69.15384615384616</c:v>
                </c:pt>
                <c:pt idx="21">
                  <c:v>57.153846153846153</c:v>
                </c:pt>
                <c:pt idx="22">
                  <c:v>42.846153846153847</c:v>
                </c:pt>
                <c:pt idx="23">
                  <c:v>33</c:v>
                </c:pt>
              </c:numCache>
            </c:numRef>
          </c:val>
          <c:smooth val="0"/>
          <c:extLst>
            <c:ext xmlns:c16="http://schemas.microsoft.com/office/drawing/2014/chart" uri="{C3380CC4-5D6E-409C-BE32-E72D297353CC}">
              <c16:uniqueId val="{00000000-2A8E-4706-B0E0-662D722A8B70}"/>
            </c:ext>
          </c:extLst>
        </c:ser>
        <c:dLbls>
          <c:showLegendKey val="0"/>
          <c:showVal val="0"/>
          <c:showCatName val="0"/>
          <c:showSerName val="0"/>
          <c:showPercent val="0"/>
          <c:showBubbleSize val="0"/>
        </c:dLbls>
        <c:marker val="1"/>
        <c:smooth val="0"/>
        <c:axId val="305440640"/>
        <c:axId val="305446912"/>
      </c:lineChart>
      <c:catAx>
        <c:axId val="305440640"/>
        <c:scaling>
          <c:orientation val="minMax"/>
        </c:scaling>
        <c:delete val="0"/>
        <c:axPos val="b"/>
        <c:numFmt formatCode="General" sourceLinked="0"/>
        <c:majorTickMark val="out"/>
        <c:minorTickMark val="none"/>
        <c:tickLblPos val="nextTo"/>
        <c:crossAx val="305446912"/>
        <c:crosses val="autoZero"/>
        <c:auto val="1"/>
        <c:lblAlgn val="ctr"/>
        <c:lblOffset val="100"/>
        <c:noMultiLvlLbl val="0"/>
      </c:catAx>
      <c:valAx>
        <c:axId val="305446912"/>
        <c:scaling>
          <c:orientation val="minMax"/>
        </c:scaling>
        <c:delete val="0"/>
        <c:axPos val="l"/>
        <c:majorGridlines>
          <c:spPr>
            <a:ln>
              <a:solidFill>
                <a:schemeClr val="accent4">
                  <a:lumMod val="60000"/>
                  <a:lumOff val="40000"/>
                </a:schemeClr>
              </a:solidFill>
            </a:ln>
          </c:spPr>
        </c:majorGridlines>
        <c:numFmt formatCode="General" sourceLinked="1"/>
        <c:majorTickMark val="out"/>
        <c:minorTickMark val="none"/>
        <c:tickLblPos val="nextTo"/>
        <c:crossAx val="30544064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OF ALL SHEETS.xlsx]WEATHER IMPECT PIE CHART!PivotTable2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'WEATHER IMPECT PIE CHART'!$B$3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846-4184-93E0-A471966B6FB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C9-4188-9353-CD5C2B32AEB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EC9-4188-9353-CD5C2B32AEB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'WEATHER IMPECT PIE CHART'!$A$4:$A$7</c:f>
              <c:strCache>
                <c:ptCount val="3"/>
                <c:pt idx="0">
                  <c:v>Clear</c:v>
                </c:pt>
                <c:pt idx="1">
                  <c:v>Light Snow/Rain</c:v>
                </c:pt>
                <c:pt idx="2">
                  <c:v>Mist/Cloudy</c:v>
                </c:pt>
              </c:strCache>
            </c:strRef>
          </c:cat>
          <c:val>
            <c:numRef>
              <c:f>'WEATHER IMPECT PIE CHART'!$B$4:$B$7</c:f>
              <c:numCache>
                <c:formatCode>General</c:formatCode>
                <c:ptCount val="3"/>
                <c:pt idx="0">
                  <c:v>13287</c:v>
                </c:pt>
                <c:pt idx="1">
                  <c:v>1192</c:v>
                </c:pt>
                <c:pt idx="2">
                  <c:v>5636</c:v>
                </c:pt>
              </c:numCache>
            </c:numRef>
          </c:val>
          <c:extLst>
            <c:ext xmlns:c16="http://schemas.microsoft.com/office/drawing/2014/chart" uri="{C3380CC4-5D6E-409C-BE32-E72D297353CC}">
              <c16:uniqueId val="{00000002-B846-4184-93E0-A471966B6FB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OF ALL SHEETS.xlsx]WEEKDAY BY WEEKEND COLOUMN CHAT!PivotTable3</c:name>
    <c:fmtId val="0"/>
  </c:pivotSource>
  <c:chart>
    <c:title>
      <c:overlay val="0"/>
    </c:title>
    <c:autoTitleDeleted val="0"/>
    <c:pivotFmts>
      <c:pivotFmt>
        <c:idx val="0"/>
        <c:spPr>
          <a:gradFill>
            <a:gsLst>
              <a:gs pos="0">
                <a:srgbClr val="5E9EFF"/>
              </a:gs>
              <a:gs pos="39999">
                <a:srgbClr val="85C2FF"/>
              </a:gs>
              <a:gs pos="70000">
                <a:srgbClr val="C4D6EB"/>
              </a:gs>
              <a:gs pos="100000">
                <a:srgbClr val="FFEBFA"/>
              </a:gs>
            </a:gsLst>
            <a:lin ang="5400000" scaled="0"/>
          </a:gradFill>
          <a:ln>
            <a:solidFill>
              <a:srgbClr val="0070C0"/>
            </a:solid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'WEEKDAY BY WEEKEND COLOUMN CHAT'!$B$3</c:f>
              <c:strCache>
                <c:ptCount val="1"/>
                <c:pt idx="0">
                  <c:v>Total</c:v>
                </c:pt>
              </c:strCache>
            </c:strRef>
          </c:tx>
          <c:spPr>
            <a:gradFill>
              <a:gsLst>
                <a:gs pos="0">
                  <a:srgbClr val="5E9EFF"/>
                </a:gs>
                <a:gs pos="39999">
                  <a:srgbClr val="85C2FF"/>
                </a:gs>
                <a:gs pos="70000">
                  <a:srgbClr val="C4D6EB"/>
                </a:gs>
                <a:gs pos="100000">
                  <a:srgbClr val="FFEBFA"/>
                </a:gs>
              </a:gsLst>
              <a:lin ang="5400000" scaled="0"/>
            </a:gradFill>
            <a:ln>
              <a:solidFill>
                <a:srgbClr val="0070C0"/>
              </a:solidFill>
            </a:ln>
          </c:spPr>
          <c:invertIfNegative val="0"/>
          <c:cat>
            <c:strRef>
              <c:f>'WEEKDAY BY WEEKEND COLOUMN CHAT'!$A$4:$A$6</c:f>
              <c:strCache>
                <c:ptCount val="2"/>
                <c:pt idx="0">
                  <c:v>Weekday</c:v>
                </c:pt>
                <c:pt idx="1">
                  <c:v>Weekend</c:v>
                </c:pt>
              </c:strCache>
            </c:strRef>
          </c:cat>
          <c:val>
            <c:numRef>
              <c:f>'WEEKDAY BY WEEKEND COLOUMN CHAT'!$B$4:$B$6</c:f>
              <c:numCache>
                <c:formatCode>General</c:formatCode>
                <c:ptCount val="2"/>
                <c:pt idx="0">
                  <c:v>64.504464285714292</c:v>
                </c:pt>
                <c:pt idx="1">
                  <c:v>64.38636363636364</c:v>
                </c:pt>
              </c:numCache>
            </c:numRef>
          </c:val>
          <c:extLst>
            <c:ext xmlns:c16="http://schemas.microsoft.com/office/drawing/2014/chart" uri="{C3380CC4-5D6E-409C-BE32-E72D297353CC}">
              <c16:uniqueId val="{00000000-2930-4F76-9376-4AAC8950C7FF}"/>
            </c:ext>
          </c:extLst>
        </c:ser>
        <c:dLbls>
          <c:showLegendKey val="0"/>
          <c:showVal val="0"/>
          <c:showCatName val="0"/>
          <c:showSerName val="0"/>
          <c:showPercent val="0"/>
          <c:showBubbleSize val="0"/>
        </c:dLbls>
        <c:gapWidth val="150"/>
        <c:axId val="303244032"/>
        <c:axId val="303245568"/>
      </c:barChart>
      <c:catAx>
        <c:axId val="303244032"/>
        <c:scaling>
          <c:orientation val="minMax"/>
        </c:scaling>
        <c:delete val="0"/>
        <c:axPos val="b"/>
        <c:numFmt formatCode="General" sourceLinked="0"/>
        <c:majorTickMark val="out"/>
        <c:minorTickMark val="none"/>
        <c:tickLblPos val="nextTo"/>
        <c:crossAx val="303245568"/>
        <c:crosses val="autoZero"/>
        <c:auto val="1"/>
        <c:lblAlgn val="ctr"/>
        <c:lblOffset val="100"/>
        <c:noMultiLvlLbl val="0"/>
      </c:catAx>
      <c:valAx>
        <c:axId val="303245568"/>
        <c:scaling>
          <c:orientation val="minMax"/>
        </c:scaling>
        <c:delete val="0"/>
        <c:axPos val="l"/>
        <c:majorGridlines/>
        <c:numFmt formatCode="General" sourceLinked="1"/>
        <c:majorTickMark val="out"/>
        <c:minorTickMark val="none"/>
        <c:tickLblPos val="nextTo"/>
        <c:crossAx val="3032440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OF ALL SHEETS.xlsx]TYPE OF MONTH BY CSTACKED CHARD!PivotTable4</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rgbClr val="FF0000"/>
          </a:solidFill>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'TYPE OF MONTH BY CSTACKED CHARD'!$B$3</c:f>
              <c:strCache>
                <c:ptCount val="1"/>
                <c:pt idx="0">
                  <c:v>Sum of casual</c:v>
                </c:pt>
              </c:strCache>
            </c:strRef>
          </c:tx>
          <c:invertIfNegative val="0"/>
          <c:cat>
            <c:strRef>
              <c:f>'TYPE OF MONTH BY CSTACKED CHARD'!$A$4:$A$5</c:f>
              <c:strCache>
                <c:ptCount val="1"/>
                <c:pt idx="0">
                  <c:v>2</c:v>
                </c:pt>
              </c:strCache>
            </c:strRef>
          </c:cat>
          <c:val>
            <c:numRef>
              <c:f>'TYPE OF MONTH BY CSTACKED CHARD'!$B$4:$B$5</c:f>
              <c:numCache>
                <c:formatCode>General</c:formatCode>
                <c:ptCount val="1"/>
                <c:pt idx="0">
                  <c:v>1848</c:v>
                </c:pt>
              </c:numCache>
            </c:numRef>
          </c:val>
          <c:extLst>
            <c:ext xmlns:c16="http://schemas.microsoft.com/office/drawing/2014/chart" uri="{C3380CC4-5D6E-409C-BE32-E72D297353CC}">
              <c16:uniqueId val="{00000000-C830-4000-9517-F789FF99412D}"/>
            </c:ext>
          </c:extLst>
        </c:ser>
        <c:ser>
          <c:idx val="1"/>
          <c:order val="1"/>
          <c:tx>
            <c:strRef>
              <c:f>'TYPE OF MONTH BY CSTACKED CHARD'!$C$3</c:f>
              <c:strCache>
                <c:ptCount val="1"/>
                <c:pt idx="0">
                  <c:v>Sum of registered</c:v>
                </c:pt>
              </c:strCache>
            </c:strRef>
          </c:tx>
          <c:spPr>
            <a:solidFill>
              <a:srgbClr val="FF0000"/>
            </a:solidFill>
          </c:spPr>
          <c:invertIfNegative val="0"/>
          <c:cat>
            <c:strRef>
              <c:f>'TYPE OF MONTH BY CSTACKED CHARD'!$A$4:$A$5</c:f>
              <c:strCache>
                <c:ptCount val="1"/>
                <c:pt idx="0">
                  <c:v>2</c:v>
                </c:pt>
              </c:strCache>
            </c:strRef>
          </c:cat>
          <c:val>
            <c:numRef>
              <c:f>'TYPE OF MONTH BY CSTACKED CHARD'!$C$4:$C$5</c:f>
              <c:numCache>
                <c:formatCode>General</c:formatCode>
                <c:ptCount val="1"/>
                <c:pt idx="0">
                  <c:v>18267</c:v>
                </c:pt>
              </c:numCache>
            </c:numRef>
          </c:val>
          <c:extLst>
            <c:ext xmlns:c16="http://schemas.microsoft.com/office/drawing/2014/chart" uri="{C3380CC4-5D6E-409C-BE32-E72D297353CC}">
              <c16:uniqueId val="{00000001-C830-4000-9517-F789FF99412D}"/>
            </c:ext>
          </c:extLst>
        </c:ser>
        <c:dLbls>
          <c:showLegendKey val="0"/>
          <c:showVal val="0"/>
          <c:showCatName val="0"/>
          <c:showSerName val="0"/>
          <c:showPercent val="0"/>
          <c:showBubbleSize val="0"/>
        </c:dLbls>
        <c:gapWidth val="150"/>
        <c:overlap val="100"/>
        <c:axId val="305749376"/>
        <c:axId val="305759360"/>
      </c:barChart>
      <c:catAx>
        <c:axId val="305749376"/>
        <c:scaling>
          <c:orientation val="minMax"/>
        </c:scaling>
        <c:delete val="0"/>
        <c:axPos val="b"/>
        <c:numFmt formatCode="General" sourceLinked="0"/>
        <c:majorTickMark val="out"/>
        <c:minorTickMark val="none"/>
        <c:tickLblPos val="nextTo"/>
        <c:crossAx val="305759360"/>
        <c:crosses val="autoZero"/>
        <c:auto val="1"/>
        <c:lblAlgn val="ctr"/>
        <c:lblOffset val="100"/>
        <c:noMultiLvlLbl val="0"/>
      </c:catAx>
      <c:valAx>
        <c:axId val="305759360"/>
        <c:scaling>
          <c:orientation val="minMax"/>
        </c:scaling>
        <c:delete val="0"/>
        <c:axPos val="l"/>
        <c:majorGridlines/>
        <c:numFmt formatCode="General" sourceLinked="1"/>
        <c:majorTickMark val="out"/>
        <c:minorTickMark val="none"/>
        <c:tickLblPos val="nextTo"/>
        <c:crossAx val="30574937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OF ALL SHEETS.xlsx]tem bar chart!PivotTable1</c:name>
    <c:fmtId val="0"/>
  </c:pivotSource>
  <c:chart>
    <c:title>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'tem bar chart'!$B$3</c:f>
              <c:strCache>
                <c:ptCount val="1"/>
                <c:pt idx="0">
                  <c:v>Total</c:v>
                </c:pt>
              </c:strCache>
            </c:strRef>
          </c:tx>
          <c:invertIfNegative val="0"/>
          <c:cat>
            <c:strRef>
              <c:f>'tem bar chart'!$A$4:$A$23</c:f>
              <c:strCache>
                <c:ptCount val="19"/>
                <c:pt idx="0">
                  <c:v>0.06</c:v>
                </c:pt>
                <c:pt idx="1">
                  <c:v>0.08</c:v>
                </c:pt>
                <c:pt idx="2">
                  <c:v>0.1</c:v>
                </c:pt>
                <c:pt idx="3">
                  <c:v>0.12</c:v>
                </c:pt>
                <c:pt idx="4">
                  <c:v>0.14</c:v>
                </c:pt>
                <c:pt idx="5">
                  <c:v>0.16</c:v>
                </c:pt>
                <c:pt idx="6">
                  <c:v>0.18</c:v>
                </c:pt>
                <c:pt idx="7">
                  <c:v>0.2</c:v>
                </c:pt>
                <c:pt idx="8">
                  <c:v>0.22</c:v>
                </c:pt>
                <c:pt idx="9">
                  <c:v>0.24</c:v>
                </c:pt>
                <c:pt idx="10">
                  <c:v>0.26</c:v>
                </c:pt>
                <c:pt idx="11">
                  <c:v>0.28</c:v>
                </c:pt>
                <c:pt idx="12">
                  <c:v>0.3</c:v>
                </c:pt>
                <c:pt idx="13">
                  <c:v>0.32</c:v>
                </c:pt>
                <c:pt idx="14">
                  <c:v>0.34</c:v>
                </c:pt>
                <c:pt idx="15">
                  <c:v>0.36</c:v>
                </c:pt>
                <c:pt idx="16">
                  <c:v>0.38</c:v>
                </c:pt>
                <c:pt idx="17">
                  <c:v>0.4</c:v>
                </c:pt>
                <c:pt idx="18">
                  <c:v>0.42</c:v>
                </c:pt>
              </c:strCache>
            </c:strRef>
          </c:cat>
          <c:val>
            <c:numRef>
              <c:f>'tem bar chart'!$B$4:$B$23</c:f>
              <c:numCache>
                <c:formatCode>General</c:formatCode>
                <c:ptCount val="19"/>
                <c:pt idx="0">
                  <c:v>151</c:v>
                </c:pt>
                <c:pt idx="1">
                  <c:v>81</c:v>
                </c:pt>
                <c:pt idx="2">
                  <c:v>764</c:v>
                </c:pt>
                <c:pt idx="3">
                  <c:v>606</c:v>
                </c:pt>
                <c:pt idx="4">
                  <c:v>1491</c:v>
                </c:pt>
                <c:pt idx="5">
                  <c:v>1473</c:v>
                </c:pt>
                <c:pt idx="6">
                  <c:v>970</c:v>
                </c:pt>
                <c:pt idx="7">
                  <c:v>1903</c:v>
                </c:pt>
                <c:pt idx="8">
                  <c:v>2170</c:v>
                </c:pt>
                <c:pt idx="9">
                  <c:v>2506</c:v>
                </c:pt>
                <c:pt idx="10">
                  <c:v>894</c:v>
                </c:pt>
                <c:pt idx="11">
                  <c:v>862</c:v>
                </c:pt>
                <c:pt idx="12">
                  <c:v>1301</c:v>
                </c:pt>
                <c:pt idx="13">
                  <c:v>1021</c:v>
                </c:pt>
                <c:pt idx="14">
                  <c:v>1974</c:v>
                </c:pt>
                <c:pt idx="15">
                  <c:v>685</c:v>
                </c:pt>
                <c:pt idx="16">
                  <c:v>361</c:v>
                </c:pt>
                <c:pt idx="17">
                  <c:v>643</c:v>
                </c:pt>
                <c:pt idx="18">
                  <c:v>259</c:v>
                </c:pt>
              </c:numCache>
            </c:numRef>
          </c:val>
          <c:extLst>
            <c:ext xmlns:c16="http://schemas.microsoft.com/office/drawing/2014/chart" uri="{C3380CC4-5D6E-409C-BE32-E72D297353CC}">
              <c16:uniqueId val="{00000000-F721-4E28-8C86-B840A883C8D2}"/>
            </c:ext>
          </c:extLst>
        </c:ser>
        <c:dLbls>
          <c:showLegendKey val="0"/>
          <c:showVal val="0"/>
          <c:showCatName val="0"/>
          <c:showSerName val="0"/>
          <c:showPercent val="0"/>
          <c:showBubbleSize val="0"/>
        </c:dLbls>
        <c:gapWidth val="150"/>
        <c:axId val="306270592"/>
        <c:axId val="306272128"/>
      </c:barChart>
      <c:catAx>
        <c:axId val="306270592"/>
        <c:scaling>
          <c:orientation val="minMax"/>
        </c:scaling>
        <c:delete val="0"/>
        <c:axPos val="l"/>
        <c:numFmt formatCode="General" sourceLinked="0"/>
        <c:majorTickMark val="out"/>
        <c:minorTickMark val="none"/>
        <c:tickLblPos val="nextTo"/>
        <c:crossAx val="306272128"/>
        <c:crosses val="autoZero"/>
        <c:auto val="1"/>
        <c:lblAlgn val="ctr"/>
        <c:lblOffset val="100"/>
        <c:noMultiLvlLbl val="0"/>
      </c:catAx>
      <c:valAx>
        <c:axId val="306272128"/>
        <c:scaling>
          <c:orientation val="minMax"/>
        </c:scaling>
        <c:delete val="0"/>
        <c:axPos val="b"/>
        <c:majorGridlines/>
        <c:numFmt formatCode="General" sourceLinked="1"/>
        <c:majorTickMark val="out"/>
        <c:minorTickMark val="none"/>
        <c:tickLblPos val="nextTo"/>
        <c:crossAx val="3062705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92D050"/>
                </a:solidFill>
              </a:rPr>
              <a:t>"Correlation" </a:t>
            </a:r>
            <a:endParaRPr lang="en-US">
              <a:solidFill>
                <a:srgbClr val="92D050"/>
              </a:solidFill>
            </a:endParaRPr>
          </a:p>
        </c:rich>
      </c:tx>
      <c:overlay val="0"/>
    </c:title>
    <c:autoTitleDeleted val="0"/>
    <c:plotArea>
      <c:layout/>
      <c:scatterChart>
        <c:scatterStyle val="lineMarker"/>
        <c:varyColors val="0"/>
        <c:ser>
          <c:idx val="0"/>
          <c:order val="0"/>
          <c:tx>
            <c:strRef>
              <c:f>'final merge data'!$P$1</c:f>
              <c:strCache>
                <c:ptCount val="1"/>
                <c:pt idx="0">
                  <c:v>cnt</c:v>
                </c:pt>
              </c:strCache>
            </c:strRef>
          </c:tx>
          <c:spPr>
            <a:ln w="28575">
              <a:solidFill>
                <a:srgbClr val="FFFF00"/>
              </a:solidFill>
            </a:ln>
          </c:spPr>
          <c:marker>
            <c:spPr>
              <a:solidFill>
                <a:srgbClr val="FF0000"/>
              </a:solidFill>
            </c:spPr>
          </c:marker>
          <c:xVal>
            <c:numRef>
              <c:f>'final merge data'!$J$2:$J$1001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'final merge data'!$P$2:$P$1001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94F6-40FD-8403-CE59311ED592}"/>
            </c:ext>
          </c:extLst>
        </c:ser>
        <c:dLbls>
          <c:showLegendKey val="0"/>
          <c:showVal val="0"/>
          <c:showCatName val="0"/>
          <c:showSerName val="0"/>
          <c:showPercent val="0"/>
          <c:showBubbleSize val="0"/>
        </c:dLbls>
        <c:axId val="193852160"/>
        <c:axId val="193853696"/>
      </c:scatterChart>
      <c:valAx>
        <c:axId val="193852160"/>
        <c:scaling>
          <c:orientation val="minMax"/>
        </c:scaling>
        <c:delete val="0"/>
        <c:axPos val="b"/>
        <c:title>
          <c:tx>
            <c:rich>
              <a:bodyPr/>
              <a:lstStyle/>
              <a:p>
                <a:pPr>
                  <a:defRPr/>
                </a:pPr>
                <a:r>
                  <a:rPr lang="en-US" sz="1000" b="1" i="0" u="none" strike="noStrike" baseline="0">
                    <a:solidFill>
                      <a:srgbClr val="FF0000"/>
                    </a:solidFill>
                  </a:rPr>
                  <a:t>"Temperature</a:t>
                </a:r>
                <a:r>
                  <a:rPr lang="en-US" sz="1000" b="1" i="0" u="none" strike="noStrike" baseline="0"/>
                  <a:t>" </a:t>
                </a:r>
                <a:endParaRPr lang="en-US"/>
              </a:p>
            </c:rich>
          </c:tx>
          <c:layout>
            <c:manualLayout>
              <c:xMode val="edge"/>
              <c:yMode val="edge"/>
              <c:x val="0.39712948381452318"/>
              <c:y val="0.89256926217556143"/>
            </c:manualLayout>
          </c:layout>
          <c:overlay val="0"/>
          <c:spPr>
            <a:ln>
              <a:noFill/>
            </a:ln>
          </c:spPr>
        </c:title>
        <c:numFmt formatCode="General" sourceLinked="1"/>
        <c:majorTickMark val="out"/>
        <c:minorTickMark val="none"/>
        <c:tickLblPos val="nextTo"/>
        <c:crossAx val="193853696"/>
        <c:crosses val="autoZero"/>
        <c:crossBetween val="midCat"/>
      </c:valAx>
      <c:valAx>
        <c:axId val="193853696"/>
        <c:scaling>
          <c:orientation val="minMax"/>
        </c:scaling>
        <c:delete val="0"/>
        <c:axPos val="l"/>
        <c:majorGridlines/>
        <c:title>
          <c:tx>
            <c:rich>
              <a:bodyPr rot="0" vert="wordArtVert"/>
              <a:lstStyle/>
              <a:p>
                <a:pPr>
                  <a:defRPr>
                    <a:solidFill>
                      <a:srgbClr val="002060"/>
                    </a:solidFill>
                  </a:defRPr>
                </a:pPr>
                <a:r>
                  <a:rPr lang="en-US" sz="1000" b="1" i="0" u="none" strike="noStrike" baseline="0">
                    <a:solidFill>
                      <a:srgbClr val="002060"/>
                    </a:solidFill>
                  </a:rPr>
                  <a:t>"TotalRentals" </a:t>
                </a:r>
                <a:endParaRPr lang="en-US">
                  <a:solidFill>
                    <a:srgbClr val="002060"/>
                  </a:solidFill>
                </a:endParaRPr>
              </a:p>
            </c:rich>
          </c:tx>
          <c:layout>
            <c:manualLayout>
              <c:xMode val="edge"/>
              <c:yMode val="edge"/>
              <c:x val="1.6985138004246284E-2"/>
              <c:y val="0.1901738845144357"/>
            </c:manualLayout>
          </c:layout>
          <c:overlay val="0"/>
          <c:spPr>
            <a:solidFill>
              <a:srgbClr val="FFC000"/>
            </a:solidFill>
          </c:spPr>
        </c:title>
        <c:numFmt formatCode="General" sourceLinked="1"/>
        <c:majorTickMark val="out"/>
        <c:minorTickMark val="none"/>
        <c:tickLblPos val="nextTo"/>
        <c:crossAx val="193852160"/>
        <c:crosses val="autoZero"/>
        <c:crossBetween val="midCat"/>
      </c:valAx>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OF ALL SHEETS.xlsx]SEASON CHART BAR!PivotTable5</c:name>
    <c:fmtId val="2"/>
  </c:pivotSource>
  <c:chart>
    <c:title>
      <c:overlay val="0"/>
    </c:title>
    <c:autoTitleDeleted val="0"/>
    <c:pivotFmts>
      <c:pivotFmt>
        <c:idx val="0"/>
        <c:spPr>
          <a:solidFill>
            <a:srgbClr val="002060"/>
          </a:solidFill>
        </c:spPr>
        <c:marker>
          <c:symbol val="none"/>
        </c:marker>
      </c:pivotFmt>
      <c:pivotFmt>
        <c:idx val="1"/>
        <c:spPr>
          <a:solidFill>
            <a:srgbClr val="002060"/>
          </a:solidFill>
        </c:spPr>
        <c:marker>
          <c:symbol val="none"/>
        </c:marker>
      </c:pivotFmt>
      <c:pivotFmt>
        <c:idx val="2"/>
        <c:spPr>
          <a:solidFill>
            <a:srgbClr val="002060"/>
          </a:solidFill>
        </c:spPr>
        <c:marker>
          <c:symbol val="none"/>
        </c:marker>
        <c:dLbl>
          <c:idx val="0"/>
          <c:delete val="1"/>
          <c:extLst>
            <c:ext xmlns:c15="http://schemas.microsoft.com/office/drawing/2012/chart" uri="{CE6537A1-D6FC-4f65-9D91-7224C49458BB}"/>
          </c:extLst>
        </c:dLbl>
      </c:pivotFmt>
      <c:pivotFmt>
        <c:idx val="3"/>
        <c:spPr>
          <a:solidFill>
            <a:srgbClr val="00B050"/>
          </a:solidFill>
        </c:spPr>
      </c:pivotFmt>
    </c:pivotFmts>
    <c:plotArea>
      <c:layout/>
      <c:barChart>
        <c:barDir val="bar"/>
        <c:grouping val="clustered"/>
        <c:varyColors val="0"/>
        <c:ser>
          <c:idx val="0"/>
          <c:order val="0"/>
          <c:tx>
            <c:strRef>
              <c:f>'SEASON CHART BAR'!$B$3</c:f>
              <c:strCache>
                <c:ptCount val="1"/>
                <c:pt idx="0">
                  <c:v>Total</c:v>
                </c:pt>
              </c:strCache>
            </c:strRef>
          </c:tx>
          <c:spPr>
            <a:solidFill>
              <a:srgbClr val="002060"/>
            </a:solidFill>
          </c:spPr>
          <c:invertIfNegative val="0"/>
          <c:dPt>
            <c:idx val="0"/>
            <c:invertIfNegative val="0"/>
            <c:bubble3D val="0"/>
            <c:spPr>
              <a:solidFill>
                <a:srgbClr val="00B050"/>
              </a:solidFill>
            </c:spPr>
            <c:extLst>
              <c:ext xmlns:c16="http://schemas.microsoft.com/office/drawing/2014/chart" uri="{C3380CC4-5D6E-409C-BE32-E72D297353CC}">
                <c16:uniqueId val="{00000001-7D90-4DAC-8FBF-303CA0A7A22C}"/>
              </c:ext>
            </c:extLst>
          </c:dPt>
          <c:cat>
            <c:strRef>
              <c:f>'SEASON CHART BAR'!$A$4:$A$5</c:f>
              <c:strCache>
                <c:ptCount val="1"/>
                <c:pt idx="0">
                  <c:v>1</c:v>
                </c:pt>
              </c:strCache>
            </c:strRef>
          </c:cat>
          <c:val>
            <c:numRef>
              <c:f>'SEASON CHART BAR'!$B$4:$B$5</c:f>
              <c:numCache>
                <c:formatCode>General</c:formatCode>
                <c:ptCount val="1"/>
                <c:pt idx="0">
                  <c:v>20115</c:v>
                </c:pt>
              </c:numCache>
            </c:numRef>
          </c:val>
          <c:extLst>
            <c:ext xmlns:c16="http://schemas.microsoft.com/office/drawing/2014/chart" uri="{C3380CC4-5D6E-409C-BE32-E72D297353CC}">
              <c16:uniqueId val="{00000002-7D90-4DAC-8FBF-303CA0A7A22C}"/>
            </c:ext>
          </c:extLst>
        </c:ser>
        <c:dLbls>
          <c:showLegendKey val="0"/>
          <c:showVal val="0"/>
          <c:showCatName val="0"/>
          <c:showSerName val="0"/>
          <c:showPercent val="0"/>
          <c:showBubbleSize val="0"/>
        </c:dLbls>
        <c:gapWidth val="150"/>
        <c:axId val="305646208"/>
        <c:axId val="305652096"/>
      </c:barChart>
      <c:catAx>
        <c:axId val="305646208"/>
        <c:scaling>
          <c:orientation val="minMax"/>
        </c:scaling>
        <c:delete val="0"/>
        <c:axPos val="l"/>
        <c:numFmt formatCode="General" sourceLinked="0"/>
        <c:majorTickMark val="out"/>
        <c:minorTickMark val="none"/>
        <c:tickLblPos val="nextTo"/>
        <c:crossAx val="305652096"/>
        <c:crosses val="autoZero"/>
        <c:auto val="1"/>
        <c:lblAlgn val="ctr"/>
        <c:lblOffset val="100"/>
        <c:noMultiLvlLbl val="0"/>
      </c:catAx>
      <c:valAx>
        <c:axId val="305652096"/>
        <c:scaling>
          <c:orientation val="minMax"/>
        </c:scaling>
        <c:delete val="0"/>
        <c:axPos val="b"/>
        <c:majorGridlines/>
        <c:numFmt formatCode="General" sourceLinked="1"/>
        <c:majorTickMark val="out"/>
        <c:minorTickMark val="none"/>
        <c:tickLblPos val="nextTo"/>
        <c:crossAx val="305646208"/>
        <c:crosses val="autoZero"/>
        <c:crossBetween val="between"/>
      </c:valAx>
    </c:plotArea>
    <c:legend>
      <c:legendPos val="r"/>
      <c:overlay val="0"/>
    </c:legend>
    <c:plotVisOnly val="1"/>
    <c:dispBlanksAs val="gap"/>
    <c:showDLblsOverMax val="0"/>
  </c:chart>
  <c:spPr>
    <a:ln>
      <a:solidFill>
        <a:srgbClr val="00B050"/>
      </a:solidFill>
    </a:ln>
    <a:effectLst>
      <a:outerShdw blurRad="50800" dist="38100" algn="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OF ALL SHEETS.xlsx]Hourly Trend (Line Chart)!PivotTable1</c:name>
    <c:fmtId val="2"/>
  </c:pivotSource>
  <c:chart>
    <c:title>
      <c:overlay val="0"/>
    </c:title>
    <c:autoTitleDeleted val="0"/>
    <c:pivotFmts>
      <c:pivotFmt>
        <c:idx val="0"/>
        <c:spPr>
          <a:ln>
            <a:solidFill>
              <a:srgbClr val="00B050"/>
            </a:solidFill>
          </a:ln>
        </c:spPr>
        <c:marker>
          <c:spPr>
            <a:ln>
              <a:solidFill>
                <a:srgbClr val="00B050"/>
              </a:solidFill>
            </a:ln>
          </c:spPr>
        </c:marker>
      </c:pivotFmt>
      <c:pivotFmt>
        <c:idx val="1"/>
        <c:spPr>
          <a:ln>
            <a:solidFill>
              <a:srgbClr val="00B050"/>
            </a:solidFill>
          </a:ln>
        </c:spPr>
        <c:marker>
          <c:spPr>
            <a:ln>
              <a:solidFill>
                <a:srgbClr val="00B050"/>
              </a:solidFill>
            </a:ln>
          </c:spPr>
        </c:marker>
      </c:pivotFmt>
      <c:pivotFmt>
        <c:idx val="2"/>
        <c:spPr>
          <a:ln>
            <a:solidFill>
              <a:srgbClr val="00B0F0"/>
            </a:solidFill>
          </a:ln>
        </c:spPr>
        <c:marker>
          <c:spPr>
            <a:ln>
              <a:solidFill>
                <a:srgbClr val="00B050"/>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'Hourly Trend (Line Chart)'!$B$3</c:f>
              <c:strCache>
                <c:ptCount val="1"/>
                <c:pt idx="0">
                  <c:v>Total</c:v>
                </c:pt>
              </c:strCache>
            </c:strRef>
          </c:tx>
          <c:spPr>
            <a:ln>
              <a:solidFill>
                <a:srgbClr val="00B0F0"/>
              </a:solidFill>
            </a:ln>
          </c:spPr>
          <c:marker>
            <c:spPr>
              <a:ln>
                <a:solidFill>
                  <a:srgbClr val="00B050"/>
                </a:solidFill>
              </a:ln>
            </c:spPr>
          </c:marker>
          <c:cat>
            <c:strRef>
              <c:f>'Hourly Trend (Line Chart)'!$A$4:$A$28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Trend (Line Chart)'!$B$4:$B$28</c:f>
              <c:numCache>
                <c:formatCode>General</c:formatCode>
                <c:ptCount val="24"/>
                <c:pt idx="0">
                  <c:v>18.928571428571427</c:v>
                </c:pt>
                <c:pt idx="1">
                  <c:v>11.785714285714286</c:v>
                </c:pt>
                <c:pt idx="2">
                  <c:v>6.9285714285714288</c:v>
                </c:pt>
                <c:pt idx="3">
                  <c:v>4.75</c:v>
                </c:pt>
                <c:pt idx="4">
                  <c:v>2.7777777777777777</c:v>
                </c:pt>
                <c:pt idx="5">
                  <c:v>4.4615384615384617</c:v>
                </c:pt>
                <c:pt idx="6">
                  <c:v>21.928571428571427</c:v>
                </c:pt>
                <c:pt idx="7">
                  <c:v>61.857142857142854</c:v>
                </c:pt>
                <c:pt idx="8">
                  <c:v>141.46153846153845</c:v>
                </c:pt>
                <c:pt idx="9">
                  <c:v>99.384615384615387</c:v>
                </c:pt>
                <c:pt idx="10">
                  <c:v>58.769230769230766</c:v>
                </c:pt>
                <c:pt idx="11">
                  <c:v>66.769230769230774</c:v>
                </c:pt>
                <c:pt idx="12">
                  <c:v>84.92307692307692</c:v>
                </c:pt>
                <c:pt idx="13">
                  <c:v>89.07692307692308</c:v>
                </c:pt>
                <c:pt idx="14">
                  <c:v>82</c:v>
                </c:pt>
                <c:pt idx="15">
                  <c:v>88.07692307692308</c:v>
                </c:pt>
                <c:pt idx="16">
                  <c:v>102.46153846153847</c:v>
                </c:pt>
                <c:pt idx="17">
                  <c:v>164.69230769230768</c:v>
                </c:pt>
                <c:pt idx="18">
                  <c:v>138.69230769230768</c:v>
                </c:pt>
                <c:pt idx="19">
                  <c:v>87.307692307692307</c:v>
                </c:pt>
                <c:pt idx="20">
                  <c:v>69.15384615384616</c:v>
                </c:pt>
                <c:pt idx="21">
                  <c:v>57.153846153846153</c:v>
                </c:pt>
                <c:pt idx="22">
                  <c:v>42.846153846153847</c:v>
                </c:pt>
                <c:pt idx="23">
                  <c:v>33</c:v>
                </c:pt>
              </c:numCache>
            </c:numRef>
          </c:val>
          <c:smooth val="0"/>
          <c:extLst>
            <c:ext xmlns:c16="http://schemas.microsoft.com/office/drawing/2014/chart" uri="{C3380CC4-5D6E-409C-BE32-E72D297353CC}">
              <c16:uniqueId val="{00000000-1F84-4338-9667-DB58DFE63A06}"/>
            </c:ext>
          </c:extLst>
        </c:ser>
        <c:dLbls>
          <c:showLegendKey val="0"/>
          <c:showVal val="0"/>
          <c:showCatName val="0"/>
          <c:showSerName val="0"/>
          <c:showPercent val="0"/>
          <c:showBubbleSize val="0"/>
        </c:dLbls>
        <c:marker val="1"/>
        <c:smooth val="0"/>
        <c:axId val="307255936"/>
        <c:axId val="307258112"/>
      </c:lineChart>
      <c:catAx>
        <c:axId val="307255936"/>
        <c:scaling>
          <c:orientation val="minMax"/>
        </c:scaling>
        <c:delete val="0"/>
        <c:axPos val="b"/>
        <c:numFmt formatCode="General" sourceLinked="0"/>
        <c:majorTickMark val="out"/>
        <c:minorTickMark val="none"/>
        <c:tickLblPos val="nextTo"/>
        <c:crossAx val="307258112"/>
        <c:crosses val="autoZero"/>
        <c:auto val="1"/>
        <c:lblAlgn val="ctr"/>
        <c:lblOffset val="100"/>
        <c:noMultiLvlLbl val="0"/>
      </c:catAx>
      <c:valAx>
        <c:axId val="307258112"/>
        <c:scaling>
          <c:orientation val="minMax"/>
        </c:scaling>
        <c:delete val="0"/>
        <c:axPos val="l"/>
        <c:majorGridlines/>
        <c:numFmt formatCode="General" sourceLinked="1"/>
        <c:majorTickMark val="out"/>
        <c:minorTickMark val="none"/>
        <c:tickLblPos val="nextTo"/>
        <c:crossAx val="307255936"/>
        <c:crosses val="autoZero"/>
        <c:crossBetween val="between"/>
      </c:valAx>
    </c:plotArea>
    <c:legend>
      <c:legendPos val="r"/>
      <c:overlay val="0"/>
    </c:legend>
    <c:plotVisOnly val="1"/>
    <c:dispBlanksAs val="gap"/>
    <c:showDLblsOverMax val="0"/>
  </c:chart>
  <c:spPr>
    <a:ln>
      <a:solidFill>
        <a:srgbClr val="00B05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OF ALL SHEETS.xlsx]WEATHER IMPECT PIE CHART!PivotTable2</c:name>
    <c:fmtId val="2"/>
  </c:pivotSource>
  <c:chart>
    <c:title>
      <c:overlay val="0"/>
    </c:title>
    <c:autoTitleDeleted val="0"/>
    <c:pivotFmts>
      <c:pivotFmt>
        <c:idx val="0"/>
        <c:spPr>
          <a:solidFill>
            <a:srgbClr val="FF0000">
              <a:alpha val="48000"/>
            </a:srgbClr>
          </a:solidFill>
          <a:ln>
            <a:solidFill>
              <a:srgbClr val="0070C0"/>
            </a:solidFill>
          </a:ln>
        </c:spPr>
        <c:marker>
          <c:symbol val="none"/>
        </c:marker>
      </c:pivotFmt>
      <c:pivotFmt>
        <c:idx val="1"/>
        <c:spPr>
          <a:solidFill>
            <a:srgbClr val="FF0000">
              <a:alpha val="48000"/>
            </a:srgbClr>
          </a:solidFill>
          <a:ln>
            <a:solidFill>
              <a:srgbClr val="00B050"/>
            </a:solidFill>
          </a:ln>
          <a:effectLst>
            <a:glow rad="139700">
              <a:schemeClr val="accent6">
                <a:satMod val="175000"/>
                <a:alpha val="40000"/>
              </a:schemeClr>
            </a:glow>
          </a:effectLst>
        </c:spPr>
      </c:pivotFmt>
      <c:pivotFmt>
        <c:idx val="2"/>
      </c:pivotFmt>
      <c:pivotFmt>
        <c:idx val="3"/>
        <c:spPr>
          <a:solidFill>
            <a:srgbClr val="FF0000">
              <a:alpha val="48000"/>
            </a:srgbClr>
          </a:solidFill>
          <a:ln>
            <a:solidFill>
              <a:srgbClr val="0070C0"/>
            </a:solidFill>
          </a:ln>
        </c:spPr>
        <c:marker>
          <c:symbol val="none"/>
        </c:marker>
      </c:pivotFmt>
      <c:pivotFmt>
        <c:idx val="4"/>
        <c:spPr>
          <a:solidFill>
            <a:srgbClr val="FF0000">
              <a:alpha val="48000"/>
            </a:srgbClr>
          </a:solidFill>
          <a:ln>
            <a:solidFill>
              <a:srgbClr val="00B050"/>
            </a:solidFill>
          </a:ln>
          <a:effectLst>
            <a:glow rad="139700">
              <a:schemeClr val="accent6">
                <a:satMod val="175000"/>
                <a:alpha val="40000"/>
              </a:schemeClr>
            </a:glow>
          </a:effectLst>
        </c:spPr>
      </c:pivotFmt>
      <c:pivotFmt>
        <c:idx val="5"/>
        <c:marker>
          <c:symbol val="none"/>
        </c:marker>
        <c:dLbl>
          <c:idx val="0"/>
          <c:delete val="1"/>
          <c:extLst>
            <c:ext xmlns:c15="http://schemas.microsoft.com/office/drawing/2012/chart" uri="{CE6537A1-D6FC-4f65-9D91-7224C49458BB}"/>
          </c:extLst>
        </c:dLbl>
      </c:pivotFmt>
      <c:pivotFmt>
        <c:idx val="6"/>
      </c:pivotFmt>
      <c:pivotFmt>
        <c:idx val="7"/>
      </c:pivotFmt>
    </c:pivotFmts>
    <c:plotArea>
      <c:layout/>
      <c:pieChart>
        <c:varyColors val="1"/>
        <c:ser>
          <c:idx val="0"/>
          <c:order val="0"/>
          <c:tx>
            <c:strRef>
              <c:f>'WEATHER IMPECT PIE CHART'!$B$3</c:f>
              <c:strCache>
                <c:ptCount val="1"/>
                <c:pt idx="0">
                  <c:v>Total</c:v>
                </c:pt>
              </c:strCache>
            </c:strRef>
          </c:tx>
          <c:dPt>
            <c:idx val="0"/>
            <c:bubble3D val="0"/>
            <c:extLst>
              <c:ext xmlns:c16="http://schemas.microsoft.com/office/drawing/2014/chart" uri="{C3380CC4-5D6E-409C-BE32-E72D297353CC}">
                <c16:uniqueId val="{00000000-107F-4CF8-B8B1-DA72A96734DF}"/>
              </c:ext>
            </c:extLst>
          </c:dPt>
          <c:cat>
            <c:strRef>
              <c:f>'WEATHER IMPECT PIE CHART'!$A$4:$A$7</c:f>
              <c:strCache>
                <c:ptCount val="3"/>
                <c:pt idx="0">
                  <c:v>Clear</c:v>
                </c:pt>
                <c:pt idx="1">
                  <c:v>Light Snow/Rain</c:v>
                </c:pt>
                <c:pt idx="2">
                  <c:v>Mist/Cloudy</c:v>
                </c:pt>
              </c:strCache>
            </c:strRef>
          </c:cat>
          <c:val>
            <c:numRef>
              <c:f>'WEATHER IMPECT PIE CHART'!$B$4:$B$7</c:f>
              <c:numCache>
                <c:formatCode>General</c:formatCode>
                <c:ptCount val="3"/>
                <c:pt idx="0">
                  <c:v>13287</c:v>
                </c:pt>
                <c:pt idx="1">
                  <c:v>1192</c:v>
                </c:pt>
                <c:pt idx="2">
                  <c:v>5636</c:v>
                </c:pt>
              </c:numCache>
            </c:numRef>
          </c:val>
          <c:extLst>
            <c:ext xmlns:c16="http://schemas.microsoft.com/office/drawing/2014/chart" uri="{C3380CC4-5D6E-409C-BE32-E72D297353CC}">
              <c16:uniqueId val="{00000001-107F-4CF8-B8B1-DA72A96734DF}"/>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spPr>
    <a:noFill/>
    <a:ln>
      <a:solidFill>
        <a:srgbClr val="FFFF0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OF ALL SHEETS.xlsx]WEEKDAY BY WEEKEND COLOUMN CHAT!PivotTable3</c:name>
    <c:fmtId val="2"/>
  </c:pivotSource>
  <c:chart>
    <c:title>
      <c:overlay val="0"/>
    </c:title>
    <c:autoTitleDeleted val="0"/>
    <c:pivotFmts>
      <c:pivotFmt>
        <c:idx val="0"/>
        <c:spPr>
          <a:gradFill>
            <a:gsLst>
              <a:gs pos="0">
                <a:srgbClr val="5E9EFF"/>
              </a:gs>
              <a:gs pos="39999">
                <a:srgbClr val="85C2FF"/>
              </a:gs>
              <a:gs pos="70000">
                <a:srgbClr val="C4D6EB"/>
              </a:gs>
              <a:gs pos="100000">
                <a:srgbClr val="FFEBFA"/>
              </a:gs>
            </a:gsLst>
            <a:lin ang="5400000" scaled="0"/>
          </a:gradFill>
          <a:ln>
            <a:solidFill>
              <a:srgbClr val="0070C0"/>
            </a:solidFill>
          </a:ln>
        </c:spPr>
        <c:marker>
          <c:symbol val="none"/>
        </c:marker>
      </c:pivotFmt>
      <c:pivotFmt>
        <c:idx val="1"/>
        <c:spPr>
          <a:gradFill>
            <a:gsLst>
              <a:gs pos="0">
                <a:srgbClr val="5E9EFF"/>
              </a:gs>
              <a:gs pos="39999">
                <a:srgbClr val="85C2FF"/>
              </a:gs>
              <a:gs pos="70000">
                <a:srgbClr val="C4D6EB"/>
              </a:gs>
              <a:gs pos="100000">
                <a:srgbClr val="FFEBFA"/>
              </a:gs>
            </a:gsLst>
            <a:lin ang="5400000" scaled="0"/>
          </a:gradFill>
          <a:ln>
            <a:solidFill>
              <a:srgbClr val="0070C0"/>
            </a:solidFill>
          </a:ln>
        </c:spPr>
        <c:marker>
          <c:symbol val="none"/>
        </c:marker>
      </c:pivotFmt>
      <c:pivotFmt>
        <c:idx val="2"/>
        <c:spPr>
          <a:solidFill>
            <a:schemeClr val="accent1"/>
          </a:solidFill>
          <a:ln>
            <a:solidFill>
              <a:srgbClr val="0070C0"/>
            </a:solidFill>
          </a:ln>
        </c:spPr>
        <c:marker>
          <c:symbol val="none"/>
        </c:marker>
        <c:dLbl>
          <c:idx val="0"/>
          <c:delete val="1"/>
          <c:extLst>
            <c:ext xmlns:c15="http://schemas.microsoft.com/office/drawing/2012/chart" uri="{CE6537A1-D6FC-4f65-9D91-7224C49458BB}"/>
          </c:extLst>
        </c:dLbl>
      </c:pivotFmt>
      <c:pivotFmt>
        <c:idx val="3"/>
        <c:spPr>
          <a:solidFill>
            <a:srgbClr val="C00000"/>
          </a:solidFill>
          <a:ln>
            <a:solidFill>
              <a:srgbClr val="0070C0"/>
            </a:solidFill>
          </a:ln>
        </c:spPr>
      </c:pivotFmt>
    </c:pivotFmts>
    <c:plotArea>
      <c:layout/>
      <c:barChart>
        <c:barDir val="col"/>
        <c:grouping val="clustered"/>
        <c:varyColors val="0"/>
        <c:ser>
          <c:idx val="0"/>
          <c:order val="0"/>
          <c:tx>
            <c:strRef>
              <c:f>'WEEKDAY BY WEEKEND COLOUMN CHAT'!$B$3</c:f>
              <c:strCache>
                <c:ptCount val="1"/>
                <c:pt idx="0">
                  <c:v>Total</c:v>
                </c:pt>
              </c:strCache>
            </c:strRef>
          </c:tx>
          <c:spPr>
            <a:solidFill>
              <a:schemeClr val="accent1"/>
            </a:solidFill>
            <a:ln>
              <a:solidFill>
                <a:srgbClr val="0070C0"/>
              </a:solidFill>
            </a:ln>
          </c:spPr>
          <c:invertIfNegative val="0"/>
          <c:dPt>
            <c:idx val="0"/>
            <c:invertIfNegative val="0"/>
            <c:bubble3D val="0"/>
            <c:spPr>
              <a:solidFill>
                <a:srgbClr val="C00000"/>
              </a:solidFill>
              <a:ln>
                <a:solidFill>
                  <a:srgbClr val="0070C0"/>
                </a:solidFill>
              </a:ln>
            </c:spPr>
            <c:extLst>
              <c:ext xmlns:c16="http://schemas.microsoft.com/office/drawing/2014/chart" uri="{C3380CC4-5D6E-409C-BE32-E72D297353CC}">
                <c16:uniqueId val="{00000001-2388-41CD-8753-B82DF84D1CD1}"/>
              </c:ext>
            </c:extLst>
          </c:dPt>
          <c:cat>
            <c:strRef>
              <c:f>'WEEKDAY BY WEEKEND COLOUMN CHAT'!$A$4:$A$6</c:f>
              <c:strCache>
                <c:ptCount val="2"/>
                <c:pt idx="0">
                  <c:v>Weekday</c:v>
                </c:pt>
                <c:pt idx="1">
                  <c:v>Weekend</c:v>
                </c:pt>
              </c:strCache>
            </c:strRef>
          </c:cat>
          <c:val>
            <c:numRef>
              <c:f>'WEEKDAY BY WEEKEND COLOUMN CHAT'!$B$4:$B$6</c:f>
              <c:numCache>
                <c:formatCode>General</c:formatCode>
                <c:ptCount val="2"/>
                <c:pt idx="0">
                  <c:v>64.504464285714292</c:v>
                </c:pt>
                <c:pt idx="1">
                  <c:v>64.38636363636364</c:v>
                </c:pt>
              </c:numCache>
            </c:numRef>
          </c:val>
          <c:extLst>
            <c:ext xmlns:c16="http://schemas.microsoft.com/office/drawing/2014/chart" uri="{C3380CC4-5D6E-409C-BE32-E72D297353CC}">
              <c16:uniqueId val="{00000002-2388-41CD-8753-B82DF84D1CD1}"/>
            </c:ext>
          </c:extLst>
        </c:ser>
        <c:dLbls>
          <c:showLegendKey val="0"/>
          <c:showVal val="0"/>
          <c:showCatName val="0"/>
          <c:showSerName val="0"/>
          <c:showPercent val="0"/>
          <c:showBubbleSize val="0"/>
        </c:dLbls>
        <c:gapWidth val="150"/>
        <c:axId val="306473216"/>
        <c:axId val="306487296"/>
      </c:barChart>
      <c:catAx>
        <c:axId val="306473216"/>
        <c:scaling>
          <c:orientation val="minMax"/>
        </c:scaling>
        <c:delete val="0"/>
        <c:axPos val="b"/>
        <c:numFmt formatCode="General" sourceLinked="0"/>
        <c:majorTickMark val="out"/>
        <c:minorTickMark val="none"/>
        <c:tickLblPos val="nextTo"/>
        <c:crossAx val="306487296"/>
        <c:crosses val="autoZero"/>
        <c:auto val="1"/>
        <c:lblAlgn val="ctr"/>
        <c:lblOffset val="100"/>
        <c:noMultiLvlLbl val="0"/>
      </c:catAx>
      <c:valAx>
        <c:axId val="306487296"/>
        <c:scaling>
          <c:orientation val="minMax"/>
        </c:scaling>
        <c:delete val="0"/>
        <c:axPos val="l"/>
        <c:majorGridlines/>
        <c:numFmt formatCode="General" sourceLinked="1"/>
        <c:majorTickMark val="out"/>
        <c:minorTickMark val="none"/>
        <c:tickLblPos val="nextTo"/>
        <c:crossAx val="306473216"/>
        <c:crosses val="autoZero"/>
        <c:crossBetween val="between"/>
      </c:valAx>
    </c:plotArea>
    <c:legend>
      <c:legendPos val="r"/>
      <c:overlay val="0"/>
    </c:legend>
    <c:plotVisOnly val="1"/>
    <c:dispBlanksAs val="gap"/>
    <c:showDLblsOverMax val="0"/>
  </c:chart>
  <c:spPr>
    <a:ln>
      <a:solidFill>
        <a:srgbClr val="00B05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OF ALL SHEETS.xlsx]TYPE OF MONTH BY CSTACKED CHARD!PivotTable4</c:name>
    <c:fmtId val="3"/>
  </c:pivotSource>
  <c:chart>
    <c:autoTitleDeleted val="0"/>
    <c:pivotFmts>
      <c:pivotFmt>
        <c:idx val="0"/>
        <c:marker>
          <c:symbol val="none"/>
        </c:marker>
      </c:pivotFmt>
      <c:pivotFmt>
        <c:idx val="1"/>
        <c:spPr>
          <a:solidFill>
            <a:srgbClr val="FF0000"/>
          </a:solidFill>
        </c:spPr>
        <c:marker>
          <c:symbol val="none"/>
        </c:marker>
      </c:pivotFmt>
      <c:pivotFmt>
        <c:idx val="2"/>
        <c:marker>
          <c:symbol val="none"/>
        </c:marker>
      </c:pivotFmt>
      <c:pivotFmt>
        <c:idx val="3"/>
        <c:spPr>
          <a:solidFill>
            <a:srgbClr val="FF0000"/>
          </a:solidFill>
        </c:spPr>
        <c:marker>
          <c:symbol val="none"/>
        </c:marker>
      </c:pivotFmt>
      <c:pivotFmt>
        <c:idx val="4"/>
        <c:marker>
          <c:symbol val="none"/>
        </c:marker>
        <c:dLbl>
          <c:idx val="0"/>
          <c:delete val="1"/>
          <c:extLst>
            <c:ext xmlns:c15="http://schemas.microsoft.com/office/drawing/2012/chart" uri="{CE6537A1-D6FC-4f65-9D91-7224C49458BB}"/>
          </c:extLst>
        </c:dLbl>
      </c:pivotFmt>
      <c:pivotFmt>
        <c:idx val="5"/>
        <c:spPr>
          <a:solidFill>
            <a:srgbClr val="FF0000"/>
          </a:solidFill>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'TYPE OF MONTH BY CSTACKED CHARD'!$B$3</c:f>
              <c:strCache>
                <c:ptCount val="1"/>
                <c:pt idx="0">
                  <c:v>Sum of casual</c:v>
                </c:pt>
              </c:strCache>
            </c:strRef>
          </c:tx>
          <c:invertIfNegative val="0"/>
          <c:cat>
            <c:strRef>
              <c:f>'TYPE OF MONTH BY CSTACKED CHARD'!$A$4:$A$5</c:f>
              <c:strCache>
                <c:ptCount val="1"/>
                <c:pt idx="0">
                  <c:v>2</c:v>
                </c:pt>
              </c:strCache>
            </c:strRef>
          </c:cat>
          <c:val>
            <c:numRef>
              <c:f>'TYPE OF MONTH BY CSTACKED CHARD'!$B$4:$B$5</c:f>
              <c:numCache>
                <c:formatCode>General</c:formatCode>
                <c:ptCount val="1"/>
                <c:pt idx="0">
                  <c:v>1848</c:v>
                </c:pt>
              </c:numCache>
            </c:numRef>
          </c:val>
          <c:extLst>
            <c:ext xmlns:c16="http://schemas.microsoft.com/office/drawing/2014/chart" uri="{C3380CC4-5D6E-409C-BE32-E72D297353CC}">
              <c16:uniqueId val="{00000000-8144-47DB-A48C-99CA0EEABA17}"/>
            </c:ext>
          </c:extLst>
        </c:ser>
        <c:ser>
          <c:idx val="1"/>
          <c:order val="1"/>
          <c:tx>
            <c:strRef>
              <c:f>'TYPE OF MONTH BY CSTACKED CHARD'!$C$3</c:f>
              <c:strCache>
                <c:ptCount val="1"/>
                <c:pt idx="0">
                  <c:v>Sum of registered</c:v>
                </c:pt>
              </c:strCache>
            </c:strRef>
          </c:tx>
          <c:spPr>
            <a:solidFill>
              <a:srgbClr val="FF0000"/>
            </a:solidFill>
          </c:spPr>
          <c:invertIfNegative val="0"/>
          <c:cat>
            <c:strRef>
              <c:f>'TYPE OF MONTH BY CSTACKED CHARD'!$A$4:$A$5</c:f>
              <c:strCache>
                <c:ptCount val="1"/>
                <c:pt idx="0">
                  <c:v>2</c:v>
                </c:pt>
              </c:strCache>
            </c:strRef>
          </c:cat>
          <c:val>
            <c:numRef>
              <c:f>'TYPE OF MONTH BY CSTACKED CHARD'!$C$4:$C$5</c:f>
              <c:numCache>
                <c:formatCode>General</c:formatCode>
                <c:ptCount val="1"/>
                <c:pt idx="0">
                  <c:v>18267</c:v>
                </c:pt>
              </c:numCache>
            </c:numRef>
          </c:val>
          <c:extLst>
            <c:ext xmlns:c16="http://schemas.microsoft.com/office/drawing/2014/chart" uri="{C3380CC4-5D6E-409C-BE32-E72D297353CC}">
              <c16:uniqueId val="{00000001-8144-47DB-A48C-99CA0EEABA17}"/>
            </c:ext>
          </c:extLst>
        </c:ser>
        <c:dLbls>
          <c:showLegendKey val="0"/>
          <c:showVal val="0"/>
          <c:showCatName val="0"/>
          <c:showSerName val="0"/>
          <c:showPercent val="0"/>
          <c:showBubbleSize val="0"/>
        </c:dLbls>
        <c:gapWidth val="150"/>
        <c:overlap val="100"/>
        <c:axId val="306505600"/>
        <c:axId val="306507136"/>
      </c:barChart>
      <c:catAx>
        <c:axId val="306505600"/>
        <c:scaling>
          <c:orientation val="minMax"/>
        </c:scaling>
        <c:delete val="0"/>
        <c:axPos val="b"/>
        <c:numFmt formatCode="General" sourceLinked="0"/>
        <c:majorTickMark val="out"/>
        <c:minorTickMark val="none"/>
        <c:tickLblPos val="nextTo"/>
        <c:crossAx val="306507136"/>
        <c:crosses val="autoZero"/>
        <c:auto val="1"/>
        <c:lblAlgn val="ctr"/>
        <c:lblOffset val="100"/>
        <c:noMultiLvlLbl val="0"/>
      </c:catAx>
      <c:valAx>
        <c:axId val="306507136"/>
        <c:scaling>
          <c:orientation val="minMax"/>
        </c:scaling>
        <c:delete val="0"/>
        <c:axPos val="l"/>
        <c:majorGridlines/>
        <c:numFmt formatCode="General" sourceLinked="1"/>
        <c:majorTickMark val="out"/>
        <c:minorTickMark val="none"/>
        <c:tickLblPos val="nextTo"/>
        <c:crossAx val="306505600"/>
        <c:crosses val="autoZero"/>
        <c:crossBetween val="between"/>
      </c:valAx>
    </c:plotArea>
    <c:legend>
      <c:legendPos val="r"/>
      <c:overlay val="0"/>
    </c:legend>
    <c:plotVisOnly val="1"/>
    <c:dispBlanksAs val="gap"/>
    <c:showDLblsOverMax val="0"/>
  </c:chart>
  <c:spPr>
    <a:ln>
      <a:solidFill>
        <a:srgbClr val="00B05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DATA OF ALL SHEETS.xlsx]tem bar chart!PivotTable1</c:name>
    <c:fmtId val="2"/>
  </c:pivotSource>
  <c:chart>
    <c:title>
      <c:tx>
        <c:rich>
          <a:bodyPr/>
          <a:lstStyle/>
          <a:p>
            <a:pPr>
              <a:defRPr/>
            </a:pPr>
            <a:r>
              <a:rPr lang="en-US"/>
              <a:t>Total</a:t>
            </a:r>
          </a:p>
        </c:rich>
      </c:tx>
      <c:overlay val="0"/>
    </c:title>
    <c:autoTitleDeleted val="0"/>
    <c:pivotFmts>
      <c:pivotFmt>
        <c:idx val="0"/>
      </c:pivotFmt>
      <c:pivotFmt>
        <c:idx val="1"/>
      </c:pivotFmt>
      <c:pivotFmt>
        <c:idx val="2"/>
      </c:pivotFmt>
      <c:pivotFmt>
        <c:idx val="3"/>
      </c:pivotFmt>
      <c:pivotFmt>
        <c:idx val="4"/>
      </c:pivotFmt>
      <c:pivotFmt>
        <c:idx val="5"/>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'tem bar chart'!$B$3</c:f>
              <c:strCache>
                <c:ptCount val="1"/>
                <c:pt idx="0">
                  <c:v>Total</c:v>
                </c:pt>
              </c:strCache>
            </c:strRef>
          </c:tx>
          <c:invertIfNegative val="0"/>
          <c:cat>
            <c:strRef>
              <c:f>'tem bar chart'!$A$4:$A$23</c:f>
              <c:strCache>
                <c:ptCount val="19"/>
                <c:pt idx="0">
                  <c:v>0.06</c:v>
                </c:pt>
                <c:pt idx="1">
                  <c:v>0.08</c:v>
                </c:pt>
                <c:pt idx="2">
                  <c:v>0.1</c:v>
                </c:pt>
                <c:pt idx="3">
                  <c:v>0.12</c:v>
                </c:pt>
                <c:pt idx="4">
                  <c:v>0.14</c:v>
                </c:pt>
                <c:pt idx="5">
                  <c:v>0.16</c:v>
                </c:pt>
                <c:pt idx="6">
                  <c:v>0.18</c:v>
                </c:pt>
                <c:pt idx="7">
                  <c:v>0.2</c:v>
                </c:pt>
                <c:pt idx="8">
                  <c:v>0.22</c:v>
                </c:pt>
                <c:pt idx="9">
                  <c:v>0.24</c:v>
                </c:pt>
                <c:pt idx="10">
                  <c:v>0.26</c:v>
                </c:pt>
                <c:pt idx="11">
                  <c:v>0.28</c:v>
                </c:pt>
                <c:pt idx="12">
                  <c:v>0.3</c:v>
                </c:pt>
                <c:pt idx="13">
                  <c:v>0.32</c:v>
                </c:pt>
                <c:pt idx="14">
                  <c:v>0.34</c:v>
                </c:pt>
                <c:pt idx="15">
                  <c:v>0.36</c:v>
                </c:pt>
                <c:pt idx="16">
                  <c:v>0.38</c:v>
                </c:pt>
                <c:pt idx="17">
                  <c:v>0.4</c:v>
                </c:pt>
                <c:pt idx="18">
                  <c:v>0.42</c:v>
                </c:pt>
              </c:strCache>
            </c:strRef>
          </c:cat>
          <c:val>
            <c:numRef>
              <c:f>'tem bar chart'!$B$4:$B$23</c:f>
              <c:numCache>
                <c:formatCode>General</c:formatCode>
                <c:ptCount val="19"/>
                <c:pt idx="0">
                  <c:v>151</c:v>
                </c:pt>
                <c:pt idx="1">
                  <c:v>81</c:v>
                </c:pt>
                <c:pt idx="2">
                  <c:v>764</c:v>
                </c:pt>
                <c:pt idx="3">
                  <c:v>606</c:v>
                </c:pt>
                <c:pt idx="4">
                  <c:v>1491</c:v>
                </c:pt>
                <c:pt idx="5">
                  <c:v>1473</c:v>
                </c:pt>
                <c:pt idx="6">
                  <c:v>970</c:v>
                </c:pt>
                <c:pt idx="7">
                  <c:v>1903</c:v>
                </c:pt>
                <c:pt idx="8">
                  <c:v>2170</c:v>
                </c:pt>
                <c:pt idx="9">
                  <c:v>2506</c:v>
                </c:pt>
                <c:pt idx="10">
                  <c:v>894</c:v>
                </c:pt>
                <c:pt idx="11">
                  <c:v>862</c:v>
                </c:pt>
                <c:pt idx="12">
                  <c:v>1301</c:v>
                </c:pt>
                <c:pt idx="13">
                  <c:v>1021</c:v>
                </c:pt>
                <c:pt idx="14">
                  <c:v>1974</c:v>
                </c:pt>
                <c:pt idx="15">
                  <c:v>685</c:v>
                </c:pt>
                <c:pt idx="16">
                  <c:v>361</c:v>
                </c:pt>
                <c:pt idx="17">
                  <c:v>643</c:v>
                </c:pt>
                <c:pt idx="18">
                  <c:v>259</c:v>
                </c:pt>
              </c:numCache>
            </c:numRef>
          </c:val>
          <c:extLst>
            <c:ext xmlns:c16="http://schemas.microsoft.com/office/drawing/2014/chart" uri="{C3380CC4-5D6E-409C-BE32-E72D297353CC}">
              <c16:uniqueId val="{00000000-3C25-4C5F-A226-FCB8D023E34B}"/>
            </c:ext>
          </c:extLst>
        </c:ser>
        <c:dLbls>
          <c:showLegendKey val="0"/>
          <c:showVal val="0"/>
          <c:showCatName val="0"/>
          <c:showSerName val="0"/>
          <c:showPercent val="0"/>
          <c:showBubbleSize val="0"/>
        </c:dLbls>
        <c:gapWidth val="150"/>
        <c:axId val="307076480"/>
        <c:axId val="307078272"/>
      </c:barChart>
      <c:catAx>
        <c:axId val="307076480"/>
        <c:scaling>
          <c:orientation val="minMax"/>
        </c:scaling>
        <c:delete val="0"/>
        <c:axPos val="l"/>
        <c:numFmt formatCode="General" sourceLinked="0"/>
        <c:majorTickMark val="out"/>
        <c:minorTickMark val="none"/>
        <c:tickLblPos val="nextTo"/>
        <c:crossAx val="307078272"/>
        <c:crosses val="autoZero"/>
        <c:auto val="1"/>
        <c:lblAlgn val="ctr"/>
        <c:lblOffset val="100"/>
        <c:noMultiLvlLbl val="0"/>
      </c:catAx>
      <c:valAx>
        <c:axId val="307078272"/>
        <c:scaling>
          <c:orientation val="minMax"/>
        </c:scaling>
        <c:delete val="0"/>
        <c:axPos val="b"/>
        <c:majorGridlines/>
        <c:numFmt formatCode="General" sourceLinked="1"/>
        <c:majorTickMark val="out"/>
        <c:minorTickMark val="none"/>
        <c:tickLblPos val="nextTo"/>
        <c:crossAx val="30707648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92D050"/>
                </a:solidFill>
              </a:rPr>
              <a:t>"Correlation" </a:t>
            </a:r>
            <a:endParaRPr lang="en-US">
              <a:solidFill>
                <a:srgbClr val="92D050"/>
              </a:solidFill>
            </a:endParaRPr>
          </a:p>
        </c:rich>
      </c:tx>
      <c:overlay val="0"/>
    </c:title>
    <c:autoTitleDeleted val="0"/>
    <c:plotArea>
      <c:layout/>
      <c:scatterChart>
        <c:scatterStyle val="lineMarker"/>
        <c:varyColors val="0"/>
        <c:ser>
          <c:idx val="0"/>
          <c:order val="0"/>
          <c:tx>
            <c:strRef>
              <c:f>'final merge data'!$P$1</c:f>
              <c:strCache>
                <c:ptCount val="1"/>
                <c:pt idx="0">
                  <c:v>cnt</c:v>
                </c:pt>
              </c:strCache>
            </c:strRef>
          </c:tx>
          <c:spPr>
            <a:ln w="28575">
              <a:solidFill>
                <a:srgbClr val="FFFF00"/>
              </a:solidFill>
            </a:ln>
          </c:spPr>
          <c:marker>
            <c:spPr>
              <a:solidFill>
                <a:srgbClr val="FF0000"/>
              </a:solidFill>
            </c:spPr>
          </c:marker>
          <c:xVal>
            <c:numRef>
              <c:f>'final merge data'!$J$2:$J$1001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'final merge data'!$P$2:$P$1001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F7A6-4472-B6F7-DD0BC0A728C2}"/>
            </c:ext>
          </c:extLst>
        </c:ser>
        <c:dLbls>
          <c:showLegendKey val="0"/>
          <c:showVal val="0"/>
          <c:showCatName val="0"/>
          <c:showSerName val="0"/>
          <c:showPercent val="0"/>
          <c:showBubbleSize val="0"/>
        </c:dLbls>
        <c:axId val="146252160"/>
        <c:axId val="146254464"/>
      </c:scatterChart>
      <c:valAx>
        <c:axId val="146252160"/>
        <c:scaling>
          <c:orientation val="minMax"/>
        </c:scaling>
        <c:delete val="0"/>
        <c:axPos val="b"/>
        <c:title>
          <c:tx>
            <c:rich>
              <a:bodyPr/>
              <a:lstStyle/>
              <a:p>
                <a:pPr>
                  <a:defRPr/>
                </a:pPr>
                <a:r>
                  <a:rPr lang="en-US" sz="1000" b="1" i="0" u="none" strike="noStrike" baseline="0">
                    <a:solidFill>
                      <a:srgbClr val="FF0000"/>
                    </a:solidFill>
                  </a:rPr>
                  <a:t>"Temperature</a:t>
                </a:r>
                <a:r>
                  <a:rPr lang="en-US" sz="1000" b="1" i="0" u="none" strike="noStrike" baseline="0"/>
                  <a:t>" </a:t>
                </a:r>
                <a:endParaRPr lang="en-US"/>
              </a:p>
            </c:rich>
          </c:tx>
          <c:layout>
            <c:manualLayout>
              <c:xMode val="edge"/>
              <c:yMode val="edge"/>
              <c:x val="0.39712948381452318"/>
              <c:y val="0.89256926217556143"/>
            </c:manualLayout>
          </c:layout>
          <c:overlay val="0"/>
          <c:spPr>
            <a:ln>
              <a:noFill/>
            </a:ln>
          </c:spPr>
        </c:title>
        <c:numFmt formatCode="General" sourceLinked="1"/>
        <c:majorTickMark val="out"/>
        <c:minorTickMark val="none"/>
        <c:tickLblPos val="nextTo"/>
        <c:crossAx val="146254464"/>
        <c:crosses val="autoZero"/>
        <c:crossBetween val="midCat"/>
      </c:valAx>
      <c:valAx>
        <c:axId val="146254464"/>
        <c:scaling>
          <c:orientation val="minMax"/>
        </c:scaling>
        <c:delete val="0"/>
        <c:axPos val="l"/>
        <c:majorGridlines/>
        <c:title>
          <c:tx>
            <c:rich>
              <a:bodyPr rot="0" vert="wordArtVert"/>
              <a:lstStyle/>
              <a:p>
                <a:pPr>
                  <a:defRPr>
                    <a:solidFill>
                      <a:srgbClr val="002060"/>
                    </a:solidFill>
                  </a:defRPr>
                </a:pPr>
                <a:r>
                  <a:rPr lang="en-US" sz="1000" b="1" i="0" u="none" strike="noStrike" baseline="0">
                    <a:solidFill>
                      <a:srgbClr val="002060"/>
                    </a:solidFill>
                  </a:rPr>
                  <a:t>"TotalRentals" </a:t>
                </a:r>
                <a:endParaRPr lang="en-US">
                  <a:solidFill>
                    <a:srgbClr val="002060"/>
                  </a:solidFill>
                </a:endParaRPr>
              </a:p>
            </c:rich>
          </c:tx>
          <c:layout>
            <c:manualLayout>
              <c:xMode val="edge"/>
              <c:yMode val="edge"/>
              <c:x val="1.6985138004246284E-2"/>
              <c:y val="0.1901738845144357"/>
            </c:manualLayout>
          </c:layout>
          <c:overlay val="0"/>
          <c:spPr>
            <a:solidFill>
              <a:srgbClr val="FFC000"/>
            </a:solidFill>
          </c:spPr>
        </c:title>
        <c:numFmt formatCode="General" sourceLinked="1"/>
        <c:majorTickMark val="out"/>
        <c:minorTickMark val="none"/>
        <c:tickLblPos val="nextTo"/>
        <c:crossAx val="146252160"/>
        <c:crosses val="autoZero"/>
        <c:crossBetween val="midCat"/>
      </c:valAx>
    </c:plotArea>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11</xdr:col>
      <xdr:colOff>161925</xdr:colOff>
      <xdr:row>982</xdr:row>
      <xdr:rowOff>19050</xdr:rowOff>
    </xdr:from>
    <xdr:to>
      <xdr:col>17</xdr:col>
      <xdr:colOff>285750</xdr:colOff>
      <xdr:row>996</xdr:row>
      <xdr:rowOff>95250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390525</xdr:colOff>
      <xdr:row>13</xdr:row>
      <xdr:rowOff>19050</xdr:rowOff>
    </xdr:from>
    <xdr:to>
      <xdr:col>16</xdr:col>
      <xdr:colOff>85725</xdr:colOff>
      <xdr:row>27</xdr:row>
      <xdr:rowOff>95250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304800</xdr:colOff>
      <xdr:row>8</xdr:row>
      <xdr:rowOff>142875</xdr:rowOff>
    </xdr:from>
    <xdr:to>
      <xdr:col>21</xdr:col>
      <xdr:colOff>409575</xdr:colOff>
      <xdr:row>12</xdr:row>
      <xdr:rowOff>133350</xdr:rowOff>
    </xdr:to>
    <mc:AlternateContent xmlns:mc="http://schemas.openxmlformats.org/markup-compatibility/2006" xmlns:a14="http://schemas.microsoft.com/office/drawing/2010/main">
      <mc:Choice Requires="a14">
        <xdr:graphicFrame macro="">
          <xdr:nvGraphicFramePr>
            <xdr:cNvPr id="7" name="weekday 2">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microsoft.com/office/drawing/2010/slicer">
              <sle:slicer xmlns:sle="http://schemas.microsoft.com/office/drawing/2010/slicer" name="weekday 2"/>
            </a:graphicData>
          </a:graphic>
        </xdr:graphicFrame>
      </mc:Choice>
      <mc:Fallback xmlns="">
        <xdr:sp macro="" textlink="">
          <xdr:nvSpPr>
            <xdr:cNvPr id="0" name=""/>
            <xdr:cNvSpPr>
              <a:spLocks noTextEdit="1"/>
            </xdr:cNvSpPr>
          </xdr:nvSpPr>
          <xdr:spPr>
            <a:xfrm>
              <a:off x="10401300" y="1666875"/>
              <a:ext cx="3152775" cy="7524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371474</xdr:colOff>
      <xdr:row>8</xdr:row>
      <xdr:rowOff>152400</xdr:rowOff>
    </xdr:from>
    <xdr:to>
      <xdr:col>28</xdr:col>
      <xdr:colOff>152399</xdr:colOff>
      <xdr:row>12</xdr:row>
      <xdr:rowOff>66675</xdr:rowOff>
    </xdr:to>
    <mc:AlternateContent xmlns:mc="http://schemas.openxmlformats.org/markup-compatibility/2006" xmlns:a14="http://schemas.microsoft.com/office/drawing/2010/main">
      <mc:Choice Requires="a14">
        <xdr:graphicFrame macro="">
          <xdr:nvGraphicFramePr>
            <xdr:cNvPr id="8" name="weathersit 2">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microsoft.com/office/drawing/2010/slicer">
              <sle:slicer xmlns:sle="http://schemas.microsoft.com/office/drawing/2010/slicer" name="weathersit 2"/>
            </a:graphicData>
          </a:graphic>
        </xdr:graphicFrame>
      </mc:Choice>
      <mc:Fallback xmlns="">
        <xdr:sp macro="" textlink="">
          <xdr:nvSpPr>
            <xdr:cNvPr id="0" name=""/>
            <xdr:cNvSpPr>
              <a:spLocks noTextEdit="1"/>
            </xdr:cNvSpPr>
          </xdr:nvSpPr>
          <xdr:spPr>
            <a:xfrm>
              <a:off x="14125574" y="1676400"/>
              <a:ext cx="3438525"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466725</xdr:colOff>
      <xdr:row>24</xdr:row>
      <xdr:rowOff>19050</xdr:rowOff>
    </xdr:from>
    <xdr:to>
      <xdr:col>22</xdr:col>
      <xdr:colOff>66675</xdr:colOff>
      <xdr:row>27</xdr:row>
      <xdr:rowOff>180975</xdr:rowOff>
    </xdr:to>
    <mc:AlternateContent xmlns:mc="http://schemas.openxmlformats.org/markup-compatibility/2006" xmlns:a14="http://schemas.microsoft.com/office/drawing/2010/main">
      <mc:Choice Requires="a14">
        <xdr:graphicFrame macro="">
          <xdr:nvGraphicFramePr>
            <xdr:cNvPr id="9" name="season">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782425" y="4591050"/>
              <a:ext cx="2038350"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609600</xdr:colOff>
      <xdr:row>10</xdr:row>
      <xdr:rowOff>0</xdr:rowOff>
    </xdr:from>
    <xdr:to>
      <xdr:col>6</xdr:col>
      <xdr:colOff>152400</xdr:colOff>
      <xdr:row>14</xdr:row>
      <xdr:rowOff>9525</xdr:rowOff>
    </xdr:to>
    <mc:AlternateContent xmlns:mc="http://schemas.openxmlformats.org/markup-compatibility/2006" xmlns:a14="http://schemas.microsoft.com/office/drawing/2010/main">
      <mc:Choice Requires="a14">
        <xdr:graphicFrame macro="">
          <xdr:nvGraphicFramePr>
            <xdr:cNvPr id="11" name="mnth">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microsoft.com/office/drawing/2010/slicer">
              <sle:slicer xmlns:sle="http://schemas.microsoft.com/office/drawing/2010/slicer" name="mnth"/>
            </a:graphicData>
          </a:graphic>
        </xdr:graphicFrame>
      </mc:Choice>
      <mc:Fallback xmlns="">
        <xdr:sp macro="" textlink="">
          <xdr:nvSpPr>
            <xdr:cNvPr id="0" name=""/>
            <xdr:cNvSpPr>
              <a:spLocks noTextEdit="1"/>
            </xdr:cNvSpPr>
          </xdr:nvSpPr>
          <xdr:spPr>
            <a:xfrm>
              <a:off x="609600" y="1905000"/>
              <a:ext cx="3543300" cy="7715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325582</xdr:colOff>
      <xdr:row>7</xdr:row>
      <xdr:rowOff>140278</xdr:rowOff>
    </xdr:from>
    <xdr:to>
      <xdr:col>12</xdr:col>
      <xdr:colOff>24246</xdr:colOff>
      <xdr:row>22</xdr:row>
      <xdr:rowOff>25978</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290080</xdr:colOff>
      <xdr:row>5</xdr:row>
      <xdr:rowOff>174914</xdr:rowOff>
    </xdr:from>
    <xdr:to>
      <xdr:col>11</xdr:col>
      <xdr:colOff>594881</xdr:colOff>
      <xdr:row>20</xdr:row>
      <xdr:rowOff>60614</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47625</xdr:colOff>
      <xdr:row>3</xdr:row>
      <xdr:rowOff>133350</xdr:rowOff>
    </xdr:from>
    <xdr:to>
      <xdr:col>10</xdr:col>
      <xdr:colOff>352425</xdr:colOff>
      <xdr:row>18</xdr:row>
      <xdr:rowOff>19050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123825</xdr:colOff>
      <xdr:row>6</xdr:row>
      <xdr:rowOff>152400</xdr:rowOff>
    </xdr:from>
    <xdr:to>
      <xdr:col>10</xdr:col>
      <xdr:colOff>428625</xdr:colOff>
      <xdr:row>21</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142875</xdr:colOff>
      <xdr:row>13</xdr:row>
      <xdr:rowOff>47625</xdr:rowOff>
    </xdr:from>
    <xdr:to>
      <xdr:col>11</xdr:col>
      <xdr:colOff>447675</xdr:colOff>
      <xdr:row>27</xdr:row>
      <xdr:rowOff>123825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2</xdr:row>
      <xdr:rowOff>0</xdr:rowOff>
    </xdr:from>
    <xdr:to>
      <xdr:col>11</xdr:col>
      <xdr:colOff>419100</xdr:colOff>
      <xdr:row>20</xdr:row>
      <xdr:rowOff>57150</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142871</xdr:colOff>
      <xdr:row>0</xdr:row>
      <xdr:rowOff>103188</xdr:rowOff>
    </xdr:from>
    <xdr:to>
      <xdr:col>8</xdr:col>
      <xdr:colOff>1676401</xdr:colOff>
      <xdr:row>0</xdr:row>
      <xdr:rowOff>604838</xdr:rowOff>
    </xdr:to>
    <xdr:sp macro="" textlink="">
      <xdr:nvSpPr>
        <xdr:cNvPr id="2" name="Rounded Rectangle 1">
          <a:extLst>
            <a:ext uri="{FF2B5EF4-FFF2-40B4-BE49-F238E27FC236}">
              <a16:creationId xmlns:a16="http://schemas.microsoft.com/office/drawing/2014/main" id="{00000000-0008-0000-0800-000002000000}"/>
            </a:ext>
          </a:extLst>
        </xdr:cNvPr>
        <xdr:cNvSpPr/>
      </xdr:nvSpPr>
      <xdr:spPr>
        <a:xfrm>
          <a:off x="142871" y="103188"/>
          <a:ext cx="17687930" cy="5016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1"/>
            <a:t>Bike Sharing Dashboard Analysis Dashboard</a:t>
          </a:r>
        </a:p>
      </xdr:txBody>
    </xdr:sp>
    <xdr:clientData/>
  </xdr:twoCellAnchor>
  <xdr:twoCellAnchor>
    <xdr:from>
      <xdr:col>0</xdr:col>
      <xdr:colOff>9525</xdr:colOff>
      <xdr:row>3</xdr:row>
      <xdr:rowOff>571501</xdr:rowOff>
    </xdr:from>
    <xdr:to>
      <xdr:col>4</xdr:col>
      <xdr:colOff>9525</xdr:colOff>
      <xdr:row>10</xdr:row>
      <xdr:rowOff>600075</xdr:rowOff>
    </xdr:to>
    <xdr:sp macro="" textlink="">
      <xdr:nvSpPr>
        <xdr:cNvPr id="23" name="Rectangle 22">
          <a:extLst>
            <a:ext uri="{FF2B5EF4-FFF2-40B4-BE49-F238E27FC236}">
              <a16:creationId xmlns:a16="http://schemas.microsoft.com/office/drawing/2014/main" id="{00000000-0008-0000-0800-000017000000}"/>
            </a:ext>
          </a:extLst>
        </xdr:cNvPr>
        <xdr:cNvSpPr/>
      </xdr:nvSpPr>
      <xdr:spPr>
        <a:xfrm>
          <a:off x="9525" y="3619501"/>
          <a:ext cx="8077200" cy="429577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19049</xdr:colOff>
      <xdr:row>3</xdr:row>
      <xdr:rowOff>590549</xdr:rowOff>
    </xdr:from>
    <xdr:to>
      <xdr:col>3</xdr:col>
      <xdr:colOff>2009774</xdr:colOff>
      <xdr:row>10</xdr:row>
      <xdr:rowOff>561974</xdr:rowOff>
    </xdr:to>
    <xdr:graphicFrame macro="">
      <xdr:nvGraphicFramePr>
        <xdr:cNvPr id="24" name="Chart 23">
          <a:extLst>
            <a:ext uri="{FF2B5EF4-FFF2-40B4-BE49-F238E27FC236}">
              <a16:creationId xmlns:a16="http://schemas.microsoft.com/office/drawing/2014/main" id="{00000000-0008-0000-08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xdr:colOff>
      <xdr:row>3</xdr:row>
      <xdr:rowOff>581025</xdr:rowOff>
    </xdr:from>
    <xdr:to>
      <xdr:col>7</xdr:col>
      <xdr:colOff>2009775</xdr:colOff>
      <xdr:row>11</xdr:row>
      <xdr:rowOff>0</xdr:rowOff>
    </xdr:to>
    <xdr:sp macro="" textlink="">
      <xdr:nvSpPr>
        <xdr:cNvPr id="25" name="Rectangle 24">
          <a:extLst>
            <a:ext uri="{FF2B5EF4-FFF2-40B4-BE49-F238E27FC236}">
              <a16:creationId xmlns:a16="http://schemas.microsoft.com/office/drawing/2014/main" id="{00000000-0008-0000-0800-000019000000}"/>
            </a:ext>
          </a:extLst>
        </xdr:cNvPr>
        <xdr:cNvSpPr/>
      </xdr:nvSpPr>
      <xdr:spPr>
        <a:xfrm>
          <a:off x="8134350" y="3629025"/>
          <a:ext cx="8010525" cy="429577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76199</xdr:colOff>
      <xdr:row>3</xdr:row>
      <xdr:rowOff>581025</xdr:rowOff>
    </xdr:from>
    <xdr:to>
      <xdr:col>7</xdr:col>
      <xdr:colOff>1990724</xdr:colOff>
      <xdr:row>10</xdr:row>
      <xdr:rowOff>600074</xdr:rowOff>
    </xdr:to>
    <xdr:graphicFrame macro="">
      <xdr:nvGraphicFramePr>
        <xdr:cNvPr id="26" name="Chart 25">
          <a:extLst>
            <a:ext uri="{FF2B5EF4-FFF2-40B4-BE49-F238E27FC236}">
              <a16:creationId xmlns:a16="http://schemas.microsoft.com/office/drawing/2014/main" id="{00000000-0008-0000-08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12</xdr:row>
      <xdr:rowOff>609599</xdr:rowOff>
    </xdr:from>
    <xdr:to>
      <xdr:col>3</xdr:col>
      <xdr:colOff>2000250</xdr:colOff>
      <xdr:row>20</xdr:row>
      <xdr:rowOff>28574</xdr:rowOff>
    </xdr:to>
    <xdr:sp macro="" textlink="">
      <xdr:nvSpPr>
        <xdr:cNvPr id="27" name="Rectangle 26">
          <a:extLst>
            <a:ext uri="{FF2B5EF4-FFF2-40B4-BE49-F238E27FC236}">
              <a16:creationId xmlns:a16="http://schemas.microsoft.com/office/drawing/2014/main" id="{00000000-0008-0000-0800-00001B000000}"/>
            </a:ext>
          </a:extLst>
        </xdr:cNvPr>
        <xdr:cNvSpPr/>
      </xdr:nvSpPr>
      <xdr:spPr>
        <a:xfrm>
          <a:off x="9525" y="9143999"/>
          <a:ext cx="8048625" cy="429577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xdr:colOff>
      <xdr:row>12</xdr:row>
      <xdr:rowOff>600075</xdr:rowOff>
    </xdr:from>
    <xdr:to>
      <xdr:col>8</xdr:col>
      <xdr:colOff>28575</xdr:colOff>
      <xdr:row>20</xdr:row>
      <xdr:rowOff>19050</xdr:rowOff>
    </xdr:to>
    <xdr:sp macro="" textlink="">
      <xdr:nvSpPr>
        <xdr:cNvPr id="28" name="Rectangle 27">
          <a:extLst>
            <a:ext uri="{FF2B5EF4-FFF2-40B4-BE49-F238E27FC236}">
              <a16:creationId xmlns:a16="http://schemas.microsoft.com/office/drawing/2014/main" id="{00000000-0008-0000-0800-00001C000000}"/>
            </a:ext>
          </a:extLst>
        </xdr:cNvPr>
        <xdr:cNvSpPr/>
      </xdr:nvSpPr>
      <xdr:spPr>
        <a:xfrm>
          <a:off x="8096250" y="9134475"/>
          <a:ext cx="8086725" cy="429577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21</xdr:row>
      <xdr:rowOff>571500</xdr:rowOff>
    </xdr:from>
    <xdr:to>
      <xdr:col>4</xdr:col>
      <xdr:colOff>0</xdr:colOff>
      <xdr:row>28</xdr:row>
      <xdr:rowOff>600075</xdr:rowOff>
    </xdr:to>
    <xdr:sp macro="" textlink="">
      <xdr:nvSpPr>
        <xdr:cNvPr id="29" name="Rectangle 28">
          <a:extLst>
            <a:ext uri="{FF2B5EF4-FFF2-40B4-BE49-F238E27FC236}">
              <a16:creationId xmlns:a16="http://schemas.microsoft.com/office/drawing/2014/main" id="{00000000-0008-0000-0800-00001D000000}"/>
            </a:ext>
          </a:extLst>
        </xdr:cNvPr>
        <xdr:cNvSpPr/>
      </xdr:nvSpPr>
      <xdr:spPr>
        <a:xfrm>
          <a:off x="28575" y="14592300"/>
          <a:ext cx="8048625" cy="429577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38101</xdr:colOff>
      <xdr:row>21</xdr:row>
      <xdr:rowOff>581025</xdr:rowOff>
    </xdr:from>
    <xdr:to>
      <xdr:col>8</xdr:col>
      <xdr:colOff>38101</xdr:colOff>
      <xdr:row>29</xdr:row>
      <xdr:rowOff>0</xdr:rowOff>
    </xdr:to>
    <xdr:sp macro="" textlink="">
      <xdr:nvSpPr>
        <xdr:cNvPr id="30" name="Rectangle 29">
          <a:extLst>
            <a:ext uri="{FF2B5EF4-FFF2-40B4-BE49-F238E27FC236}">
              <a16:creationId xmlns:a16="http://schemas.microsoft.com/office/drawing/2014/main" id="{00000000-0008-0000-0800-00001E000000}"/>
            </a:ext>
          </a:extLst>
        </xdr:cNvPr>
        <xdr:cNvSpPr/>
      </xdr:nvSpPr>
      <xdr:spPr>
        <a:xfrm>
          <a:off x="8115301" y="14601825"/>
          <a:ext cx="8077200" cy="429577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2019299</xdr:colOff>
      <xdr:row>12</xdr:row>
      <xdr:rowOff>590550</xdr:rowOff>
    </xdr:from>
    <xdr:to>
      <xdr:col>8</xdr:col>
      <xdr:colOff>9524</xdr:colOff>
      <xdr:row>20</xdr:row>
      <xdr:rowOff>0</xdr:rowOff>
    </xdr:to>
    <xdr:graphicFrame macro="">
      <xdr:nvGraphicFramePr>
        <xdr:cNvPr id="31" name="Chart 30">
          <a:extLst>
            <a:ext uri="{FF2B5EF4-FFF2-40B4-BE49-F238E27FC236}">
              <a16:creationId xmlns:a16="http://schemas.microsoft.com/office/drawing/2014/main" id="{00000000-0008-0000-08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21</xdr:row>
      <xdr:rowOff>581024</xdr:rowOff>
    </xdr:from>
    <xdr:to>
      <xdr:col>3</xdr:col>
      <xdr:colOff>2000250</xdr:colOff>
      <xdr:row>28</xdr:row>
      <xdr:rowOff>571499</xdr:rowOff>
    </xdr:to>
    <xdr:graphicFrame macro="">
      <xdr:nvGraphicFramePr>
        <xdr:cNvPr id="32" name="Chart 31">
          <a:extLst>
            <a:ext uri="{FF2B5EF4-FFF2-40B4-BE49-F238E27FC236}">
              <a16:creationId xmlns:a16="http://schemas.microsoft.com/office/drawing/2014/main" id="{00000000-0008-0000-08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47625</xdr:colOff>
      <xdr:row>13</xdr:row>
      <xdr:rowOff>19050</xdr:rowOff>
    </xdr:from>
    <xdr:to>
      <xdr:col>3</xdr:col>
      <xdr:colOff>1971675</xdr:colOff>
      <xdr:row>19</xdr:row>
      <xdr:rowOff>600075</xdr:rowOff>
    </xdr:to>
    <xdr:graphicFrame macro="">
      <xdr:nvGraphicFramePr>
        <xdr:cNvPr id="33" name="Chart 32">
          <a:extLst>
            <a:ext uri="{FF2B5EF4-FFF2-40B4-BE49-F238E27FC236}">
              <a16:creationId xmlns:a16="http://schemas.microsoft.com/office/drawing/2014/main" id="{00000000-0008-0000-08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57149</xdr:colOff>
      <xdr:row>21</xdr:row>
      <xdr:rowOff>581025</xdr:rowOff>
    </xdr:from>
    <xdr:to>
      <xdr:col>8</xdr:col>
      <xdr:colOff>9524</xdr:colOff>
      <xdr:row>28</xdr:row>
      <xdr:rowOff>590550</xdr:rowOff>
    </xdr:to>
    <xdr:graphicFrame macro="">
      <xdr:nvGraphicFramePr>
        <xdr:cNvPr id="34" name="Chart 33">
          <a:extLst>
            <a:ext uri="{FF2B5EF4-FFF2-40B4-BE49-F238E27FC236}">
              <a16:creationId xmlns:a16="http://schemas.microsoft.com/office/drawing/2014/main" id="{00000000-0008-0000-08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29</xdr:row>
      <xdr:rowOff>1</xdr:rowOff>
    </xdr:from>
    <xdr:to>
      <xdr:col>1</xdr:col>
      <xdr:colOff>1657350</xdr:colOff>
      <xdr:row>30</xdr:row>
      <xdr:rowOff>38101</xdr:rowOff>
    </xdr:to>
    <mc:AlternateContent xmlns:mc="http://schemas.openxmlformats.org/markup-compatibility/2006" xmlns:a14="http://schemas.microsoft.com/office/drawing/2010/main">
      <mc:Choice Requires="a14">
        <xdr:graphicFrame macro="">
          <xdr:nvGraphicFramePr>
            <xdr:cNvPr id="35" name="weekday 3">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microsoft.com/office/drawing/2010/slicer">
              <sle:slicer xmlns:sle="http://schemas.microsoft.com/office/drawing/2010/slicer" name="weekday 3"/>
            </a:graphicData>
          </a:graphic>
        </xdr:graphicFrame>
      </mc:Choice>
      <mc:Fallback xmlns="">
        <xdr:sp macro="" textlink="">
          <xdr:nvSpPr>
            <xdr:cNvPr id="0" name=""/>
            <xdr:cNvSpPr>
              <a:spLocks noTextEdit="1"/>
            </xdr:cNvSpPr>
          </xdr:nvSpPr>
          <xdr:spPr>
            <a:xfrm>
              <a:off x="0" y="13820776"/>
              <a:ext cx="3476625"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1257301</xdr:colOff>
      <xdr:row>29</xdr:row>
      <xdr:rowOff>38100</xdr:rowOff>
    </xdr:from>
    <xdr:to>
      <xdr:col>5</xdr:col>
      <xdr:colOff>1562101</xdr:colOff>
      <xdr:row>30</xdr:row>
      <xdr:rowOff>28575</xdr:rowOff>
    </xdr:to>
    <mc:AlternateContent xmlns:mc="http://schemas.openxmlformats.org/markup-compatibility/2006" xmlns:a14="http://schemas.microsoft.com/office/drawing/2010/main">
      <mc:Choice Requires="a14">
        <xdr:graphicFrame macro="">
          <xdr:nvGraphicFramePr>
            <xdr:cNvPr id="36" name="weathersit 3">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microsoft.com/office/drawing/2010/slicer">
              <sle:slicer xmlns:sle="http://schemas.microsoft.com/office/drawing/2010/slicer" name="weathersit 3"/>
            </a:graphicData>
          </a:graphic>
        </xdr:graphicFrame>
      </mc:Choice>
      <mc:Fallback xmlns="">
        <xdr:sp macro="" textlink="">
          <xdr:nvSpPr>
            <xdr:cNvPr id="0" name=""/>
            <xdr:cNvSpPr>
              <a:spLocks noTextEdit="1"/>
            </xdr:cNvSpPr>
          </xdr:nvSpPr>
          <xdr:spPr>
            <a:xfrm>
              <a:off x="6715126" y="13858875"/>
              <a:ext cx="3943350"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85724</xdr:colOff>
      <xdr:row>29</xdr:row>
      <xdr:rowOff>47625</xdr:rowOff>
    </xdr:from>
    <xdr:to>
      <xdr:col>7</xdr:col>
      <xdr:colOff>1323975</xdr:colOff>
      <xdr:row>30</xdr:row>
      <xdr:rowOff>76200</xdr:rowOff>
    </xdr:to>
    <mc:AlternateContent xmlns:mc="http://schemas.openxmlformats.org/markup-compatibility/2006" xmlns:a14="http://schemas.microsoft.com/office/drawing/2010/main">
      <mc:Choice Requires="a14">
        <xdr:graphicFrame macro="">
          <xdr:nvGraphicFramePr>
            <xdr:cNvPr id="37" name="season 1">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001374" y="13868400"/>
              <a:ext cx="3057526"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1733550</xdr:colOff>
      <xdr:row>29</xdr:row>
      <xdr:rowOff>76200</xdr:rowOff>
    </xdr:from>
    <xdr:to>
      <xdr:col>3</xdr:col>
      <xdr:colOff>1047750</xdr:colOff>
      <xdr:row>30</xdr:row>
      <xdr:rowOff>28575</xdr:rowOff>
    </xdr:to>
    <mc:AlternateContent xmlns:mc="http://schemas.openxmlformats.org/markup-compatibility/2006" xmlns:a14="http://schemas.microsoft.com/office/drawing/2010/main">
      <mc:Choice Requires="a14">
        <xdr:graphicFrame macro="">
          <xdr:nvGraphicFramePr>
            <xdr:cNvPr id="38" name="mnth 1">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microsoft.com/office/drawing/2010/slicer">
              <sle:slicer xmlns:sle="http://schemas.microsoft.com/office/drawing/2010/slicer" name="mnth 1"/>
            </a:graphicData>
          </a:graphic>
        </xdr:graphicFrame>
      </mc:Choice>
      <mc:Fallback xmlns="">
        <xdr:sp macro="" textlink="">
          <xdr:nvSpPr>
            <xdr:cNvPr id="0" name=""/>
            <xdr:cNvSpPr>
              <a:spLocks noTextEdit="1"/>
            </xdr:cNvSpPr>
          </xdr:nvSpPr>
          <xdr:spPr>
            <a:xfrm>
              <a:off x="3552825" y="13896975"/>
              <a:ext cx="2952750" cy="561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209550</xdr:colOff>
      <xdr:row>30</xdr:row>
      <xdr:rowOff>152401</xdr:rowOff>
    </xdr:from>
    <xdr:to>
      <xdr:col>1</xdr:col>
      <xdr:colOff>1514475</xdr:colOff>
      <xdr:row>30</xdr:row>
      <xdr:rowOff>419100</xdr:rowOff>
    </xdr:to>
    <xdr:sp macro="" textlink="">
      <xdr:nvSpPr>
        <xdr:cNvPr id="39" name="TextBox 38">
          <a:extLst>
            <a:ext uri="{FF2B5EF4-FFF2-40B4-BE49-F238E27FC236}">
              <a16:creationId xmlns:a16="http://schemas.microsoft.com/office/drawing/2014/main" id="{00000000-0008-0000-0800-000027000000}"/>
            </a:ext>
          </a:extLst>
        </xdr:cNvPr>
        <xdr:cNvSpPr txBox="1"/>
      </xdr:nvSpPr>
      <xdr:spPr>
        <a:xfrm>
          <a:off x="209550" y="14582776"/>
          <a:ext cx="3124200" cy="266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"Statistical Insight: Temp vs. Rentals"</a:t>
          </a:r>
        </a:p>
      </xdr:txBody>
    </xdr:sp>
    <xdr:clientData/>
  </xdr:twoCellAnchor>
  <xdr:oneCellAnchor>
    <xdr:from>
      <xdr:col>2</xdr:col>
      <xdr:colOff>114300</xdr:colOff>
      <xdr:row>30</xdr:row>
      <xdr:rowOff>152400</xdr:rowOff>
    </xdr:from>
    <xdr:ext cx="2619375" cy="295276"/>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3752850" y="14582775"/>
          <a:ext cx="2619375" cy="295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t>             </a:t>
          </a:r>
          <a:r>
            <a:rPr lang="en-US" sz="1600" b="1"/>
            <a:t>Correlation: 0.23</a:t>
          </a:r>
        </a:p>
      </xdr:txBody>
    </xdr:sp>
    <xdr:clientData/>
  </xdr:oneCellAnchor>
  <xdr:twoCellAnchor>
    <xdr:from>
      <xdr:col>0</xdr:col>
      <xdr:colOff>0</xdr:colOff>
      <xdr:row>31</xdr:row>
      <xdr:rowOff>0</xdr:rowOff>
    </xdr:from>
    <xdr:to>
      <xdr:col>3</xdr:col>
      <xdr:colOff>1057275</xdr:colOff>
      <xdr:row>36</xdr:row>
      <xdr:rowOff>438150</xdr:rowOff>
    </xdr:to>
    <xdr:graphicFrame macro="">
      <xdr:nvGraphicFramePr>
        <xdr:cNvPr id="22" name="Chart 21">
          <a:extLst>
            <a:ext uri="{FF2B5EF4-FFF2-40B4-BE49-F238E27FC236}">
              <a16:creationId xmlns:a16="http://schemas.microsoft.com/office/drawing/2014/main" id="{00000000-0008-0000-08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1524000</xdr:colOff>
      <xdr:row>31</xdr:row>
      <xdr:rowOff>47625</xdr:rowOff>
    </xdr:from>
    <xdr:to>
      <xdr:col>6</xdr:col>
      <xdr:colOff>1181100</xdr:colOff>
      <xdr:row>32</xdr:row>
      <xdr:rowOff>19050</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6981825" y="15087600"/>
          <a:ext cx="5114925" cy="581025"/>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400" b="1"/>
            <a:t>Key Insight: Correlation between Temperature and Rentals is 0.23. This indicates that warmer weather leads to higher bike demand.</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PB10" refreshedDate="46099.196281365737" createdVersion="4" refreshedVersion="4" minRefreshableVersion="3" recordCount="1000" xr:uid="{00000000-000A-0000-FFFF-FFFF00000000}">
  <cacheSource type="worksheet">
    <worksheetSource name="Table1"/>
  </cacheSource>
  <cacheFields count="21">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MixedTypes="1" containsNumber="1" minValue="0.02" maxValue="0.46" count="24">
        <n v="0.24"/>
        <n v="0.22"/>
        <n v="0.2"/>
        <n v="0.32"/>
        <n v="0.38"/>
        <n v="0.36"/>
        <n v="0.42"/>
        <n v="0.46"/>
        <n v="0.44"/>
        <n v="0.4"/>
        <n v="0.34"/>
        <n v="0.3"/>
        <n v="0.26"/>
        <n v="0.16"/>
        <n v="0.14000000000000001"/>
        <n v="0.18"/>
        <n v="0.12"/>
        <n v="0.28000000000000003"/>
        <n v="0.1"/>
        <n v="0.08"/>
        <n v="0.06"/>
        <n v="0.04"/>
        <n v="0.02"/>
        <s v="ttt"/>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weekday 2" numFmtId="0">
      <sharedItems count="2">
        <s v="Weekend"/>
        <s v="Weekday"/>
      </sharedItems>
    </cacheField>
    <cacheField name="weathersit 2" numFmtId="0">
      <sharedItems count="4">
        <s v="Clear"/>
        <s v="Mist/Cloudy"/>
        <s v="Light Snow/Rain"/>
        <s v="Heavy Rain"/>
      </sharedItems>
    </cacheField>
    <cacheField name="Tem by Rental" numFmtId="0">
      <sharedItems containsSemiMixedTypes="0" containsString="0" containsNumber="1" minValue="0.22935326051082283" maxValue="0.22935326051082283"/>
    </cacheField>
    <cacheField name="Hum by Rental" numFmtId="0">
      <sharedItems containsSemiMixedTypes="0" containsString="0" containsNumber="1" minValue="-0.25435329828790432" maxValue="-0.25435329828790432"/>
    </cacheField>
    <cacheField name="windspeed by rental" numFmtId="0">
      <sharedItems containsSemiMixedTypes="0" containsString="0" containsNumber="1" minValue="0.10399668008577614" maxValue="0.1039966800857761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d v="2011-01-01T00:00:00"/>
    <x v="0"/>
    <n v="0"/>
    <x v="0"/>
    <x v="0"/>
    <b v="0"/>
    <n v="6"/>
    <n v="1"/>
    <x v="0"/>
    <n v="0.28789999999999999"/>
    <n v="0.81"/>
    <x v="0"/>
    <x v="0"/>
    <x v="0"/>
    <x v="0"/>
    <x v="0"/>
    <x v="0"/>
    <n v="0.22935326051082283"/>
    <n v="-0.25435329828790432"/>
    <n v="0.10399668008577614"/>
  </r>
  <r>
    <n v="2"/>
    <d v="2011-01-01T00:00:00"/>
    <x v="0"/>
    <n v="0"/>
    <x v="0"/>
    <x v="1"/>
    <b v="0"/>
    <n v="6"/>
    <n v="1"/>
    <x v="1"/>
    <n v="0.2727"/>
    <n v="0.8"/>
    <x v="0"/>
    <x v="1"/>
    <x v="1"/>
    <x v="1"/>
    <x v="1"/>
    <x v="0"/>
    <n v="0.22935326051082283"/>
    <n v="-0.25435329828790432"/>
    <n v="0.10399668008577614"/>
  </r>
  <r>
    <n v="3"/>
    <d v="2011-01-01T00:00:00"/>
    <x v="0"/>
    <n v="0"/>
    <x v="0"/>
    <x v="2"/>
    <b v="0"/>
    <n v="6"/>
    <n v="1"/>
    <x v="1"/>
    <n v="0.2727"/>
    <n v="0.8"/>
    <x v="0"/>
    <x v="2"/>
    <x v="2"/>
    <x v="2"/>
    <x v="1"/>
    <x v="0"/>
    <n v="0.22935326051082283"/>
    <n v="-0.25435329828790432"/>
    <n v="0.10399668008577614"/>
  </r>
  <r>
    <n v="4"/>
    <d v="2011-01-01T00:00:00"/>
    <x v="0"/>
    <n v="0"/>
    <x v="0"/>
    <x v="3"/>
    <b v="0"/>
    <n v="6"/>
    <n v="1"/>
    <x v="0"/>
    <n v="0.28789999999999999"/>
    <n v="0.75"/>
    <x v="0"/>
    <x v="0"/>
    <x v="3"/>
    <x v="3"/>
    <x v="1"/>
    <x v="0"/>
    <n v="0.22935326051082283"/>
    <n v="-0.25435329828790432"/>
    <n v="0.10399668008577614"/>
  </r>
  <r>
    <n v="5"/>
    <d v="2011-01-01T00:00:00"/>
    <x v="0"/>
    <n v="0"/>
    <x v="0"/>
    <x v="4"/>
    <b v="0"/>
    <n v="6"/>
    <n v="1"/>
    <x v="0"/>
    <n v="0.28789999999999999"/>
    <n v="0.75"/>
    <x v="0"/>
    <x v="3"/>
    <x v="4"/>
    <x v="4"/>
    <x v="1"/>
    <x v="0"/>
    <n v="0.22935326051082283"/>
    <n v="-0.25435329828790432"/>
    <n v="0.10399668008577614"/>
  </r>
  <r>
    <n v="6"/>
    <d v="2011-01-01T00:00:00"/>
    <x v="0"/>
    <n v="0"/>
    <x v="0"/>
    <x v="5"/>
    <b v="0"/>
    <n v="6"/>
    <n v="2"/>
    <x v="0"/>
    <n v="0.2576"/>
    <n v="0.75"/>
    <x v="1"/>
    <x v="3"/>
    <x v="4"/>
    <x v="4"/>
    <x v="1"/>
    <x v="1"/>
    <n v="0.22935326051082283"/>
    <n v="-0.25435329828790432"/>
    <n v="0.10399668008577614"/>
  </r>
  <r>
    <n v="7"/>
    <d v="2011-01-01T00:00:00"/>
    <x v="0"/>
    <n v="0"/>
    <x v="0"/>
    <x v="6"/>
    <b v="0"/>
    <n v="6"/>
    <n v="1"/>
    <x v="1"/>
    <n v="0.2727"/>
    <n v="0.8"/>
    <x v="0"/>
    <x v="4"/>
    <x v="5"/>
    <x v="5"/>
    <x v="0"/>
    <x v="0"/>
    <n v="0.22935326051082283"/>
    <n v="-0.25435329828790432"/>
    <n v="0.10399668008577614"/>
  </r>
  <r>
    <n v="8"/>
    <d v="2011-01-01T00:00:00"/>
    <x v="0"/>
    <n v="0"/>
    <x v="0"/>
    <x v="7"/>
    <b v="0"/>
    <n v="6"/>
    <n v="1"/>
    <x v="2"/>
    <n v="0.2576"/>
    <n v="0.86"/>
    <x v="0"/>
    <x v="5"/>
    <x v="6"/>
    <x v="6"/>
    <x v="0"/>
    <x v="0"/>
    <n v="0.22935326051082283"/>
    <n v="-0.25435329828790432"/>
    <n v="0.10399668008577614"/>
  </r>
  <r>
    <n v="9"/>
    <d v="2011-01-01T00:00:00"/>
    <x v="0"/>
    <n v="0"/>
    <x v="0"/>
    <x v="8"/>
    <b v="0"/>
    <n v="6"/>
    <n v="1"/>
    <x v="0"/>
    <n v="0.19993"/>
    <n v="0.75"/>
    <x v="0"/>
    <x v="5"/>
    <x v="7"/>
    <x v="7"/>
    <x v="1"/>
    <x v="0"/>
    <n v="0.22935326051082283"/>
    <n v="-0.25435329828790432"/>
    <n v="0.10399668008577614"/>
  </r>
  <r>
    <n v="10"/>
    <d v="2011-01-01T00:00:00"/>
    <x v="0"/>
    <n v="0"/>
    <x v="0"/>
    <x v="9"/>
    <b v="0"/>
    <n v="6"/>
    <n v="1"/>
    <x v="3"/>
    <n v="0.34849999999999998"/>
    <n v="0.76"/>
    <x v="0"/>
    <x v="1"/>
    <x v="8"/>
    <x v="8"/>
    <x v="1"/>
    <x v="0"/>
    <n v="0.22935326051082283"/>
    <n v="-0.25435329828790432"/>
    <n v="0.10399668008577614"/>
  </r>
  <r>
    <n v="11"/>
    <d v="2011-01-01T00:00:00"/>
    <x v="0"/>
    <n v="0"/>
    <x v="0"/>
    <x v="10"/>
    <b v="0"/>
    <n v="6"/>
    <n v="1"/>
    <x v="4"/>
    <n v="0.39389999999999997"/>
    <n v="0.76"/>
    <x v="2"/>
    <x v="6"/>
    <x v="9"/>
    <x v="9"/>
    <x v="1"/>
    <x v="0"/>
    <n v="0.22935326051082283"/>
    <n v="-0.25435329828790432"/>
    <n v="0.10399668008577614"/>
  </r>
  <r>
    <n v="12"/>
    <d v="2011-01-01T00:00:00"/>
    <x v="0"/>
    <n v="0"/>
    <x v="0"/>
    <x v="11"/>
    <b v="0"/>
    <n v="6"/>
    <n v="1"/>
    <x v="5"/>
    <n v="0.33329999999999999"/>
    <n v="0.81"/>
    <x v="3"/>
    <x v="7"/>
    <x v="10"/>
    <x v="10"/>
    <x v="1"/>
    <x v="0"/>
    <n v="0.22935326051082283"/>
    <n v="-0.25435329828790432"/>
    <n v="0.10399668008577614"/>
  </r>
  <r>
    <n v="13"/>
    <d v="2011-01-01T00:00:00"/>
    <x v="0"/>
    <n v="0"/>
    <x v="0"/>
    <x v="12"/>
    <b v="0"/>
    <n v="6"/>
    <n v="1"/>
    <x v="6"/>
    <n v="0.42420000000000002"/>
    <n v="0.77"/>
    <x v="3"/>
    <x v="8"/>
    <x v="11"/>
    <x v="11"/>
    <x v="1"/>
    <x v="0"/>
    <n v="0.22935326051082283"/>
    <n v="-0.25435329828790432"/>
    <n v="0.10399668008577614"/>
  </r>
  <r>
    <n v="14"/>
    <d v="2011-01-01T00:00:00"/>
    <x v="0"/>
    <n v="0"/>
    <x v="0"/>
    <x v="13"/>
    <b v="0"/>
    <n v="6"/>
    <n v="2"/>
    <x v="7"/>
    <n v="0.45450000000000002"/>
    <n v="0.72"/>
    <x v="4"/>
    <x v="9"/>
    <x v="12"/>
    <x v="12"/>
    <x v="0"/>
    <x v="1"/>
    <n v="0.22935326051082283"/>
    <n v="-0.25435329828790432"/>
    <n v="0.10399668008577614"/>
  </r>
  <r>
    <n v="15"/>
    <d v="2011-01-01T00:00:00"/>
    <x v="0"/>
    <n v="0"/>
    <x v="0"/>
    <x v="14"/>
    <b v="0"/>
    <n v="6"/>
    <n v="2"/>
    <x v="7"/>
    <n v="0.45450000000000002"/>
    <n v="0.72"/>
    <x v="3"/>
    <x v="10"/>
    <x v="13"/>
    <x v="13"/>
    <x v="0"/>
    <x v="1"/>
    <n v="0.22935326051082283"/>
    <n v="-0.25435329828790432"/>
    <n v="0.10399668008577614"/>
  </r>
  <r>
    <n v="16"/>
    <d v="2011-01-01T00:00:00"/>
    <x v="0"/>
    <n v="0"/>
    <x v="0"/>
    <x v="15"/>
    <b v="0"/>
    <n v="6"/>
    <n v="2"/>
    <x v="8"/>
    <n v="0.43940000000000001"/>
    <n v="0.77"/>
    <x v="4"/>
    <x v="11"/>
    <x v="14"/>
    <x v="14"/>
    <x v="1"/>
    <x v="1"/>
    <n v="0.22935326051082283"/>
    <n v="-0.25435329828790432"/>
    <n v="0.10399668008577614"/>
  </r>
  <r>
    <n v="17"/>
    <d v="2011-01-01T00:00:00"/>
    <x v="0"/>
    <n v="0"/>
    <x v="0"/>
    <x v="16"/>
    <b v="0"/>
    <n v="6"/>
    <n v="2"/>
    <x v="6"/>
    <n v="0.42420000000000002"/>
    <n v="0.82"/>
    <x v="4"/>
    <x v="12"/>
    <x v="15"/>
    <x v="15"/>
    <x v="1"/>
    <x v="1"/>
    <n v="0.22935326051082283"/>
    <n v="-0.25435329828790432"/>
    <n v="0.10399668008577614"/>
  </r>
  <r>
    <n v="18"/>
    <d v="2011-01-01T00:00:00"/>
    <x v="0"/>
    <n v="0"/>
    <x v="0"/>
    <x v="17"/>
    <b v="0"/>
    <n v="6"/>
    <n v="2"/>
    <x v="8"/>
    <n v="0.19993"/>
    <n v="0.82"/>
    <x v="3"/>
    <x v="13"/>
    <x v="15"/>
    <x v="16"/>
    <x v="1"/>
    <x v="1"/>
    <n v="0.22935326051082283"/>
    <n v="-0.25435329828790432"/>
    <n v="0.10399668008577614"/>
  </r>
  <r>
    <n v="19"/>
    <d v="2011-01-01T00:00:00"/>
    <x v="0"/>
    <n v="0"/>
    <x v="0"/>
    <x v="18"/>
    <b v="0"/>
    <n v="6"/>
    <n v="3"/>
    <x v="6"/>
    <n v="0.42420000000000002"/>
    <n v="0.88"/>
    <x v="2"/>
    <x v="14"/>
    <x v="16"/>
    <x v="17"/>
    <x v="1"/>
    <x v="2"/>
    <n v="0.22935326051082283"/>
    <n v="-0.25435329828790432"/>
    <n v="0.10399668008577614"/>
  </r>
  <r>
    <n v="20"/>
    <d v="2011-01-01T00:00:00"/>
    <x v="0"/>
    <n v="0"/>
    <x v="0"/>
    <x v="19"/>
    <b v="0"/>
    <n v="6"/>
    <n v="3"/>
    <x v="6"/>
    <n v="0.42420000000000002"/>
    <n v="0.88"/>
    <x v="2"/>
    <x v="15"/>
    <x v="17"/>
    <x v="18"/>
    <x v="1"/>
    <x v="2"/>
    <n v="0.22935326051082283"/>
    <n v="-0.25435329828790432"/>
    <n v="0.10399668008577614"/>
  </r>
  <r>
    <n v="21"/>
    <d v="2011-01-01T00:00:00"/>
    <x v="0"/>
    <n v="0"/>
    <x v="0"/>
    <x v="20"/>
    <b v="0"/>
    <n v="6"/>
    <n v="2"/>
    <x v="9"/>
    <n v="0.40910000000000002"/>
    <n v="0.87"/>
    <x v="2"/>
    <x v="16"/>
    <x v="18"/>
    <x v="9"/>
    <x v="0"/>
    <x v="1"/>
    <n v="0.22935326051082283"/>
    <n v="-0.25435329828790432"/>
    <n v="0.10399668008577614"/>
  </r>
  <r>
    <n v="22"/>
    <d v="2011-01-01T00:00:00"/>
    <x v="0"/>
    <n v="0"/>
    <x v="0"/>
    <x v="21"/>
    <b v="0"/>
    <n v="6"/>
    <n v="2"/>
    <x v="9"/>
    <n v="0.40910000000000002"/>
    <n v="0.87"/>
    <x v="5"/>
    <x v="0"/>
    <x v="17"/>
    <x v="19"/>
    <x v="0"/>
    <x v="1"/>
    <n v="0.22935326051082283"/>
    <n v="-0.25435329828790432"/>
    <n v="0.10399668008577614"/>
  </r>
  <r>
    <n v="23"/>
    <d v="2011-01-01T00:00:00"/>
    <x v="0"/>
    <n v="0"/>
    <x v="0"/>
    <x v="22"/>
    <b v="0"/>
    <n v="6"/>
    <n v="2"/>
    <x v="9"/>
    <n v="0.40910000000000002"/>
    <n v="0.94"/>
    <x v="6"/>
    <x v="16"/>
    <x v="19"/>
    <x v="20"/>
    <x v="1"/>
    <x v="1"/>
    <n v="0.22935326051082283"/>
    <n v="-0.25435329828790432"/>
    <n v="0.10399668008577614"/>
  </r>
  <r>
    <n v="24"/>
    <d v="2011-01-01T00:00:00"/>
    <x v="0"/>
    <n v="0"/>
    <x v="0"/>
    <x v="23"/>
    <b v="0"/>
    <n v="6"/>
    <n v="2"/>
    <x v="7"/>
    <n v="0.19993"/>
    <n v="0.88"/>
    <x v="4"/>
    <x v="13"/>
    <x v="9"/>
    <x v="21"/>
    <x v="1"/>
    <x v="1"/>
    <n v="0.22935326051082283"/>
    <n v="-0.25435329828790432"/>
    <n v="0.10399668008577614"/>
  </r>
  <r>
    <n v="25"/>
    <d v="2011-01-02T00:00:00"/>
    <x v="0"/>
    <n v="0"/>
    <x v="0"/>
    <x v="0"/>
    <b v="0"/>
    <n v="0"/>
    <n v="2"/>
    <x v="7"/>
    <n v="0.45450000000000002"/>
    <n v="0.88"/>
    <x v="4"/>
    <x v="17"/>
    <x v="0"/>
    <x v="22"/>
    <x v="1"/>
    <x v="1"/>
    <n v="0.22935326051082283"/>
    <n v="-0.25435329828790432"/>
    <n v="0.10399668008577614"/>
  </r>
  <r>
    <n v="26"/>
    <d v="2011-01-02T00:00:00"/>
    <x v="0"/>
    <n v="0"/>
    <x v="0"/>
    <x v="1"/>
    <b v="0"/>
    <n v="0"/>
    <n v="2"/>
    <x v="8"/>
    <n v="0.43940000000000001"/>
    <n v="0.94"/>
    <x v="2"/>
    <x v="5"/>
    <x v="20"/>
    <x v="22"/>
    <x v="1"/>
    <x v="1"/>
    <n v="0.22935326051082283"/>
    <n v="-0.25435329828790432"/>
    <n v="0.10399668008577614"/>
  </r>
  <r>
    <n v="27"/>
    <d v="2011-01-02T00:00:00"/>
    <x v="0"/>
    <n v="0"/>
    <x v="0"/>
    <x v="2"/>
    <b v="0"/>
    <n v="0"/>
    <n v="2"/>
    <x v="6"/>
    <n v="0.42420000000000002"/>
    <n v="1"/>
    <x v="3"/>
    <x v="5"/>
    <x v="21"/>
    <x v="23"/>
    <x v="1"/>
    <x v="1"/>
    <n v="0.22935326051082283"/>
    <n v="-0.25435329828790432"/>
    <n v="0.10399668008577614"/>
  </r>
  <r>
    <n v="28"/>
    <d v="2011-01-02T00:00:00"/>
    <x v="0"/>
    <n v="0"/>
    <x v="0"/>
    <x v="3"/>
    <b v="0"/>
    <n v="0"/>
    <n v="2"/>
    <x v="7"/>
    <n v="0.45450000000000002"/>
    <n v="0.94"/>
    <x v="5"/>
    <x v="4"/>
    <x v="22"/>
    <x v="24"/>
    <x v="0"/>
    <x v="1"/>
    <n v="0.22935326051082283"/>
    <n v="-0.25435329828790432"/>
    <n v="0.10399668008577614"/>
  </r>
  <r>
    <n v="29"/>
    <d v="2011-01-02T00:00:00"/>
    <x v="0"/>
    <n v="0"/>
    <x v="0"/>
    <x v="4"/>
    <b v="0"/>
    <n v="0"/>
    <n v="2"/>
    <x v="7"/>
    <n v="0.19993"/>
    <n v="0.94"/>
    <x v="5"/>
    <x v="4"/>
    <x v="4"/>
    <x v="6"/>
    <x v="0"/>
    <x v="1"/>
    <n v="0.22935326051082283"/>
    <n v="-0.25435329828790432"/>
    <n v="0.10399668008577614"/>
  </r>
  <r>
    <n v="30"/>
    <d v="2011-01-02T00:00:00"/>
    <x v="0"/>
    <n v="0"/>
    <x v="0"/>
    <x v="6"/>
    <b v="0"/>
    <n v="0"/>
    <n v="3"/>
    <x v="6"/>
    <n v="0.42420000000000002"/>
    <n v="0.77"/>
    <x v="4"/>
    <x v="3"/>
    <x v="6"/>
    <x v="5"/>
    <x v="1"/>
    <x v="2"/>
    <n v="0.22935326051082283"/>
    <n v="-0.25435329828790432"/>
    <n v="0.10399668008577614"/>
  </r>
  <r>
    <n v="31"/>
    <d v="2011-01-02T00:00:00"/>
    <x v="0"/>
    <n v="0"/>
    <x v="0"/>
    <x v="7"/>
    <b v="0"/>
    <n v="0"/>
    <n v="2"/>
    <x v="9"/>
    <n v="0.40910000000000002"/>
    <n v="0.76"/>
    <x v="5"/>
    <x v="3"/>
    <x v="4"/>
    <x v="4"/>
    <x v="1"/>
    <x v="1"/>
    <n v="0.22935326051082283"/>
    <n v="-0.25435329828790432"/>
    <n v="0.10399668008577614"/>
  </r>
  <r>
    <n v="32"/>
    <d v="2011-01-02T00:00:00"/>
    <x v="0"/>
    <n v="0"/>
    <x v="0"/>
    <x v="8"/>
    <b v="0"/>
    <n v="0"/>
    <n v="3"/>
    <x v="9"/>
    <n v="0.40910000000000002"/>
    <n v="0.71"/>
    <x v="6"/>
    <x v="3"/>
    <x v="21"/>
    <x v="7"/>
    <x v="1"/>
    <x v="2"/>
    <n v="0.22935326051082283"/>
    <n v="-0.25435329828790432"/>
    <n v="0.10399668008577614"/>
  </r>
  <r>
    <n v="33"/>
    <d v="2011-01-02T00:00:00"/>
    <x v="0"/>
    <n v="0"/>
    <x v="0"/>
    <x v="9"/>
    <b v="0"/>
    <n v="0"/>
    <n v="2"/>
    <x v="4"/>
    <n v="0.19993"/>
    <n v="0.76"/>
    <x v="6"/>
    <x v="5"/>
    <x v="23"/>
    <x v="25"/>
    <x v="1"/>
    <x v="1"/>
    <n v="0.22935326051082283"/>
    <n v="-0.25435329828790432"/>
    <n v="0.10399668008577614"/>
  </r>
  <r>
    <n v="34"/>
    <d v="2011-01-02T00:00:00"/>
    <x v="0"/>
    <n v="0"/>
    <x v="0"/>
    <x v="10"/>
    <b v="0"/>
    <n v="0"/>
    <n v="2"/>
    <x v="5"/>
    <n v="0.34849999999999998"/>
    <n v="0.81"/>
    <x v="6"/>
    <x v="18"/>
    <x v="24"/>
    <x v="26"/>
    <x v="1"/>
    <x v="1"/>
    <n v="0.22935326051082283"/>
    <n v="-0.25435329828790432"/>
    <n v="0.10399668008577614"/>
  </r>
  <r>
    <n v="35"/>
    <d v="2011-01-02T00:00:00"/>
    <x v="0"/>
    <n v="0"/>
    <x v="0"/>
    <x v="11"/>
    <b v="0"/>
    <n v="0"/>
    <n v="2"/>
    <x v="5"/>
    <n v="0.33329999999999999"/>
    <n v="0.71"/>
    <x v="2"/>
    <x v="19"/>
    <x v="25"/>
    <x v="27"/>
    <x v="0"/>
    <x v="1"/>
    <n v="0.22935326051082283"/>
    <n v="-0.25435329828790432"/>
    <n v="0.10399668008577614"/>
  </r>
  <r>
    <n v="36"/>
    <d v="2011-01-02T00:00:00"/>
    <x v="0"/>
    <n v="0"/>
    <x v="0"/>
    <x v="12"/>
    <b v="0"/>
    <n v="0"/>
    <n v="2"/>
    <x v="5"/>
    <n v="0.33329999999999999"/>
    <n v="0.66"/>
    <x v="4"/>
    <x v="20"/>
    <x v="26"/>
    <x v="15"/>
    <x v="0"/>
    <x v="1"/>
    <n v="0.22935326051082283"/>
    <n v="-0.25435329828790432"/>
    <n v="0.10399668008577614"/>
  </r>
  <r>
    <n v="37"/>
    <d v="2011-01-02T00:00:00"/>
    <x v="0"/>
    <n v="0"/>
    <x v="0"/>
    <x v="13"/>
    <b v="0"/>
    <n v="0"/>
    <n v="2"/>
    <x v="5"/>
    <n v="0.34849999999999998"/>
    <n v="0.66"/>
    <x v="7"/>
    <x v="16"/>
    <x v="27"/>
    <x v="28"/>
    <x v="1"/>
    <x v="1"/>
    <n v="0.22935326051082283"/>
    <n v="-0.25435329828790432"/>
    <n v="0.10399668008577614"/>
  </r>
  <r>
    <n v="38"/>
    <d v="2011-01-02T00:00:00"/>
    <x v="0"/>
    <n v="0"/>
    <x v="0"/>
    <x v="14"/>
    <b v="0"/>
    <n v="0"/>
    <n v="3"/>
    <x v="5"/>
    <n v="0.19993"/>
    <n v="0.76"/>
    <x v="5"/>
    <x v="17"/>
    <x v="11"/>
    <x v="29"/>
    <x v="1"/>
    <x v="2"/>
    <n v="0.22935326051082283"/>
    <n v="-0.25435329828790432"/>
    <n v="0.10399668008577614"/>
  </r>
  <r>
    <n v="39"/>
    <d v="2011-01-02T00:00:00"/>
    <x v="0"/>
    <n v="0"/>
    <x v="0"/>
    <x v="15"/>
    <b v="0"/>
    <n v="0"/>
    <n v="3"/>
    <x v="10"/>
    <n v="0.33329999999999999"/>
    <n v="0.81"/>
    <x v="8"/>
    <x v="21"/>
    <x v="11"/>
    <x v="30"/>
    <x v="1"/>
    <x v="2"/>
    <n v="0.22935326051082283"/>
    <n v="-0.25435329828790432"/>
    <n v="0.10399668008577614"/>
  </r>
  <r>
    <n v="40"/>
    <d v="2011-01-02T00:00:00"/>
    <x v="0"/>
    <n v="0"/>
    <x v="0"/>
    <x v="16"/>
    <b v="0"/>
    <n v="0"/>
    <n v="3"/>
    <x v="10"/>
    <n v="0.33329999999999999"/>
    <n v="0.71"/>
    <x v="8"/>
    <x v="14"/>
    <x v="28"/>
    <x v="31"/>
    <x v="1"/>
    <x v="2"/>
    <n v="0.22935326051082283"/>
    <n v="-0.25435329828790432"/>
    <n v="0.10399668008577614"/>
  </r>
  <r>
    <n v="41"/>
    <d v="2011-01-02T00:00:00"/>
    <x v="0"/>
    <n v="0"/>
    <x v="0"/>
    <x v="17"/>
    <b v="0"/>
    <n v="0"/>
    <n v="1"/>
    <x v="10"/>
    <n v="0.33329999999999999"/>
    <n v="0.56999999999999995"/>
    <x v="5"/>
    <x v="18"/>
    <x v="29"/>
    <x v="32"/>
    <x v="1"/>
    <x v="0"/>
    <n v="0.22935326051082283"/>
    <n v="-0.25435329828790432"/>
    <n v="0.10399668008577614"/>
  </r>
  <r>
    <n v="42"/>
    <d v="2011-01-02T00:00:00"/>
    <x v="0"/>
    <n v="0"/>
    <x v="0"/>
    <x v="18"/>
    <b v="0"/>
    <n v="0"/>
    <n v="2"/>
    <x v="5"/>
    <n v="0.33329999999999999"/>
    <n v="0.46"/>
    <x v="9"/>
    <x v="22"/>
    <x v="30"/>
    <x v="26"/>
    <x v="0"/>
    <x v="1"/>
    <n v="0.22935326051082283"/>
    <n v="-0.25435329828790432"/>
    <n v="0.10399668008577614"/>
  </r>
  <r>
    <n v="43"/>
    <d v="2011-01-02T00:00:00"/>
    <x v="0"/>
    <n v="0"/>
    <x v="0"/>
    <x v="19"/>
    <b v="0"/>
    <n v="0"/>
    <n v="1"/>
    <x v="3"/>
    <n v="0.28789999999999999"/>
    <n v="0.42"/>
    <x v="10"/>
    <x v="5"/>
    <x v="31"/>
    <x v="33"/>
    <x v="0"/>
    <x v="0"/>
    <n v="0.22935326051082283"/>
    <n v="-0.25435329828790432"/>
    <n v="0.10399668008577614"/>
  </r>
  <r>
    <n v="44"/>
    <d v="2011-01-02T00:00:00"/>
    <x v="0"/>
    <n v="0"/>
    <x v="0"/>
    <x v="20"/>
    <b v="0"/>
    <n v="0"/>
    <n v="1"/>
    <x v="11"/>
    <n v="0.19993"/>
    <n v="0.39"/>
    <x v="11"/>
    <x v="2"/>
    <x v="19"/>
    <x v="34"/>
    <x v="1"/>
    <x v="0"/>
    <n v="0.22935326051082283"/>
    <n v="-0.25435329828790432"/>
    <n v="0.10399668008577614"/>
  </r>
  <r>
    <n v="45"/>
    <d v="2011-01-02T00:00:00"/>
    <x v="0"/>
    <n v="0"/>
    <x v="0"/>
    <x v="21"/>
    <b v="0"/>
    <n v="0"/>
    <n v="1"/>
    <x v="12"/>
    <n v="0.2273"/>
    <n v="0.44"/>
    <x v="9"/>
    <x v="16"/>
    <x v="32"/>
    <x v="35"/>
    <x v="1"/>
    <x v="0"/>
    <n v="0.22935326051082283"/>
    <n v="-0.25435329828790432"/>
    <n v="0.10399668008577614"/>
  </r>
  <r>
    <n v="46"/>
    <d v="2011-01-02T00:00:00"/>
    <x v="0"/>
    <n v="0"/>
    <x v="0"/>
    <x v="22"/>
    <b v="0"/>
    <n v="0"/>
    <n v="1"/>
    <x v="0"/>
    <n v="0.21210000000000001"/>
    <n v="0.44"/>
    <x v="4"/>
    <x v="3"/>
    <x v="33"/>
    <x v="23"/>
    <x v="1"/>
    <x v="0"/>
    <n v="0.22935326051082283"/>
    <n v="-0.25435329828790432"/>
    <n v="0.10399668008577614"/>
  </r>
  <r>
    <n v="47"/>
    <d v="2011-01-02T00:00:00"/>
    <x v="0"/>
    <n v="0"/>
    <x v="0"/>
    <x v="23"/>
    <b v="0"/>
    <n v="0"/>
    <n v="1"/>
    <x v="1"/>
    <n v="0.2273"/>
    <n v="0.47"/>
    <x v="8"/>
    <x v="3"/>
    <x v="21"/>
    <x v="7"/>
    <x v="1"/>
    <x v="0"/>
    <n v="0.22935326051082283"/>
    <n v="-0.25435329828790432"/>
    <n v="0.10399668008577614"/>
  </r>
  <r>
    <n v="48"/>
    <d v="2011-01-03T00:00:00"/>
    <x v="0"/>
    <n v="0"/>
    <x v="0"/>
    <x v="0"/>
    <b v="0"/>
    <n v="1"/>
    <n v="1"/>
    <x v="1"/>
    <n v="0.19700000000000001"/>
    <n v="0.44"/>
    <x v="11"/>
    <x v="3"/>
    <x v="34"/>
    <x v="36"/>
    <x v="1"/>
    <x v="0"/>
    <n v="0.22935326051082283"/>
    <n v="-0.25435329828790432"/>
    <n v="0.10399668008577614"/>
  </r>
  <r>
    <n v="49"/>
    <d v="2011-01-03T00:00:00"/>
    <x v="0"/>
    <n v="0"/>
    <x v="0"/>
    <x v="1"/>
    <b v="0"/>
    <n v="1"/>
    <n v="1"/>
    <x v="2"/>
    <n v="0.19993"/>
    <n v="0.44"/>
    <x v="12"/>
    <x v="3"/>
    <x v="6"/>
    <x v="5"/>
    <x v="0"/>
    <x v="0"/>
    <n v="0.22935326051082283"/>
    <n v="-0.25435329828790432"/>
    <n v="0.10399668008577614"/>
  </r>
  <r>
    <n v="50"/>
    <d v="2011-01-03T00:00:00"/>
    <x v="0"/>
    <n v="0"/>
    <x v="0"/>
    <x v="4"/>
    <b v="0"/>
    <n v="1"/>
    <n v="1"/>
    <x v="13"/>
    <n v="0.13639999999999999"/>
    <n v="0.47"/>
    <x v="13"/>
    <x v="3"/>
    <x v="4"/>
    <x v="4"/>
    <x v="0"/>
    <x v="0"/>
    <n v="0.22935326051082283"/>
    <n v="-0.25435329828790432"/>
    <n v="0.10399668008577614"/>
  </r>
  <r>
    <n v="51"/>
    <d v="2011-01-03T00:00:00"/>
    <x v="0"/>
    <n v="0"/>
    <x v="0"/>
    <x v="5"/>
    <b v="0"/>
    <n v="1"/>
    <n v="1"/>
    <x v="13"/>
    <n v="0.13639999999999999"/>
    <n v="0.47"/>
    <x v="3"/>
    <x v="3"/>
    <x v="35"/>
    <x v="6"/>
    <x v="1"/>
    <x v="0"/>
    <n v="0.22935326051082283"/>
    <n v="-0.25435329828790432"/>
    <n v="0.10399668008577614"/>
  </r>
  <r>
    <n v="52"/>
    <d v="2011-01-03T00:00:00"/>
    <x v="0"/>
    <n v="0"/>
    <x v="0"/>
    <x v="6"/>
    <b v="0"/>
    <n v="1"/>
    <n v="1"/>
    <x v="14"/>
    <n v="0.1061"/>
    <n v="0.5"/>
    <x v="13"/>
    <x v="3"/>
    <x v="10"/>
    <x v="33"/>
    <x v="1"/>
    <x v="0"/>
    <n v="0.22935326051082283"/>
    <n v="-0.25435329828790432"/>
    <n v="0.10399668008577614"/>
  </r>
  <r>
    <n v="53"/>
    <d v="2011-01-03T00:00:00"/>
    <x v="0"/>
    <n v="0"/>
    <x v="0"/>
    <x v="7"/>
    <b v="0"/>
    <n v="1"/>
    <n v="1"/>
    <x v="14"/>
    <n v="0.13639999999999999"/>
    <n v="0.5"/>
    <x v="5"/>
    <x v="5"/>
    <x v="36"/>
    <x v="37"/>
    <x v="1"/>
    <x v="0"/>
    <n v="0.22935326051082283"/>
    <n v="-0.25435329828790432"/>
    <n v="0.10399668008577614"/>
  </r>
  <r>
    <n v="54"/>
    <d v="2011-01-03T00:00:00"/>
    <x v="0"/>
    <n v="0"/>
    <x v="0"/>
    <x v="8"/>
    <b v="0"/>
    <n v="1"/>
    <n v="1"/>
    <x v="14"/>
    <n v="0.1212"/>
    <n v="0.5"/>
    <x v="3"/>
    <x v="5"/>
    <x v="37"/>
    <x v="38"/>
    <x v="1"/>
    <x v="0"/>
    <n v="0.22935326051082283"/>
    <n v="-0.25435329828790432"/>
    <n v="0.10399668008577614"/>
  </r>
  <r>
    <n v="55"/>
    <d v="2011-01-03T00:00:00"/>
    <x v="0"/>
    <n v="0"/>
    <x v="0"/>
    <x v="9"/>
    <b v="0"/>
    <n v="1"/>
    <n v="1"/>
    <x v="13"/>
    <n v="0.13639999999999999"/>
    <n v="0.43"/>
    <x v="13"/>
    <x v="18"/>
    <x v="38"/>
    <x v="39"/>
    <x v="1"/>
    <x v="0"/>
    <n v="0.22935326051082283"/>
    <n v="-0.25435329828790432"/>
    <n v="0.10399668008577614"/>
  </r>
  <r>
    <n v="56"/>
    <d v="2011-01-03T00:00:00"/>
    <x v="0"/>
    <n v="0"/>
    <x v="0"/>
    <x v="10"/>
    <b v="0"/>
    <n v="1"/>
    <n v="1"/>
    <x v="15"/>
    <n v="0.16669999999999999"/>
    <n v="0.43"/>
    <x v="2"/>
    <x v="16"/>
    <x v="39"/>
    <x v="40"/>
    <x v="0"/>
    <x v="0"/>
    <n v="0.22935326051082283"/>
    <n v="-0.25435329828790432"/>
    <n v="0.10399668008577614"/>
  </r>
  <r>
    <n v="57"/>
    <d v="2011-01-03T00:00:00"/>
    <x v="0"/>
    <n v="0"/>
    <x v="0"/>
    <x v="11"/>
    <b v="0"/>
    <n v="1"/>
    <n v="1"/>
    <x v="2"/>
    <n v="0.18179999999999999"/>
    <n v="0.4"/>
    <x v="9"/>
    <x v="22"/>
    <x v="40"/>
    <x v="41"/>
    <x v="0"/>
    <x v="0"/>
    <n v="0.22935326051082283"/>
    <n v="-0.25435329828790432"/>
    <n v="0.10399668008577614"/>
  </r>
  <r>
    <n v="58"/>
    <d v="2011-01-03T00:00:00"/>
    <x v="0"/>
    <n v="0"/>
    <x v="0"/>
    <x v="12"/>
    <b v="0"/>
    <n v="1"/>
    <n v="1"/>
    <x v="1"/>
    <n v="0.21210000000000001"/>
    <n v="0.35"/>
    <x v="4"/>
    <x v="23"/>
    <x v="41"/>
    <x v="42"/>
    <x v="1"/>
    <x v="0"/>
    <n v="0.22935326051082283"/>
    <n v="-0.25435329828790432"/>
    <n v="0.10399668008577614"/>
  </r>
  <r>
    <n v="59"/>
    <d v="2011-01-03T00:00:00"/>
    <x v="0"/>
    <n v="0"/>
    <x v="0"/>
    <x v="13"/>
    <b v="0"/>
    <n v="1"/>
    <n v="1"/>
    <x v="0"/>
    <n v="0.19993"/>
    <n v="0.35"/>
    <x v="3"/>
    <x v="1"/>
    <x v="42"/>
    <x v="42"/>
    <x v="1"/>
    <x v="0"/>
    <n v="0.22935326051082283"/>
    <n v="-0.25435329828790432"/>
    <n v="0.10399668008577614"/>
  </r>
  <r>
    <n v="60"/>
    <d v="2011-01-03T00:00:00"/>
    <x v="0"/>
    <n v="0"/>
    <x v="0"/>
    <x v="14"/>
    <b v="0"/>
    <n v="1"/>
    <n v="1"/>
    <x v="12"/>
    <n v="0.2424"/>
    <n v="0.3"/>
    <x v="3"/>
    <x v="16"/>
    <x v="43"/>
    <x v="43"/>
    <x v="1"/>
    <x v="0"/>
    <n v="0.22935326051082283"/>
    <n v="-0.25435329828790432"/>
    <n v="0.10399668008577614"/>
  </r>
  <r>
    <n v="61"/>
    <d v="2011-01-03T00:00:00"/>
    <x v="0"/>
    <n v="0"/>
    <x v="0"/>
    <x v="15"/>
    <b v="0"/>
    <n v="1"/>
    <n v="1"/>
    <x v="12"/>
    <n v="0.2424"/>
    <n v="0.3"/>
    <x v="2"/>
    <x v="24"/>
    <x v="29"/>
    <x v="44"/>
    <x v="1"/>
    <x v="0"/>
    <n v="0.22935326051082283"/>
    <n v="-0.25435329828790432"/>
    <n v="0.10399668008577614"/>
  </r>
  <r>
    <n v="62"/>
    <d v="2011-01-03T00:00:00"/>
    <x v="0"/>
    <n v="0"/>
    <x v="0"/>
    <x v="16"/>
    <b v="0"/>
    <n v="1"/>
    <n v="1"/>
    <x v="12"/>
    <n v="0.2424"/>
    <n v="0.3"/>
    <x v="2"/>
    <x v="14"/>
    <x v="28"/>
    <x v="31"/>
    <x v="1"/>
    <x v="0"/>
    <n v="0.22935326051082283"/>
    <n v="-0.25435329828790432"/>
    <n v="0.10399668008577614"/>
  </r>
  <r>
    <n v="63"/>
    <d v="2011-01-03T00:00:00"/>
    <x v="0"/>
    <n v="0"/>
    <x v="0"/>
    <x v="17"/>
    <b v="0"/>
    <n v="1"/>
    <n v="1"/>
    <x v="0"/>
    <n v="0.2273"/>
    <n v="0.3"/>
    <x v="6"/>
    <x v="16"/>
    <x v="44"/>
    <x v="45"/>
    <x v="0"/>
    <x v="0"/>
    <n v="0.22935326051082283"/>
    <n v="-0.25435329828790432"/>
    <n v="0.10399668008577614"/>
  </r>
  <r>
    <n v="64"/>
    <d v="2011-01-03T00:00:00"/>
    <x v="0"/>
    <n v="0"/>
    <x v="0"/>
    <x v="18"/>
    <b v="0"/>
    <n v="1"/>
    <n v="1"/>
    <x v="0"/>
    <n v="0.2576"/>
    <n v="0.32"/>
    <x v="14"/>
    <x v="14"/>
    <x v="45"/>
    <x v="45"/>
    <x v="0"/>
    <x v="0"/>
    <n v="0.22935326051082283"/>
    <n v="-0.25435329828790432"/>
    <n v="0.10399668008577614"/>
  </r>
  <r>
    <n v="65"/>
    <d v="2011-01-03T00:00:00"/>
    <x v="0"/>
    <n v="0"/>
    <x v="0"/>
    <x v="19"/>
    <b v="0"/>
    <n v="1"/>
    <n v="1"/>
    <x v="2"/>
    <n v="0.2576"/>
    <n v="0.47"/>
    <x v="0"/>
    <x v="1"/>
    <x v="46"/>
    <x v="14"/>
    <x v="1"/>
    <x v="0"/>
    <n v="0.22935326051082283"/>
    <n v="-0.25435329828790432"/>
    <n v="0.10399668008577614"/>
  </r>
  <r>
    <n v="66"/>
    <d v="2011-01-03T00:00:00"/>
    <x v="0"/>
    <n v="0"/>
    <x v="0"/>
    <x v="20"/>
    <b v="0"/>
    <n v="1"/>
    <n v="1"/>
    <x v="2"/>
    <n v="0.19993"/>
    <n v="0.47"/>
    <x v="14"/>
    <x v="0"/>
    <x v="47"/>
    <x v="46"/>
    <x v="1"/>
    <x v="0"/>
    <n v="0.22935326051082283"/>
    <n v="-0.25435329828790432"/>
    <n v="0.10399668008577614"/>
  </r>
  <r>
    <n v="67"/>
    <d v="2011-01-03T00:00:00"/>
    <x v="0"/>
    <n v="0"/>
    <x v="0"/>
    <x v="21"/>
    <b v="0"/>
    <n v="1"/>
    <n v="1"/>
    <x v="15"/>
    <n v="0.19700000000000001"/>
    <n v="0.64"/>
    <x v="7"/>
    <x v="0"/>
    <x v="47"/>
    <x v="46"/>
    <x v="1"/>
    <x v="0"/>
    <n v="0.22935326051082283"/>
    <n v="-0.25435329828790432"/>
    <n v="0.10399668008577614"/>
  </r>
  <r>
    <n v="68"/>
    <d v="2011-01-03T00:00:00"/>
    <x v="0"/>
    <n v="0"/>
    <x v="0"/>
    <x v="22"/>
    <b v="0"/>
    <n v="1"/>
    <n v="1"/>
    <x v="14"/>
    <n v="0.1515"/>
    <n v="0.69"/>
    <x v="7"/>
    <x v="3"/>
    <x v="32"/>
    <x v="25"/>
    <x v="1"/>
    <x v="0"/>
    <n v="0.22935326051082283"/>
    <n v="-0.25435329828790432"/>
    <n v="0.10399668008577614"/>
  </r>
  <r>
    <n v="69"/>
    <d v="2011-01-03T00:00:00"/>
    <x v="0"/>
    <n v="0"/>
    <x v="0"/>
    <x v="23"/>
    <b v="0"/>
    <n v="1"/>
    <n v="1"/>
    <x v="15"/>
    <n v="0.21210000000000001"/>
    <n v="0.55000000000000004"/>
    <x v="14"/>
    <x v="5"/>
    <x v="48"/>
    <x v="47"/>
    <x v="1"/>
    <x v="0"/>
    <n v="0.22935326051082283"/>
    <n v="-0.25435329828790432"/>
    <n v="0.10399668008577614"/>
  </r>
  <r>
    <n v="70"/>
    <d v="2011-01-04T00:00:00"/>
    <x v="0"/>
    <n v="0"/>
    <x v="0"/>
    <x v="0"/>
    <b v="0"/>
    <n v="2"/>
    <n v="1"/>
    <x v="13"/>
    <n v="0.19993"/>
    <n v="0.55000000000000004"/>
    <x v="14"/>
    <x v="3"/>
    <x v="34"/>
    <x v="36"/>
    <x v="0"/>
    <x v="0"/>
    <n v="0.22935326051082283"/>
    <n v="-0.25435329828790432"/>
    <n v="0.10399668008577614"/>
  </r>
  <r>
    <n v="71"/>
    <d v="2011-01-04T00:00:00"/>
    <x v="0"/>
    <n v="0"/>
    <x v="0"/>
    <x v="1"/>
    <b v="0"/>
    <n v="2"/>
    <n v="1"/>
    <x v="13"/>
    <n v="0.18179999999999999"/>
    <n v="0.59"/>
    <x v="14"/>
    <x v="3"/>
    <x v="6"/>
    <x v="5"/>
    <x v="0"/>
    <x v="0"/>
    <n v="0.22935326051082283"/>
    <n v="-0.25435329828790432"/>
    <n v="0.10399668008577614"/>
  </r>
  <r>
    <n v="72"/>
    <d v="2011-01-04T00:00:00"/>
    <x v="0"/>
    <n v="0"/>
    <x v="0"/>
    <x v="2"/>
    <b v="0"/>
    <n v="2"/>
    <n v="1"/>
    <x v="14"/>
    <n v="0.1515"/>
    <n v="0.63"/>
    <x v="7"/>
    <x v="3"/>
    <x v="4"/>
    <x v="4"/>
    <x v="1"/>
    <x v="0"/>
    <n v="0.22935326051082283"/>
    <n v="-0.25435329828790432"/>
    <n v="0.10399668008577614"/>
  </r>
  <r>
    <n v="73"/>
    <d v="2011-01-04T00:00:00"/>
    <x v="0"/>
    <n v="0"/>
    <x v="0"/>
    <x v="4"/>
    <b v="0"/>
    <n v="2"/>
    <n v="1"/>
    <x v="14"/>
    <n v="0.18179999999999999"/>
    <n v="0.63"/>
    <x v="1"/>
    <x v="3"/>
    <x v="6"/>
    <x v="5"/>
    <x v="1"/>
    <x v="0"/>
    <n v="0.22935326051082283"/>
    <n v="-0.25435329828790432"/>
    <n v="0.10399668008577614"/>
  </r>
  <r>
    <n v="74"/>
    <d v="2011-01-04T00:00:00"/>
    <x v="0"/>
    <n v="0"/>
    <x v="0"/>
    <x v="5"/>
    <b v="0"/>
    <n v="2"/>
    <n v="1"/>
    <x v="16"/>
    <n v="0.1515"/>
    <n v="0.68"/>
    <x v="14"/>
    <x v="3"/>
    <x v="22"/>
    <x v="48"/>
    <x v="1"/>
    <x v="0"/>
    <n v="0.22935326051082283"/>
    <n v="-0.25435329828790432"/>
    <n v="0.10399668008577614"/>
  </r>
  <r>
    <n v="75"/>
    <d v="2011-01-04T00:00:00"/>
    <x v="0"/>
    <n v="0"/>
    <x v="0"/>
    <x v="6"/>
    <b v="0"/>
    <n v="2"/>
    <n v="1"/>
    <x v="16"/>
    <n v="0.1515"/>
    <n v="0.74"/>
    <x v="14"/>
    <x v="3"/>
    <x v="49"/>
    <x v="9"/>
    <x v="1"/>
    <x v="0"/>
    <n v="0.22935326051082283"/>
    <n v="-0.25435329828790432"/>
    <n v="0.10399668008577614"/>
  </r>
  <r>
    <n v="76"/>
    <d v="2011-01-04T00:00:00"/>
    <x v="0"/>
    <n v="0"/>
    <x v="0"/>
    <x v="7"/>
    <b v="0"/>
    <n v="2"/>
    <n v="1"/>
    <x v="16"/>
    <n v="0.1515"/>
    <n v="0.74"/>
    <x v="7"/>
    <x v="4"/>
    <x v="50"/>
    <x v="12"/>
    <x v="1"/>
    <x v="0"/>
    <n v="0.22935326051082283"/>
    <n v="-0.25435329828790432"/>
    <n v="0.10399668008577614"/>
  </r>
  <r>
    <n v="77"/>
    <d v="2011-01-04T00:00:00"/>
    <x v="0"/>
    <n v="0"/>
    <x v="0"/>
    <x v="8"/>
    <b v="0"/>
    <n v="2"/>
    <n v="1"/>
    <x v="14"/>
    <n v="0.1515"/>
    <n v="0.69"/>
    <x v="8"/>
    <x v="4"/>
    <x v="51"/>
    <x v="49"/>
    <x v="0"/>
    <x v="0"/>
    <n v="0.22935326051082283"/>
    <n v="-0.25435329828790432"/>
    <n v="0.10399668008577614"/>
  </r>
  <r>
    <n v="78"/>
    <d v="2011-01-04T00:00:00"/>
    <x v="0"/>
    <n v="0"/>
    <x v="0"/>
    <x v="9"/>
    <b v="0"/>
    <n v="2"/>
    <n v="1"/>
    <x v="13"/>
    <n v="0.1515"/>
    <n v="0.64"/>
    <x v="6"/>
    <x v="4"/>
    <x v="52"/>
    <x v="50"/>
    <x v="0"/>
    <x v="0"/>
    <n v="0.22935326051082283"/>
    <n v="-0.25435329828790432"/>
    <n v="0.10399668008577614"/>
  </r>
  <r>
    <n v="79"/>
    <d v="2011-01-04T00:00:00"/>
    <x v="0"/>
    <n v="0"/>
    <x v="0"/>
    <x v="10"/>
    <b v="0"/>
    <n v="2"/>
    <n v="2"/>
    <x v="13"/>
    <n v="0.13639999999999999"/>
    <n v="0.69"/>
    <x v="9"/>
    <x v="2"/>
    <x v="53"/>
    <x v="51"/>
    <x v="1"/>
    <x v="1"/>
    <n v="0.22935326051082283"/>
    <n v="-0.25435329828790432"/>
    <n v="0.10399668008577614"/>
  </r>
  <r>
    <n v="80"/>
    <d v="2011-01-04T00:00:00"/>
    <x v="0"/>
    <n v="0"/>
    <x v="0"/>
    <x v="11"/>
    <b v="0"/>
    <n v="2"/>
    <n v="1"/>
    <x v="1"/>
    <n v="0.21210000000000001"/>
    <n v="0.51"/>
    <x v="4"/>
    <x v="18"/>
    <x v="54"/>
    <x v="52"/>
    <x v="1"/>
    <x v="0"/>
    <n v="0.22935326051082283"/>
    <n v="-0.25435329828790432"/>
    <n v="0.10399668008577614"/>
  </r>
  <r>
    <n v="81"/>
    <d v="2011-01-04T00:00:00"/>
    <x v="0"/>
    <n v="0"/>
    <x v="0"/>
    <x v="12"/>
    <b v="0"/>
    <n v="2"/>
    <n v="1"/>
    <x v="1"/>
    <n v="0.2273"/>
    <n v="0.51"/>
    <x v="8"/>
    <x v="6"/>
    <x v="43"/>
    <x v="53"/>
    <x v="1"/>
    <x v="0"/>
    <n v="0.22935326051082283"/>
    <n v="-0.25435329828790432"/>
    <n v="0.10399668008577614"/>
  </r>
  <r>
    <n v="82"/>
    <d v="2011-01-04T00:00:00"/>
    <x v="0"/>
    <n v="0"/>
    <x v="0"/>
    <x v="13"/>
    <b v="0"/>
    <n v="2"/>
    <n v="1"/>
    <x v="0"/>
    <n v="0.2273"/>
    <n v="0.56000000000000005"/>
    <x v="5"/>
    <x v="25"/>
    <x v="55"/>
    <x v="54"/>
    <x v="1"/>
    <x v="0"/>
    <n v="0.22935326051082283"/>
    <n v="-0.25435329828790432"/>
    <n v="0.10399668008577614"/>
  </r>
  <r>
    <n v="83"/>
    <d v="2011-01-04T00:00:00"/>
    <x v="0"/>
    <n v="0"/>
    <x v="0"/>
    <x v="14"/>
    <b v="0"/>
    <n v="2"/>
    <n v="1"/>
    <x v="12"/>
    <n v="0.2576"/>
    <n v="0.52"/>
    <x v="6"/>
    <x v="14"/>
    <x v="25"/>
    <x v="55"/>
    <x v="1"/>
    <x v="0"/>
    <n v="0.22935326051082283"/>
    <n v="-0.25435329828790432"/>
    <n v="0.10399668008577614"/>
  </r>
  <r>
    <n v="84"/>
    <d v="2011-01-04T00:00:00"/>
    <x v="0"/>
    <n v="0"/>
    <x v="0"/>
    <x v="15"/>
    <b v="0"/>
    <n v="2"/>
    <n v="1"/>
    <x v="17"/>
    <n v="0.2727"/>
    <n v="0.52"/>
    <x v="2"/>
    <x v="26"/>
    <x v="41"/>
    <x v="32"/>
    <x v="0"/>
    <x v="0"/>
    <n v="0.22935326051082283"/>
    <n v="-0.25435329828790432"/>
    <n v="0.10399668008577614"/>
  </r>
  <r>
    <n v="85"/>
    <d v="2011-01-04T00:00:00"/>
    <x v="0"/>
    <n v="0"/>
    <x v="0"/>
    <x v="16"/>
    <b v="0"/>
    <n v="2"/>
    <n v="1"/>
    <x v="11"/>
    <n v="0.28789999999999999"/>
    <n v="0.49"/>
    <x v="2"/>
    <x v="13"/>
    <x v="56"/>
    <x v="56"/>
    <x v="0"/>
    <x v="0"/>
    <n v="0.22935326051082283"/>
    <n v="-0.25435329828790432"/>
    <n v="0.10399668008577614"/>
  </r>
  <r>
    <n v="86"/>
    <d v="2011-01-04T00:00:00"/>
    <x v="0"/>
    <n v="0"/>
    <x v="0"/>
    <x v="17"/>
    <b v="0"/>
    <n v="2"/>
    <n v="1"/>
    <x v="17"/>
    <n v="0.2727"/>
    <n v="0.48"/>
    <x v="6"/>
    <x v="22"/>
    <x v="57"/>
    <x v="57"/>
    <x v="1"/>
    <x v="0"/>
    <n v="0.22935326051082283"/>
    <n v="-0.25435329828790432"/>
    <n v="0.10399668008577614"/>
  </r>
  <r>
    <n v="87"/>
    <d v="2011-01-04T00:00:00"/>
    <x v="0"/>
    <n v="0"/>
    <x v="0"/>
    <x v="18"/>
    <b v="0"/>
    <n v="2"/>
    <n v="1"/>
    <x v="12"/>
    <n v="0.2576"/>
    <n v="0.48"/>
    <x v="5"/>
    <x v="0"/>
    <x v="58"/>
    <x v="58"/>
    <x v="1"/>
    <x v="0"/>
    <n v="0.22935326051082283"/>
    <n v="-0.25435329828790432"/>
    <n v="0.10399668008577614"/>
  </r>
  <r>
    <n v="88"/>
    <d v="2011-01-04T00:00:00"/>
    <x v="0"/>
    <n v="0"/>
    <x v="0"/>
    <x v="19"/>
    <b v="0"/>
    <n v="2"/>
    <n v="1"/>
    <x v="0"/>
    <n v="0.2576"/>
    <n v="0.48"/>
    <x v="14"/>
    <x v="4"/>
    <x v="59"/>
    <x v="59"/>
    <x v="1"/>
    <x v="0"/>
    <n v="0.22935326051082283"/>
    <n v="-0.25435329828790432"/>
    <n v="0.10399668008577614"/>
  </r>
  <r>
    <n v="89"/>
    <d v="2011-01-04T00:00:00"/>
    <x v="0"/>
    <n v="0"/>
    <x v="0"/>
    <x v="20"/>
    <b v="0"/>
    <n v="2"/>
    <n v="1"/>
    <x v="0"/>
    <n v="0.2576"/>
    <n v="0.48"/>
    <x v="14"/>
    <x v="5"/>
    <x v="42"/>
    <x v="60"/>
    <x v="1"/>
    <x v="0"/>
    <n v="0.22935326051082283"/>
    <n v="-0.25435329828790432"/>
    <n v="0.10399668008577614"/>
  </r>
  <r>
    <n v="90"/>
    <d v="2011-01-04T00:00:00"/>
    <x v="0"/>
    <n v="0"/>
    <x v="0"/>
    <x v="21"/>
    <b v="0"/>
    <n v="2"/>
    <n v="1"/>
    <x v="1"/>
    <n v="0.2727"/>
    <n v="0.64"/>
    <x v="0"/>
    <x v="3"/>
    <x v="41"/>
    <x v="61"/>
    <x v="1"/>
    <x v="0"/>
    <n v="0.22935326051082283"/>
    <n v="-0.25435329828790432"/>
    <n v="0.10399668008577614"/>
  </r>
  <r>
    <n v="91"/>
    <d v="2011-01-04T00:00:00"/>
    <x v="0"/>
    <n v="0"/>
    <x v="0"/>
    <x v="22"/>
    <b v="0"/>
    <n v="2"/>
    <n v="1"/>
    <x v="1"/>
    <n v="0.2576"/>
    <n v="0.64"/>
    <x v="1"/>
    <x v="5"/>
    <x v="60"/>
    <x v="17"/>
    <x v="0"/>
    <x v="0"/>
    <n v="0.22935326051082283"/>
    <n v="-0.25435329828790432"/>
    <n v="0.10399668008577614"/>
  </r>
  <r>
    <n v="92"/>
    <d v="2011-01-04T00:00:00"/>
    <x v="0"/>
    <n v="0"/>
    <x v="0"/>
    <x v="23"/>
    <b v="0"/>
    <n v="2"/>
    <n v="1"/>
    <x v="2"/>
    <n v="0.2273"/>
    <n v="0.69"/>
    <x v="1"/>
    <x v="4"/>
    <x v="33"/>
    <x v="62"/>
    <x v="0"/>
    <x v="0"/>
    <n v="0.22935326051082283"/>
    <n v="-0.25435329828790432"/>
    <n v="0.10399668008577614"/>
  </r>
  <r>
    <n v="93"/>
    <d v="2011-01-05T00:00:00"/>
    <x v="0"/>
    <n v="0"/>
    <x v="0"/>
    <x v="0"/>
    <b v="0"/>
    <n v="3"/>
    <n v="1"/>
    <x v="2"/>
    <n v="0.2576"/>
    <n v="0.64"/>
    <x v="0"/>
    <x v="3"/>
    <x v="8"/>
    <x v="24"/>
    <x v="1"/>
    <x v="0"/>
    <n v="0.22935326051082283"/>
    <n v="-0.25435329828790432"/>
    <n v="0.10399668008577614"/>
  </r>
  <r>
    <n v="94"/>
    <d v="2011-01-05T00:00:00"/>
    <x v="0"/>
    <n v="0"/>
    <x v="0"/>
    <x v="1"/>
    <b v="0"/>
    <n v="3"/>
    <n v="1"/>
    <x v="13"/>
    <n v="0.19700000000000001"/>
    <n v="0.74"/>
    <x v="1"/>
    <x v="3"/>
    <x v="8"/>
    <x v="24"/>
    <x v="1"/>
    <x v="0"/>
    <n v="0.22935326051082283"/>
    <n v="-0.25435329828790432"/>
    <n v="0.10399668008577614"/>
  </r>
  <r>
    <n v="95"/>
    <d v="2011-01-05T00:00:00"/>
    <x v="0"/>
    <n v="0"/>
    <x v="0"/>
    <x v="2"/>
    <b v="0"/>
    <n v="3"/>
    <n v="1"/>
    <x v="13"/>
    <n v="0.19700000000000001"/>
    <n v="0.74"/>
    <x v="1"/>
    <x v="3"/>
    <x v="6"/>
    <x v="5"/>
    <x v="1"/>
    <x v="0"/>
    <n v="0.22935326051082283"/>
    <n v="-0.25435329828790432"/>
    <n v="0.10399668008577614"/>
  </r>
  <r>
    <n v="96"/>
    <d v="2011-01-05T00:00:00"/>
    <x v="0"/>
    <n v="0"/>
    <x v="0"/>
    <x v="4"/>
    <b v="0"/>
    <n v="3"/>
    <n v="1"/>
    <x v="0"/>
    <n v="0.2273"/>
    <n v="0.48"/>
    <x v="6"/>
    <x v="3"/>
    <x v="6"/>
    <x v="5"/>
    <x v="1"/>
    <x v="0"/>
    <n v="0.22935326051082283"/>
    <n v="-0.25435329828790432"/>
    <n v="0.10399668008577614"/>
  </r>
  <r>
    <n v="97"/>
    <d v="2011-01-05T00:00:00"/>
    <x v="0"/>
    <n v="0"/>
    <x v="0"/>
    <x v="5"/>
    <b v="0"/>
    <n v="3"/>
    <n v="1"/>
    <x v="1"/>
    <n v="0.2273"/>
    <n v="0.47"/>
    <x v="8"/>
    <x v="3"/>
    <x v="35"/>
    <x v="6"/>
    <x v="1"/>
    <x v="0"/>
    <n v="0.22935326051082283"/>
    <n v="-0.25435329828790432"/>
    <n v="0.10399668008577614"/>
  </r>
  <r>
    <n v="98"/>
    <d v="2011-01-05T00:00:00"/>
    <x v="0"/>
    <n v="0"/>
    <x v="0"/>
    <x v="6"/>
    <b v="0"/>
    <n v="3"/>
    <n v="1"/>
    <x v="2"/>
    <n v="0.19700000000000001"/>
    <n v="0.47"/>
    <x v="6"/>
    <x v="3"/>
    <x v="39"/>
    <x v="63"/>
    <x v="0"/>
    <x v="0"/>
    <n v="0.22935326051082283"/>
    <n v="-0.25435329828790432"/>
    <n v="0.10399668008577614"/>
  </r>
  <r>
    <n v="99"/>
    <d v="2011-01-05T00:00:00"/>
    <x v="0"/>
    <n v="0"/>
    <x v="0"/>
    <x v="7"/>
    <b v="0"/>
    <n v="3"/>
    <n v="1"/>
    <x v="15"/>
    <n v="0.18179999999999999"/>
    <n v="0.43"/>
    <x v="5"/>
    <x v="5"/>
    <x v="61"/>
    <x v="39"/>
    <x v="0"/>
    <x v="0"/>
    <n v="0.22935326051082283"/>
    <n v="-0.25435329828790432"/>
    <n v="0.10399668008577614"/>
  </r>
  <r>
    <n v="100"/>
    <d v="2011-01-05T00:00:00"/>
    <x v="0"/>
    <n v="0"/>
    <x v="0"/>
    <x v="8"/>
    <b v="0"/>
    <n v="3"/>
    <n v="1"/>
    <x v="2"/>
    <n v="0.18179999999999999"/>
    <n v="0.4"/>
    <x v="4"/>
    <x v="0"/>
    <x v="62"/>
    <x v="64"/>
    <x v="1"/>
    <x v="0"/>
    <n v="0.22935326051082283"/>
    <n v="-0.25435329828790432"/>
    <n v="0.10399668008577614"/>
  </r>
  <r>
    <n v="101"/>
    <d v="2011-01-05T00:00:00"/>
    <x v="0"/>
    <n v="0"/>
    <x v="0"/>
    <x v="9"/>
    <b v="0"/>
    <n v="3"/>
    <n v="1"/>
    <x v="1"/>
    <n v="0.19700000000000001"/>
    <n v="0.37"/>
    <x v="9"/>
    <x v="15"/>
    <x v="63"/>
    <x v="65"/>
    <x v="1"/>
    <x v="0"/>
    <n v="0.22935326051082283"/>
    <n v="-0.25435329828790432"/>
    <n v="0.10399668008577614"/>
  </r>
  <r>
    <n v="102"/>
    <d v="2011-01-05T00:00:00"/>
    <x v="0"/>
    <n v="0"/>
    <x v="0"/>
    <x v="10"/>
    <b v="0"/>
    <n v="3"/>
    <n v="1"/>
    <x v="1"/>
    <n v="0.19700000000000001"/>
    <n v="0.37"/>
    <x v="9"/>
    <x v="17"/>
    <x v="42"/>
    <x v="52"/>
    <x v="1"/>
    <x v="0"/>
    <n v="0.22935326051082283"/>
    <n v="-0.25435329828790432"/>
    <n v="0.10399668008577614"/>
  </r>
  <r>
    <n v="103"/>
    <d v="2011-01-05T00:00:00"/>
    <x v="0"/>
    <n v="0"/>
    <x v="0"/>
    <x v="11"/>
    <b v="0"/>
    <n v="3"/>
    <n v="1"/>
    <x v="12"/>
    <n v="0.2273"/>
    <n v="0.33"/>
    <x v="9"/>
    <x v="6"/>
    <x v="60"/>
    <x v="66"/>
    <x v="1"/>
    <x v="0"/>
    <n v="0.22935326051082283"/>
    <n v="-0.25435329828790432"/>
    <n v="0.10399668008577614"/>
  </r>
  <r>
    <n v="104"/>
    <d v="2011-01-05T00:00:00"/>
    <x v="0"/>
    <n v="0"/>
    <x v="0"/>
    <x v="12"/>
    <b v="0"/>
    <n v="3"/>
    <n v="1"/>
    <x v="12"/>
    <n v="0.2273"/>
    <n v="0.33"/>
    <x v="9"/>
    <x v="2"/>
    <x v="64"/>
    <x v="67"/>
    <x v="1"/>
    <x v="0"/>
    <n v="0.22935326051082283"/>
    <n v="-0.25435329828790432"/>
    <n v="0.10399668008577614"/>
  </r>
  <r>
    <n v="105"/>
    <d v="2011-01-05T00:00:00"/>
    <x v="0"/>
    <n v="0"/>
    <x v="0"/>
    <x v="13"/>
    <b v="0"/>
    <n v="3"/>
    <n v="1"/>
    <x v="17"/>
    <n v="0.2576"/>
    <n v="0.3"/>
    <x v="4"/>
    <x v="15"/>
    <x v="65"/>
    <x v="68"/>
    <x v="0"/>
    <x v="0"/>
    <n v="0.22935326051082283"/>
    <n v="-0.25435329828790432"/>
    <n v="0.10399668008577614"/>
  </r>
  <r>
    <n v="106"/>
    <d v="2011-01-05T00:00:00"/>
    <x v="0"/>
    <n v="0"/>
    <x v="0"/>
    <x v="14"/>
    <b v="0"/>
    <n v="3"/>
    <n v="1"/>
    <x v="11"/>
    <n v="0.28789999999999999"/>
    <n v="0.28000000000000003"/>
    <x v="5"/>
    <x v="22"/>
    <x v="15"/>
    <x v="69"/>
    <x v="0"/>
    <x v="0"/>
    <n v="0.22935326051082283"/>
    <n v="-0.25435329828790432"/>
    <n v="0.10399668008577614"/>
  </r>
  <r>
    <n v="107"/>
    <d v="2011-01-05T00:00:00"/>
    <x v="0"/>
    <n v="0"/>
    <x v="0"/>
    <x v="15"/>
    <b v="0"/>
    <n v="3"/>
    <n v="1"/>
    <x v="11"/>
    <n v="0.28789999999999999"/>
    <n v="0.28000000000000003"/>
    <x v="5"/>
    <x v="18"/>
    <x v="11"/>
    <x v="69"/>
    <x v="1"/>
    <x v="0"/>
    <n v="0.22935326051082283"/>
    <n v="-0.25435329828790432"/>
    <n v="0.10399668008577614"/>
  </r>
  <r>
    <n v="108"/>
    <d v="2011-01-05T00:00:00"/>
    <x v="0"/>
    <n v="0"/>
    <x v="0"/>
    <x v="16"/>
    <b v="0"/>
    <n v="3"/>
    <n v="1"/>
    <x v="11"/>
    <n v="0.31819999999999998"/>
    <n v="0.28000000000000003"/>
    <x v="1"/>
    <x v="17"/>
    <x v="66"/>
    <x v="70"/>
    <x v="1"/>
    <x v="0"/>
    <n v="0.22935326051082283"/>
    <n v="-0.25435329828790432"/>
    <n v="0.10399668008577614"/>
  </r>
  <r>
    <n v="109"/>
    <d v="2011-01-05T00:00:00"/>
    <x v="0"/>
    <n v="0"/>
    <x v="0"/>
    <x v="17"/>
    <b v="0"/>
    <n v="3"/>
    <n v="1"/>
    <x v="0"/>
    <n v="0.2273"/>
    <n v="0.38"/>
    <x v="5"/>
    <x v="17"/>
    <x v="67"/>
    <x v="71"/>
    <x v="1"/>
    <x v="0"/>
    <n v="0.22935326051082283"/>
    <n v="-0.25435329828790432"/>
    <n v="0.10399668008577614"/>
  </r>
  <r>
    <n v="110"/>
    <d v="2011-01-05T00:00:00"/>
    <x v="0"/>
    <n v="0"/>
    <x v="0"/>
    <x v="18"/>
    <b v="0"/>
    <n v="3"/>
    <n v="1"/>
    <x v="0"/>
    <n v="0.2424"/>
    <n v="0.38"/>
    <x v="7"/>
    <x v="0"/>
    <x v="68"/>
    <x v="72"/>
    <x v="1"/>
    <x v="0"/>
    <n v="0.22935326051082283"/>
    <n v="-0.25435329828790432"/>
    <n v="0.10399668008577614"/>
  </r>
  <r>
    <n v="111"/>
    <d v="2011-01-05T00:00:00"/>
    <x v="0"/>
    <n v="0"/>
    <x v="0"/>
    <x v="19"/>
    <b v="0"/>
    <n v="3"/>
    <n v="1"/>
    <x v="0"/>
    <n v="0.2576"/>
    <n v="0.38"/>
    <x v="14"/>
    <x v="2"/>
    <x v="69"/>
    <x v="73"/>
    <x v="1"/>
    <x v="0"/>
    <n v="0.22935326051082283"/>
    <n v="-0.25435329828790432"/>
    <n v="0.10399668008577614"/>
  </r>
  <r>
    <n v="112"/>
    <d v="2011-01-05T00:00:00"/>
    <x v="0"/>
    <n v="0"/>
    <x v="0"/>
    <x v="20"/>
    <b v="0"/>
    <n v="3"/>
    <n v="1"/>
    <x v="1"/>
    <n v="0.2273"/>
    <n v="0.47"/>
    <x v="8"/>
    <x v="18"/>
    <x v="70"/>
    <x v="70"/>
    <x v="0"/>
    <x v="0"/>
    <n v="0.22935326051082283"/>
    <n v="-0.25435329828790432"/>
    <n v="0.10399668008577614"/>
  </r>
  <r>
    <n v="113"/>
    <d v="2011-01-05T00:00:00"/>
    <x v="0"/>
    <n v="0"/>
    <x v="0"/>
    <x v="21"/>
    <b v="0"/>
    <n v="3"/>
    <n v="1"/>
    <x v="2"/>
    <n v="0.19700000000000001"/>
    <n v="0.51"/>
    <x v="5"/>
    <x v="0"/>
    <x v="71"/>
    <x v="74"/>
    <x v="0"/>
    <x v="0"/>
    <n v="0.22935326051082283"/>
    <n v="-0.25435329828790432"/>
    <n v="0.10399668008577614"/>
  </r>
  <r>
    <n v="114"/>
    <d v="2011-01-05T00:00:00"/>
    <x v="0"/>
    <n v="0"/>
    <x v="0"/>
    <x v="22"/>
    <b v="0"/>
    <n v="3"/>
    <n v="1"/>
    <x v="15"/>
    <n v="0.19700000000000001"/>
    <n v="0.55000000000000004"/>
    <x v="7"/>
    <x v="5"/>
    <x v="40"/>
    <x v="51"/>
    <x v="1"/>
    <x v="0"/>
    <n v="0.22935326051082283"/>
    <n v="-0.25435329828790432"/>
    <n v="0.10399668008577614"/>
  </r>
  <r>
    <n v="115"/>
    <d v="2011-01-05T00:00:00"/>
    <x v="0"/>
    <n v="0"/>
    <x v="0"/>
    <x v="23"/>
    <b v="0"/>
    <n v="3"/>
    <n v="1"/>
    <x v="2"/>
    <n v="0.2576"/>
    <n v="0.47"/>
    <x v="0"/>
    <x v="5"/>
    <x v="72"/>
    <x v="75"/>
    <x v="1"/>
    <x v="0"/>
    <n v="0.22935326051082283"/>
    <n v="-0.25435329828790432"/>
    <n v="0.10399668008577614"/>
  </r>
  <r>
    <n v="116"/>
    <d v="2011-01-06T00:00:00"/>
    <x v="0"/>
    <n v="0"/>
    <x v="0"/>
    <x v="0"/>
    <b v="0"/>
    <n v="4"/>
    <n v="1"/>
    <x v="15"/>
    <n v="0.2424"/>
    <n v="0.55000000000000004"/>
    <x v="0"/>
    <x v="3"/>
    <x v="48"/>
    <x v="62"/>
    <x v="1"/>
    <x v="0"/>
    <n v="0.22935326051082283"/>
    <n v="-0.25435329828790432"/>
    <n v="0.10399668008577614"/>
  </r>
  <r>
    <n v="117"/>
    <d v="2011-01-06T00:00:00"/>
    <x v="0"/>
    <n v="0"/>
    <x v="0"/>
    <x v="1"/>
    <b v="0"/>
    <n v="4"/>
    <n v="1"/>
    <x v="13"/>
    <n v="0.2273"/>
    <n v="0.64"/>
    <x v="0"/>
    <x v="3"/>
    <x v="22"/>
    <x v="48"/>
    <x v="1"/>
    <x v="0"/>
    <n v="0.22935326051082283"/>
    <n v="-0.25435329828790432"/>
    <n v="0.10399668008577614"/>
  </r>
  <r>
    <n v="118"/>
    <d v="2011-01-06T00:00:00"/>
    <x v="0"/>
    <n v="0"/>
    <x v="0"/>
    <x v="2"/>
    <b v="0"/>
    <n v="4"/>
    <n v="1"/>
    <x v="13"/>
    <n v="0.2273"/>
    <n v="0.64"/>
    <x v="0"/>
    <x v="3"/>
    <x v="6"/>
    <x v="5"/>
    <x v="1"/>
    <x v="0"/>
    <n v="0.22935326051082283"/>
    <n v="-0.25435329828790432"/>
    <n v="0.10399668008577614"/>
  </r>
  <r>
    <n v="119"/>
    <d v="2011-01-06T00:00:00"/>
    <x v="0"/>
    <n v="0"/>
    <x v="0"/>
    <x v="4"/>
    <b v="0"/>
    <n v="4"/>
    <n v="2"/>
    <x v="13"/>
    <n v="0.19700000000000001"/>
    <n v="0.64"/>
    <x v="1"/>
    <x v="3"/>
    <x v="4"/>
    <x v="4"/>
    <x v="0"/>
    <x v="1"/>
    <n v="0.22935326051082283"/>
    <n v="-0.25435329828790432"/>
    <n v="0.10399668008577614"/>
  </r>
  <r>
    <n v="120"/>
    <d v="2011-01-06T00:00:00"/>
    <x v="0"/>
    <n v="0"/>
    <x v="0"/>
    <x v="5"/>
    <b v="0"/>
    <n v="4"/>
    <n v="2"/>
    <x v="14"/>
    <n v="0.18179999999999999"/>
    <n v="0.69"/>
    <x v="1"/>
    <x v="3"/>
    <x v="22"/>
    <x v="48"/>
    <x v="0"/>
    <x v="1"/>
    <n v="0.22935326051082283"/>
    <n v="-0.25435329828790432"/>
    <n v="0.10399668008577614"/>
  </r>
  <r>
    <n v="121"/>
    <d v="2011-01-06T00:00:00"/>
    <x v="0"/>
    <n v="0"/>
    <x v="0"/>
    <x v="6"/>
    <b v="0"/>
    <n v="4"/>
    <n v="2"/>
    <x v="14"/>
    <n v="0.16669999999999999"/>
    <n v="0.63"/>
    <x v="14"/>
    <x v="3"/>
    <x v="49"/>
    <x v="9"/>
    <x v="1"/>
    <x v="1"/>
    <n v="0.22935326051082283"/>
    <n v="-0.25435329828790432"/>
    <n v="0.10399668008577614"/>
  </r>
  <r>
    <n v="122"/>
    <d v="2011-01-06T00:00:00"/>
    <x v="0"/>
    <n v="0"/>
    <x v="0"/>
    <x v="7"/>
    <b v="0"/>
    <n v="4"/>
    <n v="2"/>
    <x v="13"/>
    <n v="0.2273"/>
    <n v="0.59"/>
    <x v="0"/>
    <x v="3"/>
    <x v="73"/>
    <x v="76"/>
    <x v="1"/>
    <x v="1"/>
    <n v="0.22935326051082283"/>
    <n v="-0.25435329828790432"/>
    <n v="0.10399668008577614"/>
  </r>
  <r>
    <n v="123"/>
    <d v="2011-01-06T00:00:00"/>
    <x v="0"/>
    <n v="0"/>
    <x v="0"/>
    <x v="8"/>
    <b v="0"/>
    <n v="4"/>
    <n v="1"/>
    <x v="13"/>
    <n v="0.2273"/>
    <n v="0.59"/>
    <x v="0"/>
    <x v="0"/>
    <x v="74"/>
    <x v="77"/>
    <x v="1"/>
    <x v="0"/>
    <n v="0.22935326051082283"/>
    <n v="-0.25435329828790432"/>
    <n v="0.10399668008577614"/>
  </r>
  <r>
    <n v="124"/>
    <d v="2011-01-06T00:00:00"/>
    <x v="0"/>
    <n v="0"/>
    <x v="0"/>
    <x v="9"/>
    <b v="0"/>
    <n v="4"/>
    <n v="2"/>
    <x v="15"/>
    <n v="0.2424"/>
    <n v="0.51"/>
    <x v="0"/>
    <x v="15"/>
    <x v="75"/>
    <x v="78"/>
    <x v="1"/>
    <x v="1"/>
    <n v="0.22935326051082283"/>
    <n v="-0.25435329828790432"/>
    <n v="0.10399668008577614"/>
  </r>
  <r>
    <n v="125"/>
    <d v="2011-01-06T00:00:00"/>
    <x v="0"/>
    <n v="0"/>
    <x v="0"/>
    <x v="10"/>
    <b v="0"/>
    <n v="4"/>
    <n v="1"/>
    <x v="2"/>
    <n v="0.2576"/>
    <n v="0.47"/>
    <x v="0"/>
    <x v="0"/>
    <x v="76"/>
    <x v="79"/>
    <x v="1"/>
    <x v="0"/>
    <n v="0.22935326051082283"/>
    <n v="-0.25435329828790432"/>
    <n v="0.10399668008577614"/>
  </r>
  <r>
    <n v="126"/>
    <d v="2011-01-06T00:00:00"/>
    <x v="0"/>
    <n v="0"/>
    <x v="0"/>
    <x v="11"/>
    <b v="0"/>
    <n v="4"/>
    <n v="1"/>
    <x v="1"/>
    <n v="0.2576"/>
    <n v="0.44"/>
    <x v="1"/>
    <x v="4"/>
    <x v="77"/>
    <x v="29"/>
    <x v="0"/>
    <x v="0"/>
    <n v="0.22935326051082283"/>
    <n v="-0.25435329828790432"/>
    <n v="0.10399668008577614"/>
  </r>
  <r>
    <n v="127"/>
    <d v="2011-01-06T00:00:00"/>
    <x v="0"/>
    <n v="0"/>
    <x v="0"/>
    <x v="12"/>
    <b v="0"/>
    <n v="4"/>
    <n v="1"/>
    <x v="12"/>
    <n v="0.28789999999999999"/>
    <n v="0.35"/>
    <x v="0"/>
    <x v="15"/>
    <x v="78"/>
    <x v="11"/>
    <x v="0"/>
    <x v="0"/>
    <n v="0.22935326051082283"/>
    <n v="-0.25435329828790432"/>
    <n v="0.10399668008577614"/>
  </r>
  <r>
    <n v="128"/>
    <d v="2011-01-06T00:00:00"/>
    <x v="0"/>
    <n v="0"/>
    <x v="0"/>
    <x v="13"/>
    <b v="0"/>
    <n v="4"/>
    <n v="1"/>
    <x v="12"/>
    <n v="0.2727"/>
    <n v="0.35"/>
    <x v="14"/>
    <x v="6"/>
    <x v="11"/>
    <x v="16"/>
    <x v="1"/>
    <x v="0"/>
    <n v="0.22935326051082283"/>
    <n v="-0.25435329828790432"/>
    <n v="0.10399668008577614"/>
  </r>
  <r>
    <n v="129"/>
    <d v="2011-01-06T00:00:00"/>
    <x v="0"/>
    <n v="0"/>
    <x v="0"/>
    <x v="14"/>
    <b v="0"/>
    <n v="4"/>
    <n v="1"/>
    <x v="17"/>
    <n v="0.2727"/>
    <n v="0.36"/>
    <x v="8"/>
    <x v="16"/>
    <x v="79"/>
    <x v="27"/>
    <x v="1"/>
    <x v="0"/>
    <n v="0.22935326051082283"/>
    <n v="-0.25435329828790432"/>
    <n v="0.10399668008577614"/>
  </r>
  <r>
    <n v="130"/>
    <d v="2011-01-06T00:00:00"/>
    <x v="0"/>
    <n v="0"/>
    <x v="0"/>
    <x v="15"/>
    <b v="0"/>
    <n v="4"/>
    <n v="1"/>
    <x v="17"/>
    <n v="0.2727"/>
    <n v="0.36"/>
    <x v="0"/>
    <x v="1"/>
    <x v="25"/>
    <x v="69"/>
    <x v="1"/>
    <x v="0"/>
    <n v="0.22935326051082283"/>
    <n v="-0.25435329828790432"/>
    <n v="0.10399668008577614"/>
  </r>
  <r>
    <n v="131"/>
    <d v="2011-01-06T00:00:00"/>
    <x v="0"/>
    <n v="0"/>
    <x v="0"/>
    <x v="16"/>
    <b v="0"/>
    <n v="4"/>
    <n v="1"/>
    <x v="12"/>
    <n v="0.2576"/>
    <n v="0.38"/>
    <x v="8"/>
    <x v="6"/>
    <x v="64"/>
    <x v="80"/>
    <x v="1"/>
    <x v="0"/>
    <n v="0.22935326051082283"/>
    <n v="-0.25435329828790432"/>
    <n v="0.10399668008577614"/>
  </r>
  <r>
    <n v="132"/>
    <d v="2011-01-06T00:00:00"/>
    <x v="0"/>
    <n v="0"/>
    <x v="0"/>
    <x v="17"/>
    <b v="0"/>
    <n v="4"/>
    <n v="1"/>
    <x v="1"/>
    <n v="0.2273"/>
    <n v="0.51"/>
    <x v="8"/>
    <x v="14"/>
    <x v="80"/>
    <x v="81"/>
    <x v="1"/>
    <x v="0"/>
    <n v="0.22935326051082283"/>
    <n v="-0.25435329828790432"/>
    <n v="0.10399668008577614"/>
  </r>
  <r>
    <n v="133"/>
    <d v="2011-01-06T00:00:00"/>
    <x v="0"/>
    <n v="0"/>
    <x v="0"/>
    <x v="18"/>
    <b v="0"/>
    <n v="4"/>
    <n v="1"/>
    <x v="1"/>
    <n v="0.2273"/>
    <n v="0.51"/>
    <x v="7"/>
    <x v="2"/>
    <x v="81"/>
    <x v="82"/>
    <x v="0"/>
    <x v="0"/>
    <n v="0.22935326051082283"/>
    <n v="-0.25435329828790432"/>
    <n v="0.10399668008577614"/>
  </r>
  <r>
    <n v="134"/>
    <d v="2011-01-06T00:00:00"/>
    <x v="0"/>
    <n v="0"/>
    <x v="0"/>
    <x v="19"/>
    <b v="0"/>
    <n v="4"/>
    <n v="1"/>
    <x v="1"/>
    <n v="0.2576"/>
    <n v="0.55000000000000004"/>
    <x v="1"/>
    <x v="0"/>
    <x v="63"/>
    <x v="59"/>
    <x v="0"/>
    <x v="0"/>
    <n v="0.22935326051082283"/>
    <n v="-0.25435329828790432"/>
    <n v="0.10399668008577614"/>
  </r>
  <r>
    <n v="135"/>
    <d v="2011-01-06T00:00:00"/>
    <x v="0"/>
    <n v="0"/>
    <x v="0"/>
    <x v="20"/>
    <b v="0"/>
    <n v="4"/>
    <n v="1"/>
    <x v="2"/>
    <n v="0.21210000000000001"/>
    <n v="0.51"/>
    <x v="8"/>
    <x v="0"/>
    <x v="43"/>
    <x v="83"/>
    <x v="1"/>
    <x v="0"/>
    <n v="0.22935326051082283"/>
    <n v="-0.25435329828790432"/>
    <n v="0.10399668008577614"/>
  </r>
  <r>
    <n v="136"/>
    <d v="2011-01-06T00:00:00"/>
    <x v="0"/>
    <n v="0"/>
    <x v="0"/>
    <x v="21"/>
    <b v="0"/>
    <n v="4"/>
    <n v="2"/>
    <x v="1"/>
    <n v="0.21210000000000001"/>
    <n v="0.55000000000000004"/>
    <x v="6"/>
    <x v="3"/>
    <x v="41"/>
    <x v="61"/>
    <x v="1"/>
    <x v="1"/>
    <n v="0.22935326051082283"/>
    <n v="-0.25435329828790432"/>
    <n v="0.10399668008577614"/>
  </r>
  <r>
    <n v="137"/>
    <d v="2011-01-06T00:00:00"/>
    <x v="0"/>
    <n v="0"/>
    <x v="0"/>
    <x v="22"/>
    <b v="0"/>
    <n v="4"/>
    <n v="2"/>
    <x v="1"/>
    <n v="0.21210000000000001"/>
    <n v="0.51"/>
    <x v="3"/>
    <x v="5"/>
    <x v="82"/>
    <x v="46"/>
    <x v="1"/>
    <x v="1"/>
    <n v="0.22935326051082283"/>
    <n v="-0.25435329828790432"/>
    <n v="0.10399668008577614"/>
  </r>
  <r>
    <n v="138"/>
    <d v="2011-01-06T00:00:00"/>
    <x v="0"/>
    <n v="0"/>
    <x v="0"/>
    <x v="23"/>
    <b v="0"/>
    <n v="4"/>
    <n v="2"/>
    <x v="2"/>
    <n v="0.19700000000000001"/>
    <n v="0.59"/>
    <x v="5"/>
    <x v="17"/>
    <x v="23"/>
    <x v="84"/>
    <x v="1"/>
    <x v="1"/>
    <n v="0.22935326051082283"/>
    <n v="-0.25435329828790432"/>
    <n v="0.10399668008577614"/>
  </r>
  <r>
    <n v="139"/>
    <d v="2011-01-07T00:00:00"/>
    <x v="0"/>
    <n v="0"/>
    <x v="0"/>
    <x v="0"/>
    <b v="0"/>
    <n v="5"/>
    <n v="2"/>
    <x v="2"/>
    <n v="0.19700000000000001"/>
    <n v="0.64"/>
    <x v="5"/>
    <x v="17"/>
    <x v="0"/>
    <x v="22"/>
    <x v="1"/>
    <x v="1"/>
    <n v="0.22935326051082283"/>
    <n v="-0.25435329828790432"/>
    <n v="0.10399668008577614"/>
  </r>
  <r>
    <n v="140"/>
    <d v="2011-01-07T00:00:00"/>
    <x v="0"/>
    <n v="0"/>
    <x v="0"/>
    <x v="1"/>
    <b v="0"/>
    <n v="5"/>
    <n v="2"/>
    <x v="2"/>
    <n v="0.19700000000000001"/>
    <n v="0.69"/>
    <x v="6"/>
    <x v="4"/>
    <x v="34"/>
    <x v="85"/>
    <x v="0"/>
    <x v="1"/>
    <n v="0.22935326051082283"/>
    <n v="-0.25435329828790432"/>
    <n v="0.10399668008577614"/>
  </r>
  <r>
    <n v="141"/>
    <d v="2011-01-07T00:00:00"/>
    <x v="0"/>
    <n v="0"/>
    <x v="0"/>
    <x v="2"/>
    <b v="0"/>
    <n v="5"/>
    <n v="2"/>
    <x v="2"/>
    <n v="0.19700000000000001"/>
    <n v="0.69"/>
    <x v="6"/>
    <x v="3"/>
    <x v="4"/>
    <x v="4"/>
    <x v="0"/>
    <x v="1"/>
    <n v="0.22935326051082283"/>
    <n v="-0.25435329828790432"/>
    <n v="0.10399668008577614"/>
  </r>
  <r>
    <n v="142"/>
    <d v="2011-01-07T00:00:00"/>
    <x v="0"/>
    <n v="0"/>
    <x v="0"/>
    <x v="4"/>
    <b v="0"/>
    <n v="5"/>
    <n v="2"/>
    <x v="2"/>
    <n v="0.21210000000000001"/>
    <n v="0.69"/>
    <x v="7"/>
    <x v="3"/>
    <x v="4"/>
    <x v="4"/>
    <x v="1"/>
    <x v="1"/>
    <n v="0.22935326051082283"/>
    <n v="-0.25435329828790432"/>
    <n v="0.10399668008577614"/>
  </r>
  <r>
    <n v="143"/>
    <d v="2011-01-07T00:00:00"/>
    <x v="0"/>
    <n v="0"/>
    <x v="0"/>
    <x v="5"/>
    <b v="0"/>
    <n v="5"/>
    <n v="3"/>
    <x v="1"/>
    <n v="0.2727"/>
    <n v="0.55000000000000004"/>
    <x v="0"/>
    <x v="3"/>
    <x v="34"/>
    <x v="36"/>
    <x v="1"/>
    <x v="2"/>
    <n v="0.22935326051082283"/>
    <n v="-0.25435329828790432"/>
    <n v="0.10399668008577614"/>
  </r>
  <r>
    <n v="144"/>
    <d v="2011-01-07T00:00:00"/>
    <x v="0"/>
    <n v="0"/>
    <x v="0"/>
    <x v="6"/>
    <b v="0"/>
    <n v="5"/>
    <n v="2"/>
    <x v="2"/>
    <n v="0.2576"/>
    <n v="0.69"/>
    <x v="0"/>
    <x v="1"/>
    <x v="16"/>
    <x v="19"/>
    <x v="1"/>
    <x v="1"/>
    <n v="0.22935326051082283"/>
    <n v="-0.25435329828790432"/>
    <n v="0.10399668008577614"/>
  </r>
  <r>
    <n v="145"/>
    <d v="2011-01-07T00:00:00"/>
    <x v="0"/>
    <n v="0"/>
    <x v="0"/>
    <x v="7"/>
    <b v="0"/>
    <n v="5"/>
    <n v="1"/>
    <x v="2"/>
    <n v="0.21210000000000001"/>
    <n v="0.69"/>
    <x v="7"/>
    <x v="1"/>
    <x v="83"/>
    <x v="11"/>
    <x v="1"/>
    <x v="0"/>
    <n v="0.22935326051082283"/>
    <n v="-0.25435329828790432"/>
    <n v="0.10399668008577614"/>
  </r>
  <r>
    <n v="146"/>
    <d v="2011-01-07T00:00:00"/>
    <x v="0"/>
    <n v="0"/>
    <x v="0"/>
    <x v="8"/>
    <b v="0"/>
    <n v="5"/>
    <n v="1"/>
    <x v="2"/>
    <n v="0.19700000000000001"/>
    <n v="0.51"/>
    <x v="2"/>
    <x v="20"/>
    <x v="84"/>
    <x v="86"/>
    <x v="1"/>
    <x v="0"/>
    <n v="0.22935326051082283"/>
    <n v="-0.25435329828790432"/>
    <n v="0.10399668008577614"/>
  </r>
  <r>
    <n v="147"/>
    <d v="2011-01-07T00:00:00"/>
    <x v="0"/>
    <n v="0"/>
    <x v="0"/>
    <x v="9"/>
    <b v="0"/>
    <n v="5"/>
    <n v="1"/>
    <x v="2"/>
    <n v="0.18179999999999999"/>
    <n v="0.47"/>
    <x v="4"/>
    <x v="14"/>
    <x v="85"/>
    <x v="87"/>
    <x v="0"/>
    <x v="0"/>
    <n v="0.22935326051082283"/>
    <n v="-0.25435329828790432"/>
    <n v="0.10399668008577614"/>
  </r>
  <r>
    <n v="148"/>
    <d v="2011-01-07T00:00:00"/>
    <x v="0"/>
    <n v="0"/>
    <x v="0"/>
    <x v="10"/>
    <b v="0"/>
    <n v="5"/>
    <n v="1"/>
    <x v="1"/>
    <n v="0.19700000000000001"/>
    <n v="0.37"/>
    <x v="9"/>
    <x v="19"/>
    <x v="12"/>
    <x v="55"/>
    <x v="0"/>
    <x v="0"/>
    <n v="0.22935326051082283"/>
    <n v="-0.25435329828790432"/>
    <n v="0.10399668008577614"/>
  </r>
  <r>
    <n v="149"/>
    <d v="2011-01-07T00:00:00"/>
    <x v="0"/>
    <n v="0"/>
    <x v="0"/>
    <x v="11"/>
    <b v="0"/>
    <n v="5"/>
    <n v="2"/>
    <x v="2"/>
    <n v="0.19700000000000001"/>
    <n v="0.4"/>
    <x v="6"/>
    <x v="21"/>
    <x v="41"/>
    <x v="16"/>
    <x v="1"/>
    <x v="1"/>
    <n v="0.22935326051082283"/>
    <n v="-0.25435329828790432"/>
    <n v="0.10399668008577614"/>
  </r>
  <r>
    <n v="150"/>
    <d v="2011-01-07T00:00:00"/>
    <x v="0"/>
    <n v="0"/>
    <x v="0"/>
    <x v="12"/>
    <b v="0"/>
    <n v="5"/>
    <n v="2"/>
    <x v="2"/>
    <n v="0.19700000000000001"/>
    <n v="0.37"/>
    <x v="2"/>
    <x v="14"/>
    <x v="54"/>
    <x v="29"/>
    <x v="1"/>
    <x v="1"/>
    <n v="0.22935326051082283"/>
    <n v="-0.25435329828790432"/>
    <n v="0.10399668008577614"/>
  </r>
  <r>
    <n v="151"/>
    <d v="2011-01-07T00:00:00"/>
    <x v="0"/>
    <n v="0"/>
    <x v="0"/>
    <x v="13"/>
    <b v="0"/>
    <n v="5"/>
    <n v="2"/>
    <x v="2"/>
    <n v="0.18179999999999999"/>
    <n v="0.37"/>
    <x v="3"/>
    <x v="14"/>
    <x v="27"/>
    <x v="88"/>
    <x v="1"/>
    <x v="1"/>
    <n v="0.22935326051082283"/>
    <n v="-0.25435329828790432"/>
    <n v="0.10399668008577614"/>
  </r>
  <r>
    <n v="152"/>
    <d v="2011-01-07T00:00:00"/>
    <x v="0"/>
    <n v="0"/>
    <x v="0"/>
    <x v="14"/>
    <b v="0"/>
    <n v="5"/>
    <n v="2"/>
    <x v="2"/>
    <n v="0.19700000000000001"/>
    <n v="0.4"/>
    <x v="2"/>
    <x v="18"/>
    <x v="30"/>
    <x v="89"/>
    <x v="1"/>
    <x v="1"/>
    <n v="0.22935326051082283"/>
    <n v="-0.25435329828790432"/>
    <n v="0.10399668008577614"/>
  </r>
  <r>
    <n v="153"/>
    <d v="2011-01-07T00:00:00"/>
    <x v="0"/>
    <n v="0"/>
    <x v="0"/>
    <x v="15"/>
    <b v="0"/>
    <n v="5"/>
    <n v="2"/>
    <x v="2"/>
    <n v="0.21210000000000001"/>
    <n v="0.37"/>
    <x v="8"/>
    <x v="14"/>
    <x v="36"/>
    <x v="44"/>
    <x v="1"/>
    <x v="1"/>
    <n v="0.22935326051082283"/>
    <n v="-0.25435329828790432"/>
    <n v="0.10399668008577614"/>
  </r>
  <r>
    <n v="154"/>
    <d v="2011-01-07T00:00:00"/>
    <x v="0"/>
    <n v="0"/>
    <x v="0"/>
    <x v="16"/>
    <b v="0"/>
    <n v="5"/>
    <n v="2"/>
    <x v="2"/>
    <n v="0.21210000000000001"/>
    <n v="0.37"/>
    <x v="8"/>
    <x v="2"/>
    <x v="70"/>
    <x v="90"/>
    <x v="0"/>
    <x v="1"/>
    <n v="0.22935326051082283"/>
    <n v="-0.25435329828790432"/>
    <n v="0.10399668008577614"/>
  </r>
  <r>
    <n v="155"/>
    <d v="2011-01-07T00:00:00"/>
    <x v="0"/>
    <n v="0"/>
    <x v="0"/>
    <x v="17"/>
    <b v="0"/>
    <n v="5"/>
    <n v="2"/>
    <x v="2"/>
    <n v="0.2576"/>
    <n v="0.37"/>
    <x v="0"/>
    <x v="14"/>
    <x v="86"/>
    <x v="91"/>
    <x v="0"/>
    <x v="1"/>
    <n v="0.22935326051082283"/>
    <n v="-0.25435329828790432"/>
    <n v="0.10399668008577614"/>
  </r>
  <r>
    <n v="156"/>
    <d v="2011-01-07T00:00:00"/>
    <x v="0"/>
    <n v="0"/>
    <x v="0"/>
    <x v="18"/>
    <b v="0"/>
    <n v="5"/>
    <n v="1"/>
    <x v="2"/>
    <n v="0.2273"/>
    <n v="0.4"/>
    <x v="1"/>
    <x v="18"/>
    <x v="75"/>
    <x v="92"/>
    <x v="1"/>
    <x v="0"/>
    <n v="0.22935326051082283"/>
    <n v="-0.25435329828790432"/>
    <n v="0.10399668008577614"/>
  </r>
  <r>
    <n v="157"/>
    <d v="2011-01-07T00:00:00"/>
    <x v="0"/>
    <n v="0"/>
    <x v="0"/>
    <x v="19"/>
    <b v="0"/>
    <n v="5"/>
    <n v="1"/>
    <x v="13"/>
    <n v="0.19700000000000001"/>
    <n v="0.55000000000000004"/>
    <x v="1"/>
    <x v="0"/>
    <x v="50"/>
    <x v="76"/>
    <x v="1"/>
    <x v="0"/>
    <n v="0.22935326051082283"/>
    <n v="-0.25435329828790432"/>
    <n v="0.10399668008577614"/>
  </r>
  <r>
    <n v="158"/>
    <d v="2011-01-07T00:00:00"/>
    <x v="0"/>
    <n v="0"/>
    <x v="0"/>
    <x v="20"/>
    <b v="0"/>
    <n v="5"/>
    <n v="1"/>
    <x v="15"/>
    <n v="0.21210000000000001"/>
    <n v="0.47"/>
    <x v="14"/>
    <x v="5"/>
    <x v="54"/>
    <x v="41"/>
    <x v="1"/>
    <x v="0"/>
    <n v="0.22935326051082283"/>
    <n v="-0.25435329828790432"/>
    <n v="0.10399668008577614"/>
  </r>
  <r>
    <n v="159"/>
    <d v="2011-01-07T00:00:00"/>
    <x v="0"/>
    <n v="0"/>
    <x v="0"/>
    <x v="21"/>
    <b v="0"/>
    <n v="5"/>
    <n v="1"/>
    <x v="15"/>
    <n v="0.19700000000000001"/>
    <n v="0.47"/>
    <x v="7"/>
    <x v="3"/>
    <x v="87"/>
    <x v="21"/>
    <x v="1"/>
    <x v="0"/>
    <n v="0.22935326051082283"/>
    <n v="-0.25435329828790432"/>
    <n v="0.10399668008577614"/>
  </r>
  <r>
    <n v="160"/>
    <d v="2011-01-07T00:00:00"/>
    <x v="0"/>
    <n v="0"/>
    <x v="0"/>
    <x v="22"/>
    <b v="0"/>
    <n v="5"/>
    <n v="2"/>
    <x v="15"/>
    <n v="0.19700000000000001"/>
    <n v="0.43"/>
    <x v="8"/>
    <x v="4"/>
    <x v="60"/>
    <x v="9"/>
    <x v="1"/>
    <x v="1"/>
    <n v="0.22935326051082283"/>
    <n v="-0.25435329828790432"/>
    <n v="0.10399668008577614"/>
  </r>
  <r>
    <n v="161"/>
    <d v="2011-01-07T00:00:00"/>
    <x v="0"/>
    <n v="0"/>
    <x v="0"/>
    <x v="23"/>
    <b v="0"/>
    <n v="5"/>
    <n v="2"/>
    <x v="15"/>
    <n v="0.19700000000000001"/>
    <n v="0.51"/>
    <x v="8"/>
    <x v="5"/>
    <x v="88"/>
    <x v="93"/>
    <x v="0"/>
    <x v="1"/>
    <n v="0.22935326051082283"/>
    <n v="-0.25435329828790432"/>
    <n v="0.10399668008577614"/>
  </r>
  <r>
    <n v="162"/>
    <d v="2011-01-08T00:00:00"/>
    <x v="0"/>
    <n v="0"/>
    <x v="0"/>
    <x v="0"/>
    <b v="0"/>
    <n v="6"/>
    <n v="2"/>
    <x v="15"/>
    <n v="0.19700000000000001"/>
    <n v="0.51"/>
    <x v="8"/>
    <x v="5"/>
    <x v="9"/>
    <x v="94"/>
    <x v="0"/>
    <x v="1"/>
    <n v="0.22935326051082283"/>
    <n v="-0.25435329828790432"/>
    <n v="0.10399668008577614"/>
  </r>
  <r>
    <n v="163"/>
    <d v="2011-01-08T00:00:00"/>
    <x v="0"/>
    <n v="0"/>
    <x v="0"/>
    <x v="1"/>
    <b v="0"/>
    <n v="6"/>
    <n v="2"/>
    <x v="15"/>
    <n v="0.21210000000000001"/>
    <n v="0.55000000000000004"/>
    <x v="1"/>
    <x v="5"/>
    <x v="89"/>
    <x v="0"/>
    <x v="1"/>
    <x v="1"/>
    <n v="0.22935326051082283"/>
    <n v="-0.25435329828790432"/>
    <n v="0.10399668008577614"/>
  </r>
  <r>
    <n v="164"/>
    <d v="2011-01-08T00:00:00"/>
    <x v="0"/>
    <n v="0"/>
    <x v="0"/>
    <x v="2"/>
    <b v="0"/>
    <n v="6"/>
    <n v="2"/>
    <x v="15"/>
    <n v="0.2424"/>
    <n v="0.55000000000000004"/>
    <x v="0"/>
    <x v="0"/>
    <x v="0"/>
    <x v="0"/>
    <x v="1"/>
    <x v="1"/>
    <n v="0.22935326051082283"/>
    <n v="-0.25435329828790432"/>
    <n v="0.10399668008577614"/>
  </r>
  <r>
    <n v="165"/>
    <d v="2011-01-08T00:00:00"/>
    <x v="0"/>
    <n v="0"/>
    <x v="0"/>
    <x v="3"/>
    <b v="0"/>
    <n v="6"/>
    <n v="3"/>
    <x v="15"/>
    <n v="0.19700000000000001"/>
    <n v="0.55000000000000004"/>
    <x v="8"/>
    <x v="3"/>
    <x v="7"/>
    <x v="85"/>
    <x v="1"/>
    <x v="2"/>
    <n v="0.22935326051082283"/>
    <n v="-0.25435329828790432"/>
    <n v="0.10399668008577614"/>
  </r>
  <r>
    <n v="166"/>
    <d v="2011-01-08T00:00:00"/>
    <x v="0"/>
    <n v="0"/>
    <x v="0"/>
    <x v="4"/>
    <b v="0"/>
    <n v="6"/>
    <n v="3"/>
    <x v="15"/>
    <n v="0.19700000000000001"/>
    <n v="0.55000000000000004"/>
    <x v="8"/>
    <x v="3"/>
    <x v="4"/>
    <x v="4"/>
    <x v="1"/>
    <x v="2"/>
    <n v="0.22935326051082283"/>
    <n v="-0.25435329828790432"/>
    <n v="0.10399668008577614"/>
  </r>
  <r>
    <n v="167"/>
    <d v="2011-01-08T00:00:00"/>
    <x v="0"/>
    <n v="0"/>
    <x v="0"/>
    <x v="5"/>
    <b v="0"/>
    <n v="6"/>
    <n v="2"/>
    <x v="13"/>
    <n v="0.16669999999999999"/>
    <n v="0.74"/>
    <x v="8"/>
    <x v="3"/>
    <x v="34"/>
    <x v="36"/>
    <x v="1"/>
    <x v="1"/>
    <n v="0.22935326051082283"/>
    <n v="-0.25435329828790432"/>
    <n v="0.10399668008577614"/>
  </r>
  <r>
    <n v="168"/>
    <d v="2011-01-08T00:00:00"/>
    <x v="0"/>
    <n v="0"/>
    <x v="0"/>
    <x v="6"/>
    <b v="0"/>
    <n v="6"/>
    <n v="2"/>
    <x v="13"/>
    <n v="0.16669999999999999"/>
    <n v="0.74"/>
    <x v="8"/>
    <x v="3"/>
    <x v="6"/>
    <x v="5"/>
    <x v="0"/>
    <x v="1"/>
    <n v="0.22935326051082283"/>
    <n v="-0.25435329828790432"/>
    <n v="0.10399668008577614"/>
  </r>
  <r>
    <n v="169"/>
    <d v="2011-01-08T00:00:00"/>
    <x v="0"/>
    <n v="0"/>
    <x v="0"/>
    <x v="7"/>
    <b v="0"/>
    <n v="6"/>
    <n v="2"/>
    <x v="13"/>
    <n v="0.18179999999999999"/>
    <n v="0.74"/>
    <x v="14"/>
    <x v="5"/>
    <x v="21"/>
    <x v="23"/>
    <x v="0"/>
    <x v="1"/>
    <n v="0.22935326051082283"/>
    <n v="-0.25435329828790432"/>
    <n v="0.10399668008577614"/>
  </r>
  <r>
    <n v="170"/>
    <d v="2011-01-08T00:00:00"/>
    <x v="0"/>
    <n v="0"/>
    <x v="0"/>
    <x v="8"/>
    <b v="0"/>
    <n v="6"/>
    <n v="3"/>
    <x v="13"/>
    <n v="0.18179999999999999"/>
    <n v="0.93"/>
    <x v="14"/>
    <x v="3"/>
    <x v="89"/>
    <x v="93"/>
    <x v="1"/>
    <x v="2"/>
    <n v="0.22935326051082283"/>
    <n v="-0.25435329828790432"/>
    <n v="0.10399668008577614"/>
  </r>
  <r>
    <n v="171"/>
    <d v="2011-01-08T00:00:00"/>
    <x v="0"/>
    <n v="0"/>
    <x v="0"/>
    <x v="9"/>
    <b v="0"/>
    <n v="6"/>
    <n v="3"/>
    <x v="13"/>
    <n v="0.18179999999999999"/>
    <n v="0.93"/>
    <x v="14"/>
    <x v="3"/>
    <x v="32"/>
    <x v="25"/>
    <x v="1"/>
    <x v="2"/>
    <n v="0.22935326051082283"/>
    <n v="-0.25435329828790432"/>
    <n v="0.10399668008577614"/>
  </r>
  <r>
    <n v="172"/>
    <d v="2011-01-08T00:00:00"/>
    <x v="0"/>
    <n v="0"/>
    <x v="0"/>
    <x v="10"/>
    <b v="0"/>
    <n v="6"/>
    <n v="2"/>
    <x v="15"/>
    <n v="0.19700000000000001"/>
    <n v="0.8"/>
    <x v="8"/>
    <x v="2"/>
    <x v="90"/>
    <x v="42"/>
    <x v="1"/>
    <x v="1"/>
    <n v="0.22935326051082283"/>
    <n v="-0.25435329828790432"/>
    <n v="0.10399668008577614"/>
  </r>
  <r>
    <n v="173"/>
    <d v="2011-01-08T00:00:00"/>
    <x v="0"/>
    <n v="0"/>
    <x v="0"/>
    <x v="11"/>
    <b v="0"/>
    <n v="6"/>
    <n v="2"/>
    <x v="2"/>
    <n v="0.18179999999999999"/>
    <n v="0.69"/>
    <x v="13"/>
    <x v="4"/>
    <x v="91"/>
    <x v="69"/>
    <x v="1"/>
    <x v="1"/>
    <n v="0.22935326051082283"/>
    <n v="-0.25435329828790432"/>
    <n v="0.10399668008577614"/>
  </r>
  <r>
    <n v="174"/>
    <d v="2011-01-08T00:00:00"/>
    <x v="0"/>
    <n v="0"/>
    <x v="0"/>
    <x v="12"/>
    <b v="0"/>
    <n v="6"/>
    <n v="2"/>
    <x v="2"/>
    <n v="0.18179999999999999"/>
    <n v="0.59"/>
    <x v="11"/>
    <x v="1"/>
    <x v="92"/>
    <x v="95"/>
    <x v="1"/>
    <x v="1"/>
    <n v="0.22935326051082283"/>
    <n v="-0.25435329828790432"/>
    <n v="0.10399668008577614"/>
  </r>
  <r>
    <n v="175"/>
    <d v="2011-01-08T00:00:00"/>
    <x v="0"/>
    <n v="0"/>
    <x v="0"/>
    <x v="13"/>
    <b v="0"/>
    <n v="6"/>
    <n v="1"/>
    <x v="2"/>
    <n v="0.18179999999999999"/>
    <n v="0.44"/>
    <x v="9"/>
    <x v="18"/>
    <x v="73"/>
    <x v="96"/>
    <x v="0"/>
    <x v="0"/>
    <n v="0.22935326051082283"/>
    <n v="-0.25435329828790432"/>
    <n v="0.10399668008577614"/>
  </r>
  <r>
    <n v="176"/>
    <d v="2011-01-08T00:00:00"/>
    <x v="0"/>
    <n v="0"/>
    <x v="0"/>
    <x v="14"/>
    <b v="0"/>
    <n v="6"/>
    <n v="1"/>
    <x v="2"/>
    <n v="0.16669999999999999"/>
    <n v="0.32"/>
    <x v="15"/>
    <x v="6"/>
    <x v="93"/>
    <x v="76"/>
    <x v="0"/>
    <x v="0"/>
    <n v="0.22935326051082283"/>
    <n v="-0.25435329828790432"/>
    <n v="0.10399668008577614"/>
  </r>
  <r>
    <n v="177"/>
    <d v="2011-01-08T00:00:00"/>
    <x v="0"/>
    <n v="0"/>
    <x v="0"/>
    <x v="15"/>
    <b v="0"/>
    <n v="6"/>
    <n v="1"/>
    <x v="2"/>
    <n v="0.16669999999999999"/>
    <n v="0.32"/>
    <x v="10"/>
    <x v="2"/>
    <x v="94"/>
    <x v="30"/>
    <x v="1"/>
    <x v="0"/>
    <n v="0.22935326051082283"/>
    <n v="-0.25435329828790432"/>
    <n v="0.10399668008577614"/>
  </r>
  <r>
    <n v="178"/>
    <d v="2011-01-08T00:00:00"/>
    <x v="0"/>
    <n v="0"/>
    <x v="0"/>
    <x v="16"/>
    <b v="0"/>
    <n v="6"/>
    <n v="1"/>
    <x v="15"/>
    <n v="0.13639999999999999"/>
    <n v="0.28999999999999998"/>
    <x v="10"/>
    <x v="1"/>
    <x v="56"/>
    <x v="31"/>
    <x v="1"/>
    <x v="0"/>
    <n v="0.22935326051082283"/>
    <n v="-0.25435329828790432"/>
    <n v="0.10399668008577614"/>
  </r>
  <r>
    <n v="179"/>
    <d v="2011-01-08T00:00:00"/>
    <x v="0"/>
    <n v="0"/>
    <x v="0"/>
    <x v="17"/>
    <b v="0"/>
    <n v="6"/>
    <n v="1"/>
    <x v="13"/>
    <n v="0.1212"/>
    <n v="0.37"/>
    <x v="16"/>
    <x v="2"/>
    <x v="27"/>
    <x v="83"/>
    <x v="1"/>
    <x v="0"/>
    <n v="0.22935326051082283"/>
    <n v="-0.25435329828790432"/>
    <n v="0.10399668008577614"/>
  </r>
  <r>
    <n v="180"/>
    <d v="2011-01-08T00:00:00"/>
    <x v="0"/>
    <n v="0"/>
    <x v="0"/>
    <x v="18"/>
    <b v="0"/>
    <n v="6"/>
    <n v="1"/>
    <x v="14"/>
    <n v="0.1212"/>
    <n v="0.39"/>
    <x v="4"/>
    <x v="0"/>
    <x v="15"/>
    <x v="97"/>
    <x v="1"/>
    <x v="0"/>
    <n v="0.22935326051082283"/>
    <n v="-0.25435329828790432"/>
    <n v="0.10399668008577614"/>
  </r>
  <r>
    <n v="181"/>
    <d v="2011-01-08T00:00:00"/>
    <x v="0"/>
    <n v="0"/>
    <x v="0"/>
    <x v="19"/>
    <b v="0"/>
    <n v="6"/>
    <n v="1"/>
    <x v="14"/>
    <n v="0.1212"/>
    <n v="0.36"/>
    <x v="2"/>
    <x v="17"/>
    <x v="16"/>
    <x v="33"/>
    <x v="1"/>
    <x v="0"/>
    <n v="0.22935326051082283"/>
    <n v="-0.25435329828790432"/>
    <n v="0.10399668008577614"/>
  </r>
  <r>
    <n v="182"/>
    <d v="2011-01-08T00:00:00"/>
    <x v="0"/>
    <n v="0"/>
    <x v="0"/>
    <x v="20"/>
    <b v="0"/>
    <n v="6"/>
    <n v="1"/>
    <x v="16"/>
    <n v="0.1212"/>
    <n v="0.36"/>
    <x v="2"/>
    <x v="3"/>
    <x v="95"/>
    <x v="20"/>
    <x v="0"/>
    <x v="0"/>
    <n v="0.22935326051082283"/>
    <n v="-0.25435329828790432"/>
    <n v="0.10399668008577614"/>
  </r>
  <r>
    <n v="183"/>
    <d v="2011-01-08T00:00:00"/>
    <x v="0"/>
    <n v="0"/>
    <x v="0"/>
    <x v="21"/>
    <b v="0"/>
    <n v="6"/>
    <n v="1"/>
    <x v="16"/>
    <n v="0.1061"/>
    <n v="0.39"/>
    <x v="11"/>
    <x v="4"/>
    <x v="96"/>
    <x v="18"/>
    <x v="0"/>
    <x v="0"/>
    <n v="0.22935326051082283"/>
    <n v="-0.25435329828790432"/>
    <n v="0.10399668008577614"/>
  </r>
  <r>
    <n v="184"/>
    <d v="2011-01-08T00:00:00"/>
    <x v="0"/>
    <n v="0"/>
    <x v="0"/>
    <x v="22"/>
    <b v="0"/>
    <n v="6"/>
    <n v="1"/>
    <x v="16"/>
    <n v="0.1061"/>
    <n v="0.36"/>
    <x v="13"/>
    <x v="5"/>
    <x v="39"/>
    <x v="19"/>
    <x v="1"/>
    <x v="0"/>
    <n v="0.22935326051082283"/>
    <n v="-0.25435329828790432"/>
    <n v="0.10399668008577614"/>
  </r>
  <r>
    <n v="185"/>
    <d v="2011-01-08T00:00:00"/>
    <x v="0"/>
    <n v="0"/>
    <x v="0"/>
    <x v="23"/>
    <b v="0"/>
    <n v="6"/>
    <n v="1"/>
    <x v="18"/>
    <n v="6.0600000000000001E-2"/>
    <n v="0.39"/>
    <x v="10"/>
    <x v="3"/>
    <x v="97"/>
    <x v="34"/>
    <x v="1"/>
    <x v="0"/>
    <n v="0.22935326051082283"/>
    <n v="-0.25435329828790432"/>
    <n v="0.10399668008577614"/>
  </r>
  <r>
    <n v="186"/>
    <d v="2011-01-09T00:00:00"/>
    <x v="0"/>
    <n v="0"/>
    <x v="0"/>
    <x v="0"/>
    <b v="0"/>
    <n v="0"/>
    <n v="1"/>
    <x v="18"/>
    <n v="7.5800000000000006E-2"/>
    <n v="0.42"/>
    <x v="13"/>
    <x v="5"/>
    <x v="9"/>
    <x v="94"/>
    <x v="1"/>
    <x v="0"/>
    <n v="0.22935326051082283"/>
    <n v="-0.25435329828790432"/>
    <n v="0.10399668008577614"/>
  </r>
  <r>
    <n v="187"/>
    <d v="2011-01-09T00:00:00"/>
    <x v="0"/>
    <n v="0"/>
    <x v="0"/>
    <x v="1"/>
    <b v="0"/>
    <n v="0"/>
    <n v="1"/>
    <x v="18"/>
    <n v="6.0600000000000001E-2"/>
    <n v="0.42"/>
    <x v="17"/>
    <x v="3"/>
    <x v="98"/>
    <x v="47"/>
    <x v="1"/>
    <x v="0"/>
    <n v="0.22935326051082283"/>
    <n v="-0.25435329828790432"/>
    <n v="0.10399668008577614"/>
  </r>
  <r>
    <n v="188"/>
    <d v="2011-01-09T00:00:00"/>
    <x v="0"/>
    <n v="0"/>
    <x v="0"/>
    <x v="2"/>
    <b v="0"/>
    <n v="0"/>
    <n v="1"/>
    <x v="18"/>
    <n v="6.0600000000000001E-2"/>
    <n v="0.46"/>
    <x v="17"/>
    <x v="3"/>
    <x v="48"/>
    <x v="62"/>
    <x v="1"/>
    <x v="0"/>
    <n v="0.22935326051082283"/>
    <n v="-0.25435329828790432"/>
    <n v="0.10399668008577614"/>
  </r>
  <r>
    <n v="189"/>
    <d v="2011-01-09T00:00:00"/>
    <x v="0"/>
    <n v="0"/>
    <x v="0"/>
    <x v="3"/>
    <b v="0"/>
    <n v="0"/>
    <n v="1"/>
    <x v="18"/>
    <n v="7.5800000000000006E-2"/>
    <n v="0.46"/>
    <x v="12"/>
    <x v="3"/>
    <x v="22"/>
    <x v="48"/>
    <x v="0"/>
    <x v="0"/>
    <n v="0.22935326051082283"/>
    <n v="-0.25435329828790432"/>
    <n v="0.10399668008577614"/>
  </r>
  <r>
    <n v="190"/>
    <d v="2011-01-09T00:00:00"/>
    <x v="0"/>
    <n v="0"/>
    <x v="0"/>
    <x v="4"/>
    <b v="0"/>
    <n v="0"/>
    <n v="1"/>
    <x v="19"/>
    <n v="9.0899999999999995E-2"/>
    <n v="0.53"/>
    <x v="5"/>
    <x v="3"/>
    <x v="4"/>
    <x v="4"/>
    <x v="0"/>
    <x v="0"/>
    <n v="0.22935326051082283"/>
    <n v="-0.25435329828790432"/>
    <n v="0.10399668008577614"/>
  </r>
  <r>
    <n v="191"/>
    <d v="2011-01-09T00:00:00"/>
    <x v="0"/>
    <n v="0"/>
    <x v="0"/>
    <x v="5"/>
    <b v="0"/>
    <n v="0"/>
    <n v="1"/>
    <x v="19"/>
    <n v="9.0899999999999995E-2"/>
    <n v="0.53"/>
    <x v="5"/>
    <x v="3"/>
    <x v="4"/>
    <x v="4"/>
    <x v="1"/>
    <x v="0"/>
    <n v="0.22935326051082283"/>
    <n v="-0.25435329828790432"/>
    <n v="0.10399668008577614"/>
  </r>
  <r>
    <n v="192"/>
    <d v="2011-01-09T00:00:00"/>
    <x v="0"/>
    <n v="0"/>
    <x v="0"/>
    <x v="6"/>
    <b v="0"/>
    <n v="0"/>
    <n v="1"/>
    <x v="18"/>
    <n v="9.0899999999999995E-2"/>
    <n v="0.49"/>
    <x v="3"/>
    <x v="3"/>
    <x v="4"/>
    <x v="4"/>
    <x v="1"/>
    <x v="0"/>
    <n v="0.22935326051082283"/>
    <n v="-0.25435329828790432"/>
    <n v="0.10399668008577614"/>
  </r>
  <r>
    <n v="193"/>
    <d v="2011-01-09T00:00:00"/>
    <x v="0"/>
    <n v="0"/>
    <x v="0"/>
    <x v="7"/>
    <b v="0"/>
    <n v="0"/>
    <n v="1"/>
    <x v="19"/>
    <n v="9.0899999999999995E-2"/>
    <n v="0.53"/>
    <x v="5"/>
    <x v="5"/>
    <x v="34"/>
    <x v="24"/>
    <x v="1"/>
    <x v="0"/>
    <n v="0.22935326051082283"/>
    <n v="-0.25435329828790432"/>
    <n v="0.10399668008577614"/>
  </r>
  <r>
    <n v="194"/>
    <d v="2011-01-09T00:00:00"/>
    <x v="0"/>
    <n v="0"/>
    <x v="0"/>
    <x v="8"/>
    <b v="0"/>
    <n v="0"/>
    <n v="1"/>
    <x v="18"/>
    <n v="9.0899999999999995E-2"/>
    <n v="0.49"/>
    <x v="3"/>
    <x v="3"/>
    <x v="3"/>
    <x v="98"/>
    <x v="1"/>
    <x v="0"/>
    <n v="0.22935326051082283"/>
    <n v="-0.25435329828790432"/>
    <n v="0.10399668008577614"/>
  </r>
  <r>
    <n v="195"/>
    <d v="2011-01-09T00:00:00"/>
    <x v="0"/>
    <n v="0"/>
    <x v="0"/>
    <x v="9"/>
    <b v="0"/>
    <n v="0"/>
    <n v="1"/>
    <x v="16"/>
    <n v="7.5800000000000006E-2"/>
    <n v="0.46"/>
    <x v="18"/>
    <x v="3"/>
    <x v="23"/>
    <x v="75"/>
    <x v="1"/>
    <x v="0"/>
    <n v="0.22935326051082283"/>
    <n v="-0.25435329828790432"/>
    <n v="0.10399668008577614"/>
  </r>
  <r>
    <n v="196"/>
    <d v="2011-01-09T00:00:00"/>
    <x v="0"/>
    <n v="0"/>
    <x v="0"/>
    <x v="10"/>
    <b v="0"/>
    <n v="0"/>
    <n v="1"/>
    <x v="14"/>
    <n v="0.1061"/>
    <n v="0.43"/>
    <x v="13"/>
    <x v="3"/>
    <x v="47"/>
    <x v="99"/>
    <x v="0"/>
    <x v="0"/>
    <n v="0.22935326051082283"/>
    <n v="-0.25435329828790432"/>
    <n v="0.10399668008577614"/>
  </r>
  <r>
    <n v="197"/>
    <d v="2011-01-09T00:00:00"/>
    <x v="0"/>
    <n v="0"/>
    <x v="0"/>
    <x v="11"/>
    <b v="0"/>
    <n v="0"/>
    <n v="1"/>
    <x v="13"/>
    <n v="0.1212"/>
    <n v="0.4"/>
    <x v="18"/>
    <x v="4"/>
    <x v="12"/>
    <x v="99"/>
    <x v="0"/>
    <x v="0"/>
    <n v="0.22935326051082283"/>
    <n v="-0.25435329828790432"/>
    <n v="0.10399668008577614"/>
  </r>
  <r>
    <n v="198"/>
    <d v="2011-01-09T00:00:00"/>
    <x v="0"/>
    <n v="0"/>
    <x v="0"/>
    <x v="12"/>
    <b v="0"/>
    <n v="0"/>
    <n v="1"/>
    <x v="15"/>
    <n v="0.13639999999999999"/>
    <n v="0.37"/>
    <x v="10"/>
    <x v="17"/>
    <x v="55"/>
    <x v="56"/>
    <x v="1"/>
    <x v="0"/>
    <n v="0.22935326051082283"/>
    <n v="-0.25435329828790432"/>
    <n v="0.10399668008577614"/>
  </r>
  <r>
    <n v="199"/>
    <d v="2011-01-09T00:00:00"/>
    <x v="0"/>
    <n v="0"/>
    <x v="0"/>
    <x v="13"/>
    <b v="0"/>
    <n v="0"/>
    <n v="1"/>
    <x v="2"/>
    <n v="0.16669999999999999"/>
    <n v="0.34"/>
    <x v="10"/>
    <x v="15"/>
    <x v="94"/>
    <x v="28"/>
    <x v="1"/>
    <x v="0"/>
    <n v="0.22935326051082283"/>
    <n v="-0.25435329828790432"/>
    <n v="0.10399668008577614"/>
  </r>
  <r>
    <n v="200"/>
    <d v="2011-01-09T00:00:00"/>
    <x v="0"/>
    <n v="0"/>
    <x v="0"/>
    <x v="14"/>
    <b v="0"/>
    <n v="0"/>
    <n v="1"/>
    <x v="1"/>
    <n v="0.18179999999999999"/>
    <n v="0.32"/>
    <x v="17"/>
    <x v="1"/>
    <x v="27"/>
    <x v="44"/>
    <x v="1"/>
    <x v="0"/>
    <n v="0.22935326051082283"/>
    <n v="-0.25435329828790432"/>
    <n v="0.10399668008577614"/>
  </r>
  <r>
    <n v="201"/>
    <d v="2011-01-09T00:00:00"/>
    <x v="0"/>
    <n v="0"/>
    <x v="0"/>
    <x v="15"/>
    <b v="0"/>
    <n v="0"/>
    <n v="1"/>
    <x v="1"/>
    <n v="0.19700000000000001"/>
    <n v="0.35"/>
    <x v="11"/>
    <x v="2"/>
    <x v="99"/>
    <x v="100"/>
    <x v="1"/>
    <x v="0"/>
    <n v="0.22935326051082283"/>
    <n v="-0.25435329828790432"/>
    <n v="0.10399668008577614"/>
  </r>
  <r>
    <n v="202"/>
    <d v="2011-01-09T00:00:00"/>
    <x v="0"/>
    <n v="0"/>
    <x v="0"/>
    <x v="16"/>
    <b v="0"/>
    <n v="0"/>
    <n v="1"/>
    <x v="2"/>
    <n v="0.16669999999999999"/>
    <n v="0.34"/>
    <x v="10"/>
    <x v="23"/>
    <x v="55"/>
    <x v="101"/>
    <x v="1"/>
    <x v="0"/>
    <n v="0.22935326051082283"/>
    <n v="-0.25435329828790432"/>
    <n v="0.10399668008577614"/>
  </r>
  <r>
    <n v="203"/>
    <d v="2011-01-09T00:00:00"/>
    <x v="0"/>
    <n v="0"/>
    <x v="0"/>
    <x v="17"/>
    <b v="0"/>
    <n v="0"/>
    <n v="1"/>
    <x v="15"/>
    <n v="0.1515"/>
    <n v="0.37"/>
    <x v="13"/>
    <x v="0"/>
    <x v="79"/>
    <x v="69"/>
    <x v="0"/>
    <x v="0"/>
    <n v="0.22935326051082283"/>
    <n v="-0.25435329828790432"/>
    <n v="0.10399668008577614"/>
  </r>
  <r>
    <n v="204"/>
    <d v="2011-01-09T00:00:00"/>
    <x v="0"/>
    <n v="0"/>
    <x v="0"/>
    <x v="18"/>
    <b v="0"/>
    <n v="0"/>
    <n v="1"/>
    <x v="13"/>
    <n v="0.13639999999999999"/>
    <n v="0.4"/>
    <x v="9"/>
    <x v="17"/>
    <x v="100"/>
    <x v="61"/>
    <x v="0"/>
    <x v="0"/>
    <n v="0.22935326051082283"/>
    <n v="-0.25435329828790432"/>
    <n v="0.10399668008577614"/>
  </r>
  <r>
    <n v="205"/>
    <d v="2011-01-09T00:00:00"/>
    <x v="0"/>
    <n v="0"/>
    <x v="0"/>
    <x v="19"/>
    <b v="0"/>
    <n v="0"/>
    <n v="1"/>
    <x v="13"/>
    <n v="0.13639999999999999"/>
    <n v="0.43"/>
    <x v="9"/>
    <x v="5"/>
    <x v="71"/>
    <x v="102"/>
    <x v="1"/>
    <x v="0"/>
    <n v="0.22935326051082283"/>
    <n v="-0.25435329828790432"/>
    <n v="0.10399668008577614"/>
  </r>
  <r>
    <n v="206"/>
    <d v="2011-01-09T00:00:00"/>
    <x v="0"/>
    <n v="0"/>
    <x v="0"/>
    <x v="20"/>
    <b v="0"/>
    <n v="0"/>
    <n v="1"/>
    <x v="14"/>
    <n v="0.1212"/>
    <n v="0.46"/>
    <x v="2"/>
    <x v="3"/>
    <x v="101"/>
    <x v="103"/>
    <x v="1"/>
    <x v="0"/>
    <n v="0.22935326051082283"/>
    <n v="-0.25435329828790432"/>
    <n v="0.10399668008577614"/>
  </r>
  <r>
    <n v="207"/>
    <d v="2011-01-09T00:00:00"/>
    <x v="0"/>
    <n v="0"/>
    <x v="0"/>
    <x v="21"/>
    <b v="0"/>
    <n v="0"/>
    <n v="1"/>
    <x v="14"/>
    <n v="0.1061"/>
    <n v="0.46"/>
    <x v="12"/>
    <x v="5"/>
    <x v="23"/>
    <x v="25"/>
    <x v="1"/>
    <x v="0"/>
    <n v="0.22935326051082283"/>
    <n v="-0.25435329828790432"/>
    <n v="0.10399668008577614"/>
  </r>
  <r>
    <n v="208"/>
    <d v="2011-01-09T00:00:00"/>
    <x v="0"/>
    <n v="0"/>
    <x v="0"/>
    <x v="22"/>
    <b v="0"/>
    <n v="0"/>
    <n v="1"/>
    <x v="14"/>
    <n v="0.1212"/>
    <n v="0.46"/>
    <x v="4"/>
    <x v="2"/>
    <x v="3"/>
    <x v="93"/>
    <x v="1"/>
    <x v="0"/>
    <n v="0.22935326051082283"/>
    <n v="-0.25435329828790432"/>
    <n v="0.10399668008577614"/>
  </r>
  <r>
    <n v="209"/>
    <d v="2011-01-09T00:00:00"/>
    <x v="0"/>
    <n v="0"/>
    <x v="0"/>
    <x v="23"/>
    <b v="0"/>
    <n v="0"/>
    <n v="1"/>
    <x v="16"/>
    <n v="0.13639999999999999"/>
    <n v="0.5"/>
    <x v="5"/>
    <x v="3"/>
    <x v="8"/>
    <x v="24"/>
    <x v="1"/>
    <x v="0"/>
    <n v="0.22935326051082283"/>
    <n v="-0.25435329828790432"/>
    <n v="0.10399668008577614"/>
  </r>
  <r>
    <n v="210"/>
    <d v="2011-01-10T00:00:00"/>
    <x v="0"/>
    <n v="0"/>
    <x v="0"/>
    <x v="0"/>
    <b v="0"/>
    <n v="1"/>
    <n v="1"/>
    <x v="16"/>
    <n v="0.1212"/>
    <n v="0.5"/>
    <x v="3"/>
    <x v="4"/>
    <x v="35"/>
    <x v="36"/>
    <x v="0"/>
    <x v="0"/>
    <n v="0.22935326051082283"/>
    <n v="-0.25435329828790432"/>
    <n v="0.10399668008577614"/>
  </r>
  <r>
    <n v="211"/>
    <d v="2011-01-10T00:00:00"/>
    <x v="0"/>
    <n v="0"/>
    <x v="0"/>
    <x v="1"/>
    <b v="0"/>
    <n v="1"/>
    <n v="1"/>
    <x v="16"/>
    <n v="0.1212"/>
    <n v="0.5"/>
    <x v="3"/>
    <x v="5"/>
    <x v="5"/>
    <x v="4"/>
    <x v="0"/>
    <x v="0"/>
    <n v="0.22935326051082283"/>
    <n v="-0.25435329828790432"/>
    <n v="0.10399668008577614"/>
  </r>
  <r>
    <n v="212"/>
    <d v="2011-01-10T00:00:00"/>
    <x v="0"/>
    <n v="0"/>
    <x v="0"/>
    <x v="2"/>
    <b v="0"/>
    <n v="1"/>
    <n v="1"/>
    <x v="16"/>
    <n v="0.1212"/>
    <n v="0.5"/>
    <x v="6"/>
    <x v="3"/>
    <x v="35"/>
    <x v="6"/>
    <x v="1"/>
    <x v="0"/>
    <n v="0.22935326051082283"/>
    <n v="-0.25435329828790432"/>
    <n v="0.10399668008577614"/>
  </r>
  <r>
    <n v="213"/>
    <d v="2011-01-10T00:00:00"/>
    <x v="0"/>
    <n v="0"/>
    <x v="0"/>
    <x v="3"/>
    <b v="0"/>
    <n v="1"/>
    <n v="1"/>
    <x v="16"/>
    <n v="0.1212"/>
    <n v="0.5"/>
    <x v="6"/>
    <x v="3"/>
    <x v="4"/>
    <x v="4"/>
    <x v="1"/>
    <x v="0"/>
    <n v="0.22935326051082283"/>
    <n v="-0.25435329828790432"/>
    <n v="0.10399668008577614"/>
  </r>
  <r>
    <n v="214"/>
    <d v="2011-01-10T00:00:00"/>
    <x v="0"/>
    <n v="0"/>
    <x v="0"/>
    <x v="4"/>
    <b v="0"/>
    <n v="1"/>
    <n v="1"/>
    <x v="18"/>
    <n v="0.1212"/>
    <n v="0.54"/>
    <x v="7"/>
    <x v="5"/>
    <x v="6"/>
    <x v="6"/>
    <x v="1"/>
    <x v="0"/>
    <n v="0.22935326051082283"/>
    <n v="-0.25435329828790432"/>
    <n v="0.10399668008577614"/>
  </r>
  <r>
    <n v="215"/>
    <d v="2011-01-10T00:00:00"/>
    <x v="0"/>
    <n v="0"/>
    <x v="0"/>
    <x v="5"/>
    <b v="0"/>
    <n v="1"/>
    <n v="1"/>
    <x v="18"/>
    <n v="0.1061"/>
    <n v="0.54"/>
    <x v="2"/>
    <x v="3"/>
    <x v="35"/>
    <x v="6"/>
    <x v="1"/>
    <x v="0"/>
    <n v="0.22935326051082283"/>
    <n v="-0.25435329828790432"/>
    <n v="0.10399668008577614"/>
  </r>
  <r>
    <n v="216"/>
    <d v="2011-01-10T00:00:00"/>
    <x v="0"/>
    <n v="0"/>
    <x v="0"/>
    <x v="6"/>
    <b v="0"/>
    <n v="1"/>
    <n v="1"/>
    <x v="16"/>
    <n v="0.1212"/>
    <n v="0.5"/>
    <x v="3"/>
    <x v="3"/>
    <x v="17"/>
    <x v="35"/>
    <x v="1"/>
    <x v="0"/>
    <n v="0.22935326051082283"/>
    <n v="-0.25435329828790432"/>
    <n v="0.10399668008577614"/>
  </r>
  <r>
    <n v="217"/>
    <d v="2011-01-10T00:00:00"/>
    <x v="0"/>
    <n v="0"/>
    <x v="0"/>
    <x v="7"/>
    <b v="0"/>
    <n v="1"/>
    <n v="1"/>
    <x v="16"/>
    <n v="0.1212"/>
    <n v="0.5"/>
    <x v="6"/>
    <x v="4"/>
    <x v="102"/>
    <x v="43"/>
    <x v="0"/>
    <x v="0"/>
    <n v="0.22935326051082283"/>
    <n v="-0.25435329828790432"/>
    <n v="0.10399668008577614"/>
  </r>
  <r>
    <n v="218"/>
    <d v="2011-01-10T00:00:00"/>
    <x v="0"/>
    <n v="0"/>
    <x v="0"/>
    <x v="8"/>
    <b v="0"/>
    <n v="1"/>
    <n v="2"/>
    <x v="16"/>
    <n v="0.1212"/>
    <n v="0.5"/>
    <x v="3"/>
    <x v="17"/>
    <x v="103"/>
    <x v="104"/>
    <x v="0"/>
    <x v="1"/>
    <n v="0.22935326051082283"/>
    <n v="-0.25435329828790432"/>
    <n v="0.10399668008577614"/>
  </r>
  <r>
    <n v="219"/>
    <d v="2011-01-10T00:00:00"/>
    <x v="0"/>
    <n v="0"/>
    <x v="0"/>
    <x v="9"/>
    <b v="0"/>
    <n v="1"/>
    <n v="2"/>
    <x v="14"/>
    <n v="0.1212"/>
    <n v="0.5"/>
    <x v="2"/>
    <x v="4"/>
    <x v="50"/>
    <x v="12"/>
    <x v="1"/>
    <x v="1"/>
    <n v="0.22935326051082283"/>
    <n v="-0.25435329828790432"/>
    <n v="0.10399668008577614"/>
  </r>
  <r>
    <n v="220"/>
    <d v="2011-01-10T00:00:00"/>
    <x v="0"/>
    <n v="0"/>
    <x v="0"/>
    <x v="10"/>
    <b v="0"/>
    <n v="1"/>
    <n v="2"/>
    <x v="14"/>
    <n v="0.1212"/>
    <n v="0.5"/>
    <x v="4"/>
    <x v="3"/>
    <x v="17"/>
    <x v="35"/>
    <x v="1"/>
    <x v="1"/>
    <n v="0.22935326051082283"/>
    <n v="-0.25435329828790432"/>
    <n v="0.10399668008577614"/>
  </r>
  <r>
    <n v="221"/>
    <d v="2011-01-10T00:00:00"/>
    <x v="0"/>
    <n v="0"/>
    <x v="0"/>
    <x v="11"/>
    <b v="0"/>
    <n v="1"/>
    <n v="2"/>
    <x v="13"/>
    <n v="0.13639999999999999"/>
    <n v="0.47"/>
    <x v="3"/>
    <x v="4"/>
    <x v="95"/>
    <x v="33"/>
    <x v="1"/>
    <x v="1"/>
    <n v="0.22935326051082283"/>
    <n v="-0.25435329828790432"/>
    <n v="0.10399668008577614"/>
  </r>
  <r>
    <n v="222"/>
    <d v="2011-01-10T00:00:00"/>
    <x v="0"/>
    <n v="0"/>
    <x v="0"/>
    <x v="12"/>
    <b v="0"/>
    <n v="1"/>
    <n v="2"/>
    <x v="2"/>
    <n v="0.18179999999999999"/>
    <n v="0.4"/>
    <x v="3"/>
    <x v="2"/>
    <x v="12"/>
    <x v="46"/>
    <x v="1"/>
    <x v="1"/>
    <n v="0.22935326051082283"/>
    <n v="-0.25435329828790432"/>
    <n v="0.10399668008577614"/>
  </r>
  <r>
    <n v="223"/>
    <d v="2011-01-10T00:00:00"/>
    <x v="0"/>
    <n v="0"/>
    <x v="0"/>
    <x v="13"/>
    <b v="0"/>
    <n v="1"/>
    <n v="2"/>
    <x v="2"/>
    <n v="0.18179999999999999"/>
    <n v="0.4"/>
    <x v="3"/>
    <x v="17"/>
    <x v="54"/>
    <x v="60"/>
    <x v="1"/>
    <x v="1"/>
    <n v="0.22935326051082283"/>
    <n v="-0.25435329828790432"/>
    <n v="0.10399668008577614"/>
  </r>
  <r>
    <n v="224"/>
    <d v="2011-01-10T00:00:00"/>
    <x v="0"/>
    <n v="0"/>
    <x v="0"/>
    <x v="14"/>
    <b v="0"/>
    <n v="1"/>
    <n v="2"/>
    <x v="2"/>
    <n v="0.19700000000000001"/>
    <n v="0.4"/>
    <x v="6"/>
    <x v="3"/>
    <x v="12"/>
    <x v="105"/>
    <x v="0"/>
    <x v="1"/>
    <n v="0.22935326051082283"/>
    <n v="-0.25435329828790432"/>
    <n v="0.10399668008577614"/>
  </r>
  <r>
    <n v="225"/>
    <d v="2011-01-10T00:00:00"/>
    <x v="0"/>
    <n v="0"/>
    <x v="0"/>
    <x v="15"/>
    <b v="0"/>
    <n v="1"/>
    <n v="2"/>
    <x v="2"/>
    <n v="0.19700000000000001"/>
    <n v="0.4"/>
    <x v="6"/>
    <x v="4"/>
    <x v="30"/>
    <x v="79"/>
    <x v="0"/>
    <x v="1"/>
    <n v="0.22935326051082283"/>
    <n v="-0.25435329828790432"/>
    <n v="0.10399668008577614"/>
  </r>
  <r>
    <n v="226"/>
    <d v="2011-01-10T00:00:00"/>
    <x v="0"/>
    <n v="0"/>
    <x v="0"/>
    <x v="16"/>
    <b v="0"/>
    <n v="1"/>
    <n v="1"/>
    <x v="2"/>
    <n v="0.21210000000000001"/>
    <n v="0.4"/>
    <x v="7"/>
    <x v="17"/>
    <x v="14"/>
    <x v="30"/>
    <x v="1"/>
    <x v="0"/>
    <n v="0.22935326051082283"/>
    <n v="-0.25435329828790432"/>
    <n v="0.10399668008577614"/>
  </r>
  <r>
    <n v="227"/>
    <d v="2011-01-10T00:00:00"/>
    <x v="0"/>
    <n v="0"/>
    <x v="0"/>
    <x v="17"/>
    <b v="0"/>
    <n v="1"/>
    <n v="1"/>
    <x v="2"/>
    <n v="0.2273"/>
    <n v="0.4"/>
    <x v="14"/>
    <x v="17"/>
    <x v="104"/>
    <x v="106"/>
    <x v="1"/>
    <x v="0"/>
    <n v="0.22935326051082283"/>
    <n v="-0.25435329828790432"/>
    <n v="0.10399668008577614"/>
  </r>
  <r>
    <n v="228"/>
    <d v="2011-01-10T00:00:00"/>
    <x v="0"/>
    <n v="0"/>
    <x v="0"/>
    <x v="18"/>
    <b v="0"/>
    <n v="1"/>
    <n v="1"/>
    <x v="2"/>
    <n v="0.19700000000000001"/>
    <n v="0.4"/>
    <x v="6"/>
    <x v="5"/>
    <x v="105"/>
    <x v="107"/>
    <x v="1"/>
    <x v="0"/>
    <n v="0.22935326051082283"/>
    <n v="-0.25435329828790432"/>
    <n v="0.10399668008577614"/>
  </r>
  <r>
    <n v="229"/>
    <d v="2011-01-10T00:00:00"/>
    <x v="0"/>
    <n v="0"/>
    <x v="0"/>
    <x v="19"/>
    <b v="0"/>
    <n v="1"/>
    <n v="1"/>
    <x v="13"/>
    <n v="0.16669999999999999"/>
    <n v="0.47"/>
    <x v="8"/>
    <x v="0"/>
    <x v="50"/>
    <x v="76"/>
    <x v="1"/>
    <x v="0"/>
    <n v="0.22935326051082283"/>
    <n v="-0.25435329828790432"/>
    <n v="0.10399668008577614"/>
  </r>
  <r>
    <n v="230"/>
    <d v="2011-01-10T00:00:00"/>
    <x v="0"/>
    <n v="0"/>
    <x v="0"/>
    <x v="20"/>
    <b v="0"/>
    <n v="1"/>
    <n v="1"/>
    <x v="13"/>
    <n v="0.16669999999999999"/>
    <n v="0.5"/>
    <x v="8"/>
    <x v="5"/>
    <x v="26"/>
    <x v="30"/>
    <x v="1"/>
    <x v="0"/>
    <n v="0.22935326051082283"/>
    <n v="-0.25435329828790432"/>
    <n v="0.10399668008577614"/>
  </r>
  <r>
    <n v="231"/>
    <d v="2011-01-10T00:00:00"/>
    <x v="0"/>
    <n v="0"/>
    <x v="0"/>
    <x v="21"/>
    <b v="0"/>
    <n v="1"/>
    <n v="1"/>
    <x v="14"/>
    <n v="0.13639999999999999"/>
    <n v="0.59"/>
    <x v="5"/>
    <x v="5"/>
    <x v="53"/>
    <x v="103"/>
    <x v="0"/>
    <x v="0"/>
    <n v="0.22935326051082283"/>
    <n v="-0.25435329828790432"/>
    <n v="0.10399668008577614"/>
  </r>
  <r>
    <n v="232"/>
    <d v="2011-01-10T00:00:00"/>
    <x v="0"/>
    <n v="0"/>
    <x v="0"/>
    <x v="22"/>
    <b v="0"/>
    <n v="1"/>
    <n v="1"/>
    <x v="14"/>
    <n v="0.1515"/>
    <n v="0.59"/>
    <x v="8"/>
    <x v="4"/>
    <x v="97"/>
    <x v="108"/>
    <x v="0"/>
    <x v="0"/>
    <n v="0.22935326051082283"/>
    <n v="-0.25435329828790432"/>
    <n v="0.10399668008577614"/>
  </r>
  <r>
    <n v="233"/>
    <d v="2011-01-10T00:00:00"/>
    <x v="0"/>
    <n v="0"/>
    <x v="0"/>
    <x v="23"/>
    <b v="0"/>
    <n v="1"/>
    <n v="1"/>
    <x v="14"/>
    <n v="0.1515"/>
    <n v="0.59"/>
    <x v="8"/>
    <x v="3"/>
    <x v="72"/>
    <x v="109"/>
    <x v="1"/>
    <x v="0"/>
    <n v="0.22935326051082283"/>
    <n v="-0.25435329828790432"/>
    <n v="0.10399668008577614"/>
  </r>
  <r>
    <n v="234"/>
    <d v="2011-01-11T00:00:00"/>
    <x v="0"/>
    <n v="0"/>
    <x v="0"/>
    <x v="0"/>
    <b v="0"/>
    <n v="2"/>
    <n v="1"/>
    <x v="14"/>
    <n v="0.16669999999999999"/>
    <n v="0.59"/>
    <x v="14"/>
    <x v="4"/>
    <x v="3"/>
    <x v="47"/>
    <x v="1"/>
    <x v="0"/>
    <n v="0.22935326051082283"/>
    <n v="-0.25435329828790432"/>
    <n v="0.10399668008577614"/>
  </r>
  <r>
    <n v="235"/>
    <d v="2011-01-11T00:00:00"/>
    <x v="0"/>
    <n v="0"/>
    <x v="0"/>
    <x v="1"/>
    <b v="0"/>
    <n v="2"/>
    <n v="1"/>
    <x v="14"/>
    <n v="0.1515"/>
    <n v="0.59"/>
    <x v="8"/>
    <x v="3"/>
    <x v="35"/>
    <x v="6"/>
    <x v="1"/>
    <x v="0"/>
    <n v="0.22935326051082283"/>
    <n v="-0.25435329828790432"/>
    <n v="0.10399668008577614"/>
  </r>
  <r>
    <n v="236"/>
    <d v="2011-01-11T00:00:00"/>
    <x v="0"/>
    <n v="0"/>
    <x v="0"/>
    <x v="2"/>
    <b v="0"/>
    <n v="2"/>
    <n v="2"/>
    <x v="13"/>
    <n v="0.1515"/>
    <n v="0.55000000000000004"/>
    <x v="5"/>
    <x v="3"/>
    <x v="35"/>
    <x v="6"/>
    <x v="1"/>
    <x v="1"/>
    <n v="0.22935326051082283"/>
    <n v="-0.25435329828790432"/>
    <n v="0.10399668008577614"/>
  </r>
  <r>
    <n v="237"/>
    <d v="2011-01-11T00:00:00"/>
    <x v="0"/>
    <n v="0"/>
    <x v="0"/>
    <x v="5"/>
    <b v="0"/>
    <n v="2"/>
    <n v="2"/>
    <x v="13"/>
    <n v="0.18179999999999999"/>
    <n v="0.55000000000000004"/>
    <x v="7"/>
    <x v="3"/>
    <x v="8"/>
    <x v="24"/>
    <x v="1"/>
    <x v="1"/>
    <n v="0.22935326051082283"/>
    <n v="-0.25435329828790432"/>
    <n v="0.10399668008577614"/>
  </r>
  <r>
    <n v="238"/>
    <d v="2011-01-11T00:00:00"/>
    <x v="0"/>
    <n v="0"/>
    <x v="0"/>
    <x v="6"/>
    <b v="0"/>
    <n v="2"/>
    <n v="2"/>
    <x v="13"/>
    <n v="0.18179999999999999"/>
    <n v="0.55000000000000004"/>
    <x v="7"/>
    <x v="3"/>
    <x v="2"/>
    <x v="110"/>
    <x v="0"/>
    <x v="1"/>
    <n v="0.22935326051082283"/>
    <n v="-0.25435329828790432"/>
    <n v="0.10399668008577614"/>
  </r>
  <r>
    <n v="239"/>
    <d v="2011-01-11T00:00:00"/>
    <x v="0"/>
    <n v="0"/>
    <x v="0"/>
    <x v="7"/>
    <b v="0"/>
    <n v="2"/>
    <n v="2"/>
    <x v="13"/>
    <n v="0.2273"/>
    <n v="0.55000000000000004"/>
    <x v="0"/>
    <x v="4"/>
    <x v="106"/>
    <x v="111"/>
    <x v="0"/>
    <x v="1"/>
    <n v="0.22935326051082283"/>
    <n v="-0.25435329828790432"/>
    <n v="0.10399668008577614"/>
  </r>
  <r>
    <n v="240"/>
    <d v="2011-01-11T00:00:00"/>
    <x v="0"/>
    <n v="0"/>
    <x v="0"/>
    <x v="8"/>
    <b v="0"/>
    <n v="2"/>
    <n v="2"/>
    <x v="15"/>
    <n v="0.21210000000000001"/>
    <n v="0.51"/>
    <x v="1"/>
    <x v="0"/>
    <x v="107"/>
    <x v="112"/>
    <x v="1"/>
    <x v="1"/>
    <n v="0.22935326051082283"/>
    <n v="-0.25435329828790432"/>
    <n v="0.10399668008577614"/>
  </r>
  <r>
    <n v="241"/>
    <d v="2011-01-11T00:00:00"/>
    <x v="0"/>
    <n v="0"/>
    <x v="0"/>
    <x v="9"/>
    <b v="0"/>
    <n v="2"/>
    <n v="2"/>
    <x v="15"/>
    <n v="0.19700000000000001"/>
    <n v="0.51"/>
    <x v="8"/>
    <x v="0"/>
    <x v="69"/>
    <x v="113"/>
    <x v="1"/>
    <x v="1"/>
    <n v="0.22935326051082283"/>
    <n v="-0.25435329828790432"/>
    <n v="0.10399668008577614"/>
  </r>
  <r>
    <n v="242"/>
    <d v="2011-01-11T00:00:00"/>
    <x v="0"/>
    <n v="0"/>
    <x v="0"/>
    <x v="10"/>
    <b v="0"/>
    <n v="2"/>
    <n v="2"/>
    <x v="2"/>
    <n v="0.21210000000000001"/>
    <n v="0.51"/>
    <x v="8"/>
    <x v="0"/>
    <x v="82"/>
    <x v="60"/>
    <x v="1"/>
    <x v="1"/>
    <n v="0.22935326051082283"/>
    <n v="-0.25435329828790432"/>
    <n v="0.10399668008577614"/>
  </r>
  <r>
    <n v="243"/>
    <d v="2011-01-11T00:00:00"/>
    <x v="0"/>
    <n v="0"/>
    <x v="0"/>
    <x v="11"/>
    <b v="0"/>
    <n v="2"/>
    <n v="2"/>
    <x v="2"/>
    <n v="0.21210000000000001"/>
    <n v="0.47"/>
    <x v="7"/>
    <x v="17"/>
    <x v="17"/>
    <x v="17"/>
    <x v="1"/>
    <x v="1"/>
    <n v="0.22935326051082283"/>
    <n v="-0.25435329828790432"/>
    <n v="0.10399668008577614"/>
  </r>
  <r>
    <n v="244"/>
    <d v="2011-01-11T00:00:00"/>
    <x v="0"/>
    <n v="0"/>
    <x v="0"/>
    <x v="12"/>
    <b v="0"/>
    <n v="2"/>
    <n v="2"/>
    <x v="2"/>
    <n v="0.2273"/>
    <n v="0.51"/>
    <x v="14"/>
    <x v="4"/>
    <x v="11"/>
    <x v="52"/>
    <x v="1"/>
    <x v="1"/>
    <n v="0.22935326051082283"/>
    <n v="-0.25435329828790432"/>
    <n v="0.10399668008577614"/>
  </r>
  <r>
    <n v="245"/>
    <d v="2011-01-11T00:00:00"/>
    <x v="0"/>
    <n v="0"/>
    <x v="0"/>
    <x v="13"/>
    <b v="0"/>
    <n v="2"/>
    <n v="2"/>
    <x v="2"/>
    <n v="0.2273"/>
    <n v="0.59"/>
    <x v="1"/>
    <x v="15"/>
    <x v="24"/>
    <x v="46"/>
    <x v="0"/>
    <x v="1"/>
    <n v="0.22935326051082283"/>
    <n v="-0.25435329828790432"/>
    <n v="0.10399668008577614"/>
  </r>
  <r>
    <n v="246"/>
    <d v="2011-01-11T00:00:00"/>
    <x v="0"/>
    <n v="0"/>
    <x v="0"/>
    <x v="14"/>
    <b v="0"/>
    <n v="2"/>
    <n v="2"/>
    <x v="2"/>
    <n v="0.2273"/>
    <n v="0.59"/>
    <x v="1"/>
    <x v="0"/>
    <x v="91"/>
    <x v="55"/>
    <x v="0"/>
    <x v="1"/>
    <n v="0.22935326051082283"/>
    <n v="-0.25435329828790432"/>
    <n v="0.10399668008577614"/>
  </r>
  <r>
    <n v="247"/>
    <d v="2011-01-11T00:00:00"/>
    <x v="0"/>
    <n v="0"/>
    <x v="0"/>
    <x v="15"/>
    <b v="0"/>
    <n v="2"/>
    <n v="2"/>
    <x v="13"/>
    <n v="0.19700000000000001"/>
    <n v="0.8"/>
    <x v="1"/>
    <x v="4"/>
    <x v="108"/>
    <x v="105"/>
    <x v="1"/>
    <x v="1"/>
    <n v="0.22935326051082283"/>
    <n v="-0.25435329828790432"/>
    <n v="0.10399668008577614"/>
  </r>
  <r>
    <n v="248"/>
    <d v="2011-01-11T00:00:00"/>
    <x v="0"/>
    <n v="0"/>
    <x v="0"/>
    <x v="16"/>
    <b v="0"/>
    <n v="2"/>
    <n v="2"/>
    <x v="13"/>
    <n v="0.1515"/>
    <n v="0.86"/>
    <x v="6"/>
    <x v="17"/>
    <x v="109"/>
    <x v="31"/>
    <x v="1"/>
    <x v="1"/>
    <n v="0.22935326051082283"/>
    <n v="-0.25435329828790432"/>
    <n v="0.10399668008577614"/>
  </r>
  <r>
    <n v="249"/>
    <d v="2011-01-11T00:00:00"/>
    <x v="0"/>
    <n v="0"/>
    <x v="0"/>
    <x v="17"/>
    <b v="0"/>
    <n v="2"/>
    <n v="2"/>
    <x v="13"/>
    <n v="0.1515"/>
    <n v="0.86"/>
    <x v="6"/>
    <x v="15"/>
    <x v="110"/>
    <x v="114"/>
    <x v="1"/>
    <x v="1"/>
    <n v="0.22935326051082283"/>
    <n v="-0.25435329828790432"/>
    <n v="0.10399668008577614"/>
  </r>
  <r>
    <n v="250"/>
    <d v="2011-01-11T00:00:00"/>
    <x v="0"/>
    <n v="0"/>
    <x v="0"/>
    <x v="18"/>
    <b v="0"/>
    <n v="2"/>
    <n v="3"/>
    <x v="13"/>
    <n v="0.18179999999999999"/>
    <n v="0.93"/>
    <x v="14"/>
    <x v="5"/>
    <x v="111"/>
    <x v="76"/>
    <x v="1"/>
    <x v="2"/>
    <n v="0.22935326051082283"/>
    <n v="-0.25435329828790432"/>
    <n v="0.10399668008577614"/>
  </r>
  <r>
    <n v="251"/>
    <d v="2011-01-11T00:00:00"/>
    <x v="0"/>
    <n v="0"/>
    <x v="0"/>
    <x v="19"/>
    <b v="0"/>
    <n v="2"/>
    <n v="3"/>
    <x v="13"/>
    <n v="0.2273"/>
    <n v="0.93"/>
    <x v="0"/>
    <x v="3"/>
    <x v="82"/>
    <x v="41"/>
    <x v="1"/>
    <x v="2"/>
    <n v="0.22935326051082283"/>
    <n v="-0.25435329828790432"/>
    <n v="0.10399668008577614"/>
  </r>
  <r>
    <n v="252"/>
    <d v="2011-01-11T00:00:00"/>
    <x v="0"/>
    <n v="0"/>
    <x v="0"/>
    <x v="20"/>
    <b v="0"/>
    <n v="2"/>
    <n v="3"/>
    <x v="13"/>
    <n v="0.1515"/>
    <n v="0.93"/>
    <x v="5"/>
    <x v="3"/>
    <x v="1"/>
    <x v="2"/>
    <x v="0"/>
    <x v="2"/>
    <n v="0.22935326051082283"/>
    <n v="-0.25435329828790432"/>
    <n v="0.10399668008577614"/>
  </r>
  <r>
    <n v="253"/>
    <d v="2011-01-11T00:00:00"/>
    <x v="0"/>
    <n v="0"/>
    <x v="0"/>
    <x v="21"/>
    <b v="0"/>
    <n v="2"/>
    <n v="3"/>
    <x v="13"/>
    <n v="0.19700000000000001"/>
    <n v="0.86"/>
    <x v="1"/>
    <x v="3"/>
    <x v="32"/>
    <x v="25"/>
    <x v="0"/>
    <x v="2"/>
    <n v="0.22935326051082283"/>
    <n v="-0.25435329828790432"/>
    <n v="0.10399668008577614"/>
  </r>
  <r>
    <n v="254"/>
    <d v="2011-01-11T00:00:00"/>
    <x v="0"/>
    <n v="0"/>
    <x v="0"/>
    <x v="22"/>
    <b v="0"/>
    <n v="2"/>
    <n v="3"/>
    <x v="13"/>
    <n v="0.18179999999999999"/>
    <n v="0.93"/>
    <x v="14"/>
    <x v="5"/>
    <x v="95"/>
    <x v="115"/>
    <x v="1"/>
    <x v="2"/>
    <n v="0.22935326051082283"/>
    <n v="-0.25435329828790432"/>
    <n v="0.10399668008577614"/>
  </r>
  <r>
    <n v="255"/>
    <d v="2011-01-11T00:00:00"/>
    <x v="0"/>
    <n v="0"/>
    <x v="0"/>
    <x v="23"/>
    <b v="0"/>
    <n v="2"/>
    <n v="3"/>
    <x v="13"/>
    <n v="0.19700000000000001"/>
    <n v="0.93"/>
    <x v="1"/>
    <x v="5"/>
    <x v="72"/>
    <x v="75"/>
    <x v="1"/>
    <x v="2"/>
    <n v="0.22935326051082283"/>
    <n v="-0.25435329828790432"/>
    <n v="0.10399668008577614"/>
  </r>
  <r>
    <n v="256"/>
    <d v="2011-01-12T00:00:00"/>
    <x v="0"/>
    <n v="0"/>
    <x v="0"/>
    <x v="0"/>
    <b v="0"/>
    <n v="3"/>
    <n v="2"/>
    <x v="13"/>
    <n v="0.19700000000000001"/>
    <n v="0.86"/>
    <x v="1"/>
    <x v="3"/>
    <x v="7"/>
    <x v="85"/>
    <x v="1"/>
    <x v="1"/>
    <n v="0.22935326051082283"/>
    <n v="-0.25435329828790432"/>
    <n v="0.10399668008577614"/>
  </r>
  <r>
    <n v="257"/>
    <d v="2011-01-12T00:00:00"/>
    <x v="0"/>
    <n v="0"/>
    <x v="0"/>
    <x v="1"/>
    <b v="0"/>
    <n v="3"/>
    <n v="2"/>
    <x v="13"/>
    <n v="0.18179999999999999"/>
    <n v="0.86"/>
    <x v="14"/>
    <x v="3"/>
    <x v="8"/>
    <x v="24"/>
    <x v="1"/>
    <x v="1"/>
    <n v="0.22935326051082283"/>
    <n v="-0.25435329828790432"/>
    <n v="0.10399668008577614"/>
  </r>
  <r>
    <n v="258"/>
    <d v="2011-01-12T00:00:00"/>
    <x v="0"/>
    <n v="0"/>
    <x v="0"/>
    <x v="2"/>
    <b v="0"/>
    <n v="3"/>
    <n v="1"/>
    <x v="14"/>
    <n v="0.1515"/>
    <n v="0.86"/>
    <x v="7"/>
    <x v="3"/>
    <x v="4"/>
    <x v="4"/>
    <x v="1"/>
    <x v="0"/>
    <n v="0.22935326051082283"/>
    <n v="-0.25435329828790432"/>
    <n v="0.10399668008577614"/>
  </r>
  <r>
    <n v="259"/>
    <d v="2011-01-12T00:00:00"/>
    <x v="0"/>
    <n v="0"/>
    <x v="0"/>
    <x v="5"/>
    <b v="0"/>
    <n v="3"/>
    <n v="1"/>
    <x v="14"/>
    <n v="0.1515"/>
    <n v="0.86"/>
    <x v="8"/>
    <x v="3"/>
    <x v="34"/>
    <x v="36"/>
    <x v="0"/>
    <x v="0"/>
    <n v="0.22935326051082283"/>
    <n v="-0.25435329828790432"/>
    <n v="0.10399668008577614"/>
  </r>
  <r>
    <n v="260"/>
    <d v="2011-01-12T00:00:00"/>
    <x v="0"/>
    <n v="0"/>
    <x v="0"/>
    <x v="6"/>
    <b v="0"/>
    <n v="3"/>
    <n v="1"/>
    <x v="16"/>
    <n v="0.1515"/>
    <n v="0.93"/>
    <x v="7"/>
    <x v="3"/>
    <x v="20"/>
    <x v="0"/>
    <x v="0"/>
    <x v="0"/>
    <n v="0.22935326051082283"/>
    <n v="-0.25435329828790432"/>
    <n v="0.10399668008577614"/>
  </r>
  <r>
    <n v="261"/>
    <d v="2011-01-12T00:00:00"/>
    <x v="0"/>
    <n v="0"/>
    <x v="0"/>
    <x v="7"/>
    <b v="0"/>
    <n v="3"/>
    <n v="1"/>
    <x v="14"/>
    <n v="0.1515"/>
    <n v="0.69"/>
    <x v="7"/>
    <x v="3"/>
    <x v="25"/>
    <x v="60"/>
    <x v="1"/>
    <x v="0"/>
    <n v="0.22935326051082283"/>
    <n v="-0.25435329828790432"/>
    <n v="0.10399668008577614"/>
  </r>
  <r>
    <n v="262"/>
    <d v="2011-01-12T00:00:00"/>
    <x v="0"/>
    <n v="0"/>
    <x v="0"/>
    <x v="8"/>
    <b v="0"/>
    <n v="3"/>
    <n v="1"/>
    <x v="13"/>
    <n v="0.16669999999999999"/>
    <n v="0.59"/>
    <x v="8"/>
    <x v="0"/>
    <x v="85"/>
    <x v="116"/>
    <x v="1"/>
    <x v="0"/>
    <n v="0.22935326051082283"/>
    <n v="-0.25435329828790432"/>
    <n v="0.10399668008577614"/>
  </r>
  <r>
    <n v="263"/>
    <d v="2011-01-12T00:00:00"/>
    <x v="0"/>
    <n v="0"/>
    <x v="0"/>
    <x v="9"/>
    <b v="0"/>
    <n v="3"/>
    <n v="1"/>
    <x v="13"/>
    <n v="0.13639999999999999"/>
    <n v="0.59"/>
    <x v="9"/>
    <x v="0"/>
    <x v="78"/>
    <x v="117"/>
    <x v="1"/>
    <x v="0"/>
    <n v="0.22935326051082283"/>
    <n v="-0.25435329828790432"/>
    <n v="0.10399668008577614"/>
  </r>
  <r>
    <n v="264"/>
    <d v="2011-01-12T00:00:00"/>
    <x v="0"/>
    <n v="0"/>
    <x v="0"/>
    <x v="10"/>
    <b v="0"/>
    <n v="3"/>
    <n v="1"/>
    <x v="15"/>
    <n v="0.18179999999999999"/>
    <n v="0.55000000000000004"/>
    <x v="6"/>
    <x v="3"/>
    <x v="87"/>
    <x v="21"/>
    <x v="1"/>
    <x v="0"/>
    <n v="0.22935326051082283"/>
    <n v="-0.25435329828790432"/>
    <n v="0.10399668008577614"/>
  </r>
  <r>
    <n v="265"/>
    <d v="2011-01-12T00:00:00"/>
    <x v="0"/>
    <n v="0"/>
    <x v="0"/>
    <x v="11"/>
    <b v="0"/>
    <n v="3"/>
    <n v="1"/>
    <x v="2"/>
    <n v="0.18179999999999999"/>
    <n v="0.51"/>
    <x v="13"/>
    <x v="0"/>
    <x v="1"/>
    <x v="17"/>
    <x v="1"/>
    <x v="0"/>
    <n v="0.22935326051082283"/>
    <n v="-0.25435329828790432"/>
    <n v="0.10399668008577614"/>
  </r>
  <r>
    <n v="266"/>
    <d v="2011-01-12T00:00:00"/>
    <x v="0"/>
    <n v="0"/>
    <x v="0"/>
    <x v="12"/>
    <b v="0"/>
    <n v="3"/>
    <n v="1"/>
    <x v="2"/>
    <n v="0.1515"/>
    <n v="0.47"/>
    <x v="19"/>
    <x v="0"/>
    <x v="15"/>
    <x v="97"/>
    <x v="0"/>
    <x v="0"/>
    <n v="0.22935326051082283"/>
    <n v="-0.25435329828790432"/>
    <n v="0.10399668008577614"/>
  </r>
  <r>
    <n v="267"/>
    <d v="2011-01-12T00:00:00"/>
    <x v="0"/>
    <n v="0"/>
    <x v="0"/>
    <x v="13"/>
    <b v="0"/>
    <n v="3"/>
    <n v="1"/>
    <x v="1"/>
    <n v="0.19700000000000001"/>
    <n v="0.44"/>
    <x v="11"/>
    <x v="3"/>
    <x v="47"/>
    <x v="99"/>
    <x v="0"/>
    <x v="0"/>
    <n v="0.22935326051082283"/>
    <n v="-0.25435329828790432"/>
    <n v="0.10399668008577614"/>
  </r>
  <r>
    <n v="268"/>
    <d v="2011-01-12T00:00:00"/>
    <x v="0"/>
    <n v="0"/>
    <x v="0"/>
    <x v="14"/>
    <b v="0"/>
    <n v="3"/>
    <n v="1"/>
    <x v="2"/>
    <n v="0.18179999999999999"/>
    <n v="0.47"/>
    <x v="9"/>
    <x v="3"/>
    <x v="100"/>
    <x v="40"/>
    <x v="1"/>
    <x v="0"/>
    <n v="0.22935326051082283"/>
    <n v="-0.25435329828790432"/>
    <n v="0.10399668008577614"/>
  </r>
  <r>
    <n v="269"/>
    <d v="2011-01-12T00:00:00"/>
    <x v="0"/>
    <n v="0"/>
    <x v="0"/>
    <x v="15"/>
    <b v="0"/>
    <n v="3"/>
    <n v="1"/>
    <x v="2"/>
    <n v="0.16669999999999999"/>
    <n v="0.47"/>
    <x v="12"/>
    <x v="5"/>
    <x v="41"/>
    <x v="99"/>
    <x v="1"/>
    <x v="0"/>
    <n v="0.22935326051082283"/>
    <n v="-0.25435329828790432"/>
    <n v="0.10399668008577614"/>
  </r>
  <r>
    <n v="270"/>
    <d v="2011-01-12T00:00:00"/>
    <x v="0"/>
    <n v="0"/>
    <x v="0"/>
    <x v="16"/>
    <b v="0"/>
    <n v="3"/>
    <n v="1"/>
    <x v="1"/>
    <n v="0.19700000000000001"/>
    <n v="0.44"/>
    <x v="9"/>
    <x v="2"/>
    <x v="36"/>
    <x v="118"/>
    <x v="1"/>
    <x v="0"/>
    <n v="0.22935326051082283"/>
    <n v="-0.25435329828790432"/>
    <n v="0.10399668008577614"/>
  </r>
  <r>
    <n v="271"/>
    <d v="2011-01-12T00:00:00"/>
    <x v="0"/>
    <n v="0"/>
    <x v="0"/>
    <x v="17"/>
    <b v="0"/>
    <n v="3"/>
    <n v="1"/>
    <x v="2"/>
    <n v="0.18179999999999999"/>
    <n v="0.47"/>
    <x v="11"/>
    <x v="3"/>
    <x v="112"/>
    <x v="119"/>
    <x v="1"/>
    <x v="0"/>
    <n v="0.22935326051082283"/>
    <n v="-0.25435329828790432"/>
    <n v="0.10399668008577614"/>
  </r>
  <r>
    <n v="272"/>
    <d v="2011-01-12T00:00:00"/>
    <x v="0"/>
    <n v="0"/>
    <x v="0"/>
    <x v="18"/>
    <b v="0"/>
    <n v="3"/>
    <n v="1"/>
    <x v="2"/>
    <n v="0.1515"/>
    <n v="0.47"/>
    <x v="18"/>
    <x v="4"/>
    <x v="113"/>
    <x v="120"/>
    <x v="1"/>
    <x v="0"/>
    <n v="0.22935326051082283"/>
    <n v="-0.25435329828790432"/>
    <n v="0.10399668008577614"/>
  </r>
  <r>
    <n v="273"/>
    <d v="2011-01-12T00:00:00"/>
    <x v="0"/>
    <n v="0"/>
    <x v="0"/>
    <x v="19"/>
    <b v="0"/>
    <n v="3"/>
    <n v="1"/>
    <x v="15"/>
    <n v="0.1515"/>
    <n v="0.47"/>
    <x v="12"/>
    <x v="5"/>
    <x v="70"/>
    <x v="56"/>
    <x v="0"/>
    <x v="0"/>
    <n v="0.22935326051082283"/>
    <n v="-0.25435329828790432"/>
    <n v="0.10399668008577614"/>
  </r>
  <r>
    <n v="274"/>
    <d v="2011-01-12T00:00:00"/>
    <x v="0"/>
    <n v="0"/>
    <x v="0"/>
    <x v="20"/>
    <b v="0"/>
    <n v="3"/>
    <n v="1"/>
    <x v="13"/>
    <n v="0.13639999999999999"/>
    <n v="0.5"/>
    <x v="9"/>
    <x v="4"/>
    <x v="25"/>
    <x v="10"/>
    <x v="0"/>
    <x v="0"/>
    <n v="0.22935326051082283"/>
    <n v="-0.25435329828790432"/>
    <n v="0.10399668008577614"/>
  </r>
  <r>
    <n v="275"/>
    <d v="2011-01-12T00:00:00"/>
    <x v="0"/>
    <n v="0"/>
    <x v="0"/>
    <x v="21"/>
    <b v="0"/>
    <n v="3"/>
    <n v="1"/>
    <x v="13"/>
    <n v="0.13639999999999999"/>
    <n v="0.55000000000000004"/>
    <x v="9"/>
    <x v="3"/>
    <x v="77"/>
    <x v="52"/>
    <x v="1"/>
    <x v="0"/>
    <n v="0.22935326051082283"/>
    <n v="-0.25435329828790432"/>
    <n v="0.10399668008577614"/>
  </r>
  <r>
    <n v="276"/>
    <d v="2011-01-12T00:00:00"/>
    <x v="0"/>
    <n v="0"/>
    <x v="0"/>
    <x v="22"/>
    <b v="0"/>
    <n v="3"/>
    <n v="1"/>
    <x v="13"/>
    <n v="0.1212"/>
    <n v="0.55000000000000004"/>
    <x v="10"/>
    <x v="5"/>
    <x v="1"/>
    <x v="63"/>
    <x v="1"/>
    <x v="0"/>
    <n v="0.22935326051082283"/>
    <n v="-0.25435329828790432"/>
    <n v="0.10399668008577614"/>
  </r>
  <r>
    <n v="277"/>
    <d v="2011-01-12T00:00:00"/>
    <x v="0"/>
    <n v="0"/>
    <x v="0"/>
    <x v="23"/>
    <b v="0"/>
    <n v="3"/>
    <n v="1"/>
    <x v="14"/>
    <n v="0.1061"/>
    <n v="0.59"/>
    <x v="12"/>
    <x v="5"/>
    <x v="23"/>
    <x v="25"/>
    <x v="1"/>
    <x v="0"/>
    <n v="0.22935326051082283"/>
    <n v="-0.25435329828790432"/>
    <n v="0.10399668008577614"/>
  </r>
  <r>
    <n v="278"/>
    <d v="2011-01-13T00:00:00"/>
    <x v="0"/>
    <n v="0"/>
    <x v="0"/>
    <x v="0"/>
    <b v="0"/>
    <n v="4"/>
    <n v="1"/>
    <x v="14"/>
    <n v="0.1212"/>
    <n v="0.59"/>
    <x v="3"/>
    <x v="5"/>
    <x v="8"/>
    <x v="85"/>
    <x v="1"/>
    <x v="0"/>
    <n v="0.22935326051082283"/>
    <n v="-0.25435329828790432"/>
    <n v="0.10399668008577614"/>
  </r>
  <r>
    <n v="279"/>
    <d v="2011-01-13T00:00:00"/>
    <x v="0"/>
    <n v="0"/>
    <x v="0"/>
    <x v="1"/>
    <b v="0"/>
    <n v="4"/>
    <n v="1"/>
    <x v="14"/>
    <n v="0.1212"/>
    <n v="0.5"/>
    <x v="3"/>
    <x v="3"/>
    <x v="6"/>
    <x v="5"/>
    <x v="1"/>
    <x v="0"/>
    <n v="0.22935326051082283"/>
    <n v="-0.25435329828790432"/>
    <n v="0.10399668008577614"/>
  </r>
  <r>
    <n v="280"/>
    <d v="2011-01-13T00:00:00"/>
    <x v="0"/>
    <n v="0"/>
    <x v="0"/>
    <x v="2"/>
    <b v="0"/>
    <n v="4"/>
    <n v="1"/>
    <x v="14"/>
    <n v="0.1212"/>
    <n v="0.5"/>
    <x v="11"/>
    <x v="3"/>
    <x v="6"/>
    <x v="5"/>
    <x v="0"/>
    <x v="0"/>
    <n v="0.22935326051082283"/>
    <n v="-0.25435329828790432"/>
    <n v="0.10399668008577614"/>
  </r>
  <r>
    <n v="281"/>
    <d v="2011-01-13T00:00:00"/>
    <x v="0"/>
    <n v="0"/>
    <x v="0"/>
    <x v="3"/>
    <b v="0"/>
    <n v="4"/>
    <n v="1"/>
    <x v="14"/>
    <n v="0.1212"/>
    <n v="0.5"/>
    <x v="9"/>
    <x v="3"/>
    <x v="35"/>
    <x v="6"/>
    <x v="0"/>
    <x v="0"/>
    <n v="0.22935326051082283"/>
    <n v="-0.25435329828790432"/>
    <n v="0.10399668008577614"/>
  </r>
  <r>
    <n v="282"/>
    <d v="2011-01-13T00:00:00"/>
    <x v="0"/>
    <n v="0"/>
    <x v="0"/>
    <x v="4"/>
    <b v="0"/>
    <n v="4"/>
    <n v="1"/>
    <x v="14"/>
    <n v="0.1212"/>
    <n v="0.5"/>
    <x v="2"/>
    <x v="3"/>
    <x v="22"/>
    <x v="48"/>
    <x v="1"/>
    <x v="0"/>
    <n v="0.22935326051082283"/>
    <n v="-0.25435329828790432"/>
    <n v="0.10399668008577614"/>
  </r>
  <r>
    <n v="283"/>
    <d v="2011-01-13T00:00:00"/>
    <x v="0"/>
    <n v="0"/>
    <x v="0"/>
    <x v="5"/>
    <b v="0"/>
    <n v="4"/>
    <n v="1"/>
    <x v="14"/>
    <n v="0.1212"/>
    <n v="0.5"/>
    <x v="4"/>
    <x v="3"/>
    <x v="35"/>
    <x v="6"/>
    <x v="1"/>
    <x v="0"/>
    <n v="0.22935326051082283"/>
    <n v="-0.25435329828790432"/>
    <n v="0.10399668008577614"/>
  </r>
  <r>
    <n v="284"/>
    <d v="2011-01-13T00:00:00"/>
    <x v="0"/>
    <n v="0"/>
    <x v="0"/>
    <x v="6"/>
    <b v="0"/>
    <n v="4"/>
    <n v="1"/>
    <x v="16"/>
    <n v="0.1515"/>
    <n v="0.54"/>
    <x v="7"/>
    <x v="3"/>
    <x v="95"/>
    <x v="20"/>
    <x v="1"/>
    <x v="0"/>
    <n v="0.22935326051082283"/>
    <n v="-0.25435329828790432"/>
    <n v="0.10399668008577614"/>
  </r>
  <r>
    <n v="285"/>
    <d v="2011-01-13T00:00:00"/>
    <x v="0"/>
    <n v="0"/>
    <x v="0"/>
    <x v="7"/>
    <b v="0"/>
    <n v="4"/>
    <n v="1"/>
    <x v="16"/>
    <n v="0.1515"/>
    <n v="0.54"/>
    <x v="7"/>
    <x v="3"/>
    <x v="109"/>
    <x v="44"/>
    <x v="1"/>
    <x v="0"/>
    <n v="0.22935326051082283"/>
    <n v="-0.25435329828790432"/>
    <n v="0.10399668008577614"/>
  </r>
  <r>
    <n v="286"/>
    <d v="2011-01-13T00:00:00"/>
    <x v="0"/>
    <n v="0"/>
    <x v="0"/>
    <x v="8"/>
    <b v="0"/>
    <n v="4"/>
    <n v="1"/>
    <x v="14"/>
    <n v="0.13639999999999999"/>
    <n v="0.5"/>
    <x v="5"/>
    <x v="2"/>
    <x v="114"/>
    <x v="121"/>
    <x v="1"/>
    <x v="0"/>
    <n v="0.22935326051082283"/>
    <n v="-0.25435329828790432"/>
    <n v="0.10399668008577614"/>
  </r>
  <r>
    <n v="287"/>
    <d v="2011-01-13T00:00:00"/>
    <x v="0"/>
    <n v="0"/>
    <x v="0"/>
    <x v="9"/>
    <b v="0"/>
    <n v="4"/>
    <n v="1"/>
    <x v="14"/>
    <n v="0.1212"/>
    <n v="0.5"/>
    <x v="9"/>
    <x v="4"/>
    <x v="115"/>
    <x v="119"/>
    <x v="0"/>
    <x v="0"/>
    <n v="0.22935326051082283"/>
    <n v="-0.25435329828790432"/>
    <n v="0.10399668008577614"/>
  </r>
  <r>
    <n v="288"/>
    <d v="2011-01-13T00:00:00"/>
    <x v="0"/>
    <n v="0"/>
    <x v="0"/>
    <x v="10"/>
    <b v="0"/>
    <n v="4"/>
    <n v="2"/>
    <x v="13"/>
    <n v="0.13639999999999999"/>
    <n v="0.5"/>
    <x v="11"/>
    <x v="4"/>
    <x v="49"/>
    <x v="103"/>
    <x v="0"/>
    <x v="1"/>
    <n v="0.22935326051082283"/>
    <n v="-0.25435329828790432"/>
    <n v="0.10399668008577614"/>
  </r>
  <r>
    <n v="289"/>
    <d v="2011-01-13T00:00:00"/>
    <x v="0"/>
    <n v="0"/>
    <x v="0"/>
    <x v="11"/>
    <b v="0"/>
    <n v="4"/>
    <n v="2"/>
    <x v="2"/>
    <n v="0.16669999999999999"/>
    <n v="0.44"/>
    <x v="10"/>
    <x v="17"/>
    <x v="39"/>
    <x v="18"/>
    <x v="1"/>
    <x v="1"/>
    <n v="0.22935326051082283"/>
    <n v="-0.25435329828790432"/>
    <n v="0.10399668008577614"/>
  </r>
  <r>
    <n v="290"/>
    <d v="2011-01-13T00:00:00"/>
    <x v="0"/>
    <n v="0"/>
    <x v="0"/>
    <x v="12"/>
    <b v="0"/>
    <n v="4"/>
    <n v="1"/>
    <x v="2"/>
    <n v="0.16669999999999999"/>
    <n v="0.44"/>
    <x v="12"/>
    <x v="0"/>
    <x v="47"/>
    <x v="46"/>
    <x v="1"/>
    <x v="0"/>
    <n v="0.22935326051082283"/>
    <n v="-0.25435329828790432"/>
    <n v="0.10399668008577614"/>
  </r>
  <r>
    <n v="291"/>
    <d v="2011-01-13T00:00:00"/>
    <x v="0"/>
    <n v="0"/>
    <x v="0"/>
    <x v="13"/>
    <b v="0"/>
    <n v="4"/>
    <n v="1"/>
    <x v="1"/>
    <n v="0.19700000000000001"/>
    <n v="0.41"/>
    <x v="10"/>
    <x v="4"/>
    <x v="38"/>
    <x v="56"/>
    <x v="1"/>
    <x v="0"/>
    <n v="0.22935326051082283"/>
    <n v="-0.25435329828790432"/>
    <n v="0.10399668008577614"/>
  </r>
  <r>
    <n v="292"/>
    <d v="2011-01-13T00:00:00"/>
    <x v="0"/>
    <n v="0"/>
    <x v="0"/>
    <x v="14"/>
    <b v="0"/>
    <n v="4"/>
    <n v="1"/>
    <x v="1"/>
    <n v="0.19700000000000001"/>
    <n v="0.41"/>
    <x v="13"/>
    <x v="0"/>
    <x v="87"/>
    <x v="51"/>
    <x v="1"/>
    <x v="0"/>
    <n v="0.22935326051082283"/>
    <n v="-0.25435329828790432"/>
    <n v="0.10399668008577614"/>
  </r>
  <r>
    <n v="293"/>
    <d v="2011-01-13T00:00:00"/>
    <x v="0"/>
    <n v="0"/>
    <x v="0"/>
    <x v="15"/>
    <b v="0"/>
    <n v="4"/>
    <n v="1"/>
    <x v="0"/>
    <n v="0.21210000000000001"/>
    <n v="0.38"/>
    <x v="4"/>
    <x v="2"/>
    <x v="11"/>
    <x v="122"/>
    <x v="1"/>
    <x v="0"/>
    <n v="0.22935326051082283"/>
    <n v="-0.25435329828790432"/>
    <n v="0.10399668008577614"/>
  </r>
  <r>
    <n v="294"/>
    <d v="2011-01-13T00:00:00"/>
    <x v="0"/>
    <n v="0"/>
    <x v="0"/>
    <x v="16"/>
    <b v="0"/>
    <n v="4"/>
    <n v="1"/>
    <x v="0"/>
    <n v="0.21210000000000001"/>
    <n v="0.38"/>
    <x v="11"/>
    <x v="4"/>
    <x v="83"/>
    <x v="53"/>
    <x v="0"/>
    <x v="0"/>
    <n v="0.22935326051082283"/>
    <n v="-0.25435329828790432"/>
    <n v="0.10399668008577614"/>
  </r>
  <r>
    <n v="295"/>
    <d v="2011-01-13T00:00:00"/>
    <x v="0"/>
    <n v="0"/>
    <x v="0"/>
    <x v="17"/>
    <b v="0"/>
    <n v="4"/>
    <n v="1"/>
    <x v="2"/>
    <n v="0.18179999999999999"/>
    <n v="0.4"/>
    <x v="3"/>
    <x v="17"/>
    <x v="81"/>
    <x v="123"/>
    <x v="0"/>
    <x v="0"/>
    <n v="0.22935326051082283"/>
    <n v="-0.25435329828790432"/>
    <n v="0.10399668008577614"/>
  </r>
  <r>
    <n v="296"/>
    <d v="2011-01-13T00:00:00"/>
    <x v="0"/>
    <n v="0"/>
    <x v="0"/>
    <x v="18"/>
    <b v="0"/>
    <n v="4"/>
    <n v="1"/>
    <x v="2"/>
    <n v="0.18179999999999999"/>
    <n v="0.4"/>
    <x v="9"/>
    <x v="0"/>
    <x v="116"/>
    <x v="124"/>
    <x v="1"/>
    <x v="0"/>
    <n v="0.22935326051082283"/>
    <n v="-0.25435329828790432"/>
    <n v="0.10399668008577614"/>
  </r>
  <r>
    <n v="297"/>
    <d v="2011-01-13T00:00:00"/>
    <x v="0"/>
    <n v="0"/>
    <x v="0"/>
    <x v="19"/>
    <b v="0"/>
    <n v="4"/>
    <n v="1"/>
    <x v="13"/>
    <n v="0.1515"/>
    <n v="0.47"/>
    <x v="2"/>
    <x v="5"/>
    <x v="52"/>
    <x v="111"/>
    <x v="1"/>
    <x v="0"/>
    <n v="0.22935326051082283"/>
    <n v="-0.25435329828790432"/>
    <n v="0.10399668008577614"/>
  </r>
  <r>
    <n v="298"/>
    <d v="2011-01-13T00:00:00"/>
    <x v="0"/>
    <n v="0"/>
    <x v="0"/>
    <x v="20"/>
    <b v="0"/>
    <n v="4"/>
    <n v="1"/>
    <x v="13"/>
    <n v="0.1515"/>
    <n v="0.47"/>
    <x v="6"/>
    <x v="3"/>
    <x v="27"/>
    <x v="37"/>
    <x v="1"/>
    <x v="0"/>
    <n v="0.22935326051082283"/>
    <n v="-0.25435329828790432"/>
    <n v="0.10399668008577614"/>
  </r>
  <r>
    <n v="299"/>
    <d v="2011-01-13T00:00:00"/>
    <x v="0"/>
    <n v="0"/>
    <x v="0"/>
    <x v="21"/>
    <b v="0"/>
    <n v="4"/>
    <n v="1"/>
    <x v="14"/>
    <n v="0.1212"/>
    <n v="0.46"/>
    <x v="4"/>
    <x v="3"/>
    <x v="71"/>
    <x v="1"/>
    <x v="1"/>
    <x v="0"/>
    <n v="0.22935326051082283"/>
    <n v="-0.25435329828790432"/>
    <n v="0.10399668008577614"/>
  </r>
  <r>
    <n v="300"/>
    <d v="2011-01-13T00:00:00"/>
    <x v="0"/>
    <n v="0"/>
    <x v="0"/>
    <x v="22"/>
    <b v="0"/>
    <n v="4"/>
    <n v="1"/>
    <x v="14"/>
    <n v="0.1212"/>
    <n v="0.46"/>
    <x v="9"/>
    <x v="3"/>
    <x v="10"/>
    <x v="33"/>
    <x v="1"/>
    <x v="0"/>
    <n v="0.22935326051082283"/>
    <n v="-0.25435329828790432"/>
    <n v="0.10399668008577614"/>
  </r>
  <r>
    <n v="301"/>
    <d v="2011-01-13T00:00:00"/>
    <x v="0"/>
    <n v="0"/>
    <x v="0"/>
    <x v="23"/>
    <b v="0"/>
    <n v="4"/>
    <n v="1"/>
    <x v="16"/>
    <n v="0.13639999999999999"/>
    <n v="0.5"/>
    <x v="5"/>
    <x v="5"/>
    <x v="88"/>
    <x v="93"/>
    <x v="0"/>
    <x v="0"/>
    <n v="0.22935326051082283"/>
    <n v="-0.25435329828790432"/>
    <n v="0.10399668008577614"/>
  </r>
  <r>
    <n v="302"/>
    <d v="2011-01-14T00:00:00"/>
    <x v="0"/>
    <n v="0"/>
    <x v="0"/>
    <x v="0"/>
    <b v="0"/>
    <n v="5"/>
    <n v="1"/>
    <x v="16"/>
    <n v="0.13639999999999999"/>
    <n v="0.5"/>
    <x v="5"/>
    <x v="3"/>
    <x v="88"/>
    <x v="8"/>
    <x v="0"/>
    <x v="0"/>
    <n v="0.22935326051082283"/>
    <n v="-0.25435329828790432"/>
    <n v="0.10399668008577614"/>
  </r>
  <r>
    <n v="303"/>
    <d v="2011-01-14T00:00:00"/>
    <x v="0"/>
    <n v="0"/>
    <x v="0"/>
    <x v="1"/>
    <b v="0"/>
    <n v="5"/>
    <n v="1"/>
    <x v="18"/>
    <n v="0.1212"/>
    <n v="0.54"/>
    <x v="8"/>
    <x v="3"/>
    <x v="34"/>
    <x v="36"/>
    <x v="1"/>
    <x v="0"/>
    <n v="0.22935326051082283"/>
    <n v="-0.25435329828790432"/>
    <n v="0.10399668008577614"/>
  </r>
  <r>
    <n v="304"/>
    <d v="2011-01-14T00:00:00"/>
    <x v="0"/>
    <n v="0"/>
    <x v="0"/>
    <x v="2"/>
    <b v="0"/>
    <n v="5"/>
    <n v="1"/>
    <x v="18"/>
    <n v="0.1212"/>
    <n v="0.54"/>
    <x v="7"/>
    <x v="3"/>
    <x v="4"/>
    <x v="4"/>
    <x v="1"/>
    <x v="0"/>
    <n v="0.22935326051082283"/>
    <n v="-0.25435329828790432"/>
    <n v="0.10399668008577614"/>
  </r>
  <r>
    <n v="305"/>
    <d v="2011-01-14T00:00:00"/>
    <x v="0"/>
    <n v="0"/>
    <x v="0"/>
    <x v="3"/>
    <b v="0"/>
    <n v="5"/>
    <n v="1"/>
    <x v="18"/>
    <n v="0.13639999999999999"/>
    <n v="0.54"/>
    <x v="14"/>
    <x v="3"/>
    <x v="4"/>
    <x v="4"/>
    <x v="1"/>
    <x v="0"/>
    <n v="0.22935326051082283"/>
    <n v="-0.25435329828790432"/>
    <n v="0.10399668008577614"/>
  </r>
  <r>
    <n v="306"/>
    <d v="2011-01-14T00:00:00"/>
    <x v="0"/>
    <n v="0"/>
    <x v="0"/>
    <x v="5"/>
    <b v="0"/>
    <n v="5"/>
    <n v="1"/>
    <x v="18"/>
    <n v="0.13639999999999999"/>
    <n v="0.54"/>
    <x v="1"/>
    <x v="3"/>
    <x v="21"/>
    <x v="7"/>
    <x v="1"/>
    <x v="0"/>
    <n v="0.22935326051082283"/>
    <n v="-0.25435329828790432"/>
    <n v="0.10399668008577614"/>
  </r>
  <r>
    <n v="307"/>
    <d v="2011-01-14T00:00:00"/>
    <x v="0"/>
    <n v="0"/>
    <x v="0"/>
    <x v="6"/>
    <b v="0"/>
    <n v="5"/>
    <n v="1"/>
    <x v="18"/>
    <n v="0.18179999999999999"/>
    <n v="0.54"/>
    <x v="0"/>
    <x v="3"/>
    <x v="19"/>
    <x v="22"/>
    <x v="1"/>
    <x v="0"/>
    <n v="0.22935326051082283"/>
    <n v="-0.25435329828790432"/>
    <n v="0.10399668008577614"/>
  </r>
  <r>
    <n v="308"/>
    <d v="2011-01-14T00:00:00"/>
    <x v="0"/>
    <n v="0"/>
    <x v="0"/>
    <x v="7"/>
    <b v="0"/>
    <n v="5"/>
    <n v="1"/>
    <x v="18"/>
    <n v="0.1212"/>
    <n v="0.74"/>
    <x v="8"/>
    <x v="3"/>
    <x v="14"/>
    <x v="27"/>
    <x v="0"/>
    <x v="0"/>
    <n v="0.22935326051082283"/>
    <n v="-0.25435329828790432"/>
    <n v="0.10399668008577614"/>
  </r>
  <r>
    <n v="309"/>
    <d v="2011-01-14T00:00:00"/>
    <x v="0"/>
    <n v="0"/>
    <x v="0"/>
    <x v="8"/>
    <b v="0"/>
    <n v="5"/>
    <n v="1"/>
    <x v="16"/>
    <n v="0.16669999999999999"/>
    <n v="0.68"/>
    <x v="0"/>
    <x v="4"/>
    <x v="117"/>
    <x v="125"/>
    <x v="0"/>
    <x v="0"/>
    <n v="0.22935326051082283"/>
    <n v="-0.25435329828790432"/>
    <n v="0.10399668008577614"/>
  </r>
  <r>
    <n v="310"/>
    <d v="2011-01-14T00:00:00"/>
    <x v="0"/>
    <n v="0"/>
    <x v="0"/>
    <x v="9"/>
    <b v="0"/>
    <n v="5"/>
    <n v="1"/>
    <x v="14"/>
    <n v="0.1515"/>
    <n v="0.69"/>
    <x v="7"/>
    <x v="3"/>
    <x v="118"/>
    <x v="126"/>
    <x v="1"/>
    <x v="0"/>
    <n v="0.22935326051082283"/>
    <n v="-0.25435329828790432"/>
    <n v="0.10399668008577614"/>
  </r>
  <r>
    <n v="311"/>
    <d v="2011-01-14T00:00:00"/>
    <x v="0"/>
    <n v="0"/>
    <x v="0"/>
    <x v="10"/>
    <b v="0"/>
    <n v="5"/>
    <n v="1"/>
    <x v="15"/>
    <n v="0.18179999999999999"/>
    <n v="0.55000000000000004"/>
    <x v="5"/>
    <x v="17"/>
    <x v="71"/>
    <x v="40"/>
    <x v="1"/>
    <x v="0"/>
    <n v="0.22935326051082283"/>
    <n v="-0.25435329828790432"/>
    <n v="0.10399668008577614"/>
  </r>
  <r>
    <n v="312"/>
    <d v="2011-01-14T00:00:00"/>
    <x v="0"/>
    <n v="0"/>
    <x v="0"/>
    <x v="11"/>
    <b v="0"/>
    <n v="5"/>
    <n v="1"/>
    <x v="15"/>
    <n v="0.16669999999999999"/>
    <n v="0.51"/>
    <x v="3"/>
    <x v="15"/>
    <x v="12"/>
    <x v="26"/>
    <x v="1"/>
    <x v="0"/>
    <n v="0.22935326051082283"/>
    <n v="-0.25435329828790432"/>
    <n v="0.10399668008577614"/>
  </r>
  <r>
    <n v="313"/>
    <d v="2011-01-14T00:00:00"/>
    <x v="0"/>
    <n v="0"/>
    <x v="0"/>
    <x v="12"/>
    <b v="0"/>
    <n v="5"/>
    <n v="1"/>
    <x v="2"/>
    <n v="0.19700000000000001"/>
    <n v="0.44"/>
    <x v="2"/>
    <x v="4"/>
    <x v="79"/>
    <x v="42"/>
    <x v="1"/>
    <x v="0"/>
    <n v="0.22935326051082283"/>
    <n v="-0.25435329828790432"/>
    <n v="0.10399668008577614"/>
  </r>
  <r>
    <n v="314"/>
    <d v="2011-01-14T00:00:00"/>
    <x v="0"/>
    <n v="0"/>
    <x v="0"/>
    <x v="13"/>
    <b v="0"/>
    <n v="5"/>
    <n v="1"/>
    <x v="1"/>
    <n v="0.19700000000000001"/>
    <n v="0.37"/>
    <x v="13"/>
    <x v="17"/>
    <x v="26"/>
    <x v="43"/>
    <x v="1"/>
    <x v="0"/>
    <n v="0.22935326051082283"/>
    <n v="-0.25435329828790432"/>
    <n v="0.10399668008577614"/>
  </r>
  <r>
    <n v="315"/>
    <d v="2011-01-14T00:00:00"/>
    <x v="0"/>
    <n v="0"/>
    <x v="0"/>
    <x v="14"/>
    <b v="0"/>
    <n v="5"/>
    <n v="1"/>
    <x v="1"/>
    <n v="0.21210000000000001"/>
    <n v="0.41"/>
    <x v="3"/>
    <x v="2"/>
    <x v="79"/>
    <x v="37"/>
    <x v="0"/>
    <x v="0"/>
    <n v="0.22935326051082283"/>
    <n v="-0.25435329828790432"/>
    <n v="0.10399668008577614"/>
  </r>
  <r>
    <n v="316"/>
    <d v="2011-01-14T00:00:00"/>
    <x v="0"/>
    <n v="0"/>
    <x v="0"/>
    <x v="15"/>
    <b v="0"/>
    <n v="5"/>
    <n v="1"/>
    <x v="0"/>
    <n v="0.2424"/>
    <n v="0.38"/>
    <x v="8"/>
    <x v="14"/>
    <x v="79"/>
    <x v="118"/>
    <x v="0"/>
    <x v="0"/>
    <n v="0.22935326051082283"/>
    <n v="-0.25435329828790432"/>
    <n v="0.10399668008577614"/>
  </r>
  <r>
    <n v="317"/>
    <d v="2011-01-14T00:00:00"/>
    <x v="0"/>
    <n v="0"/>
    <x v="0"/>
    <x v="16"/>
    <b v="0"/>
    <n v="5"/>
    <n v="1"/>
    <x v="1"/>
    <n v="0.2424"/>
    <n v="0.41"/>
    <x v="14"/>
    <x v="0"/>
    <x v="61"/>
    <x v="127"/>
    <x v="1"/>
    <x v="0"/>
    <n v="0.22935326051082283"/>
    <n v="-0.25435329828790432"/>
    <n v="0.10399668008577614"/>
  </r>
  <r>
    <n v="318"/>
    <d v="2011-01-14T00:00:00"/>
    <x v="0"/>
    <n v="0"/>
    <x v="0"/>
    <x v="17"/>
    <b v="0"/>
    <n v="5"/>
    <n v="1"/>
    <x v="1"/>
    <n v="0.2273"/>
    <n v="0.41"/>
    <x v="8"/>
    <x v="17"/>
    <x v="119"/>
    <x v="128"/>
    <x v="1"/>
    <x v="0"/>
    <n v="0.22935326051082283"/>
    <n v="-0.25435329828790432"/>
    <n v="0.10399668008577614"/>
  </r>
  <r>
    <n v="319"/>
    <d v="2011-01-14T00:00:00"/>
    <x v="0"/>
    <n v="0"/>
    <x v="0"/>
    <x v="18"/>
    <b v="0"/>
    <n v="5"/>
    <n v="1"/>
    <x v="2"/>
    <n v="0.2576"/>
    <n v="0.47"/>
    <x v="0"/>
    <x v="2"/>
    <x v="120"/>
    <x v="119"/>
    <x v="1"/>
    <x v="0"/>
    <n v="0.22935326051082283"/>
    <n v="-0.25435329828790432"/>
    <n v="0.10399668008577614"/>
  </r>
  <r>
    <n v="320"/>
    <d v="2011-01-14T00:00:00"/>
    <x v="0"/>
    <n v="0"/>
    <x v="0"/>
    <x v="19"/>
    <b v="0"/>
    <n v="5"/>
    <n v="1"/>
    <x v="13"/>
    <n v="0.19700000000000001"/>
    <n v="0.59"/>
    <x v="1"/>
    <x v="0"/>
    <x v="121"/>
    <x v="101"/>
    <x v="1"/>
    <x v="0"/>
    <n v="0.22935326051082283"/>
    <n v="-0.25435329828790432"/>
    <n v="0.10399668008577614"/>
  </r>
  <r>
    <n v="321"/>
    <d v="2011-01-14T00:00:00"/>
    <x v="0"/>
    <n v="0"/>
    <x v="0"/>
    <x v="20"/>
    <b v="0"/>
    <n v="5"/>
    <n v="1"/>
    <x v="15"/>
    <n v="0.2424"/>
    <n v="0.59"/>
    <x v="0"/>
    <x v="3"/>
    <x v="56"/>
    <x v="118"/>
    <x v="1"/>
    <x v="0"/>
    <n v="0.22935326051082283"/>
    <n v="-0.25435329828790432"/>
    <n v="0.10399668008577614"/>
  </r>
  <r>
    <n v="322"/>
    <d v="2011-01-14T00:00:00"/>
    <x v="0"/>
    <n v="0"/>
    <x v="0"/>
    <x v="21"/>
    <b v="0"/>
    <n v="5"/>
    <n v="1"/>
    <x v="13"/>
    <n v="0.2273"/>
    <n v="0.69"/>
    <x v="0"/>
    <x v="17"/>
    <x v="41"/>
    <x v="46"/>
    <x v="0"/>
    <x v="0"/>
    <n v="0.22935326051082283"/>
    <n v="-0.25435329828790432"/>
    <n v="0.10399668008577614"/>
  </r>
  <r>
    <n v="323"/>
    <d v="2011-01-14T00:00:00"/>
    <x v="0"/>
    <n v="0"/>
    <x v="0"/>
    <x v="22"/>
    <b v="0"/>
    <n v="5"/>
    <n v="2"/>
    <x v="13"/>
    <n v="0.2273"/>
    <n v="0.69"/>
    <x v="0"/>
    <x v="4"/>
    <x v="60"/>
    <x v="9"/>
    <x v="0"/>
    <x v="1"/>
    <n v="0.22935326051082283"/>
    <n v="-0.25435329828790432"/>
    <n v="0.10399668008577614"/>
  </r>
  <r>
    <n v="324"/>
    <d v="2011-01-14T00:00:00"/>
    <x v="0"/>
    <n v="0"/>
    <x v="0"/>
    <x v="23"/>
    <b v="0"/>
    <n v="5"/>
    <n v="2"/>
    <x v="15"/>
    <n v="0.2424"/>
    <n v="0.55000000000000004"/>
    <x v="0"/>
    <x v="5"/>
    <x v="16"/>
    <x v="110"/>
    <x v="1"/>
    <x v="1"/>
    <n v="0.22935326051082283"/>
    <n v="-0.25435329828790432"/>
    <n v="0.10399668008577614"/>
  </r>
  <r>
    <n v="325"/>
    <d v="2011-01-15T00:00:00"/>
    <x v="0"/>
    <n v="0"/>
    <x v="0"/>
    <x v="0"/>
    <b v="0"/>
    <n v="6"/>
    <n v="1"/>
    <x v="15"/>
    <n v="0.2424"/>
    <n v="0.55000000000000004"/>
    <x v="0"/>
    <x v="0"/>
    <x v="18"/>
    <x v="20"/>
    <x v="1"/>
    <x v="0"/>
    <n v="0.22935326051082283"/>
    <n v="-0.25435329828790432"/>
    <n v="0.10399668008577614"/>
  </r>
  <r>
    <n v="326"/>
    <d v="2011-01-15T00:00:00"/>
    <x v="0"/>
    <n v="0"/>
    <x v="0"/>
    <x v="1"/>
    <b v="0"/>
    <n v="6"/>
    <n v="2"/>
    <x v="13"/>
    <n v="0.19700000000000001"/>
    <n v="0.59"/>
    <x v="1"/>
    <x v="4"/>
    <x v="72"/>
    <x v="25"/>
    <x v="1"/>
    <x v="1"/>
    <n v="0.22935326051082283"/>
    <n v="-0.25435329828790432"/>
    <n v="0.10399668008577614"/>
  </r>
  <r>
    <n v="327"/>
    <d v="2011-01-15T00:00:00"/>
    <x v="0"/>
    <n v="0"/>
    <x v="0"/>
    <x v="2"/>
    <b v="0"/>
    <n v="6"/>
    <n v="2"/>
    <x v="13"/>
    <n v="0.19700000000000001"/>
    <n v="0.59"/>
    <x v="1"/>
    <x v="3"/>
    <x v="98"/>
    <x v="47"/>
    <x v="1"/>
    <x v="1"/>
    <n v="0.22935326051082283"/>
    <n v="-0.25435329828790432"/>
    <n v="0.10399668008577614"/>
  </r>
  <r>
    <n v="328"/>
    <d v="2011-01-15T00:00:00"/>
    <x v="0"/>
    <n v="0"/>
    <x v="0"/>
    <x v="3"/>
    <b v="0"/>
    <n v="6"/>
    <n v="2"/>
    <x v="13"/>
    <n v="0.2273"/>
    <n v="0.59"/>
    <x v="0"/>
    <x v="5"/>
    <x v="7"/>
    <x v="7"/>
    <x v="1"/>
    <x v="1"/>
    <n v="0.22935326051082283"/>
    <n v="-0.25435329828790432"/>
    <n v="0.10399668008577614"/>
  </r>
  <r>
    <n v="329"/>
    <d v="2011-01-15T00:00:00"/>
    <x v="0"/>
    <n v="0"/>
    <x v="0"/>
    <x v="4"/>
    <b v="0"/>
    <n v="6"/>
    <n v="2"/>
    <x v="13"/>
    <n v="0.2273"/>
    <n v="0.59"/>
    <x v="0"/>
    <x v="3"/>
    <x v="34"/>
    <x v="36"/>
    <x v="0"/>
    <x v="1"/>
    <n v="0.22935326051082283"/>
    <n v="-0.25435329828790432"/>
    <n v="0.10399668008577614"/>
  </r>
  <r>
    <n v="330"/>
    <d v="2011-01-15T00:00:00"/>
    <x v="0"/>
    <n v="0"/>
    <x v="0"/>
    <x v="5"/>
    <b v="0"/>
    <n v="6"/>
    <n v="1"/>
    <x v="13"/>
    <n v="0.2273"/>
    <n v="0.59"/>
    <x v="0"/>
    <x v="3"/>
    <x v="4"/>
    <x v="4"/>
    <x v="0"/>
    <x v="0"/>
    <n v="0.22935326051082283"/>
    <n v="-0.25435329828790432"/>
    <n v="0.10399668008577614"/>
  </r>
  <r>
    <n v="331"/>
    <d v="2011-01-15T00:00:00"/>
    <x v="0"/>
    <n v="0"/>
    <x v="0"/>
    <x v="6"/>
    <b v="0"/>
    <n v="6"/>
    <n v="1"/>
    <x v="14"/>
    <n v="0.16669999999999999"/>
    <n v="0.63"/>
    <x v="14"/>
    <x v="5"/>
    <x v="6"/>
    <x v="6"/>
    <x v="1"/>
    <x v="0"/>
    <n v="0.22935326051082283"/>
    <n v="-0.25435329828790432"/>
    <n v="0.10399668008577614"/>
  </r>
  <r>
    <n v="332"/>
    <d v="2011-01-15T00:00:00"/>
    <x v="0"/>
    <n v="0"/>
    <x v="0"/>
    <x v="7"/>
    <b v="0"/>
    <n v="6"/>
    <n v="1"/>
    <x v="14"/>
    <n v="0.21210000000000001"/>
    <n v="0.63"/>
    <x v="0"/>
    <x v="5"/>
    <x v="33"/>
    <x v="98"/>
    <x v="1"/>
    <x v="0"/>
    <n v="0.22935326051082283"/>
    <n v="-0.25435329828790432"/>
    <n v="0.10399668008577614"/>
  </r>
  <r>
    <n v="333"/>
    <d v="2011-01-15T00:00:00"/>
    <x v="0"/>
    <n v="0"/>
    <x v="0"/>
    <x v="8"/>
    <b v="0"/>
    <n v="6"/>
    <n v="1"/>
    <x v="14"/>
    <n v="0.1515"/>
    <n v="0.63"/>
    <x v="7"/>
    <x v="5"/>
    <x v="97"/>
    <x v="84"/>
    <x v="1"/>
    <x v="0"/>
    <n v="0.22935326051082283"/>
    <n v="-0.25435329828790432"/>
    <n v="0.10399668008577614"/>
  </r>
  <r>
    <n v="334"/>
    <d v="2011-01-15T00:00:00"/>
    <x v="0"/>
    <n v="0"/>
    <x v="0"/>
    <x v="9"/>
    <b v="0"/>
    <n v="6"/>
    <n v="1"/>
    <x v="13"/>
    <n v="0.18179999999999999"/>
    <n v="0.64"/>
    <x v="7"/>
    <x v="4"/>
    <x v="17"/>
    <x v="63"/>
    <x v="1"/>
    <x v="0"/>
    <n v="0.22935326051082283"/>
    <n v="-0.25435329828790432"/>
    <n v="0.10399668008577614"/>
  </r>
  <r>
    <n v="335"/>
    <d v="2011-01-15T00:00:00"/>
    <x v="0"/>
    <n v="0"/>
    <x v="0"/>
    <x v="10"/>
    <b v="0"/>
    <n v="6"/>
    <n v="1"/>
    <x v="15"/>
    <n v="0.19700000000000001"/>
    <n v="0.59"/>
    <x v="8"/>
    <x v="4"/>
    <x v="77"/>
    <x v="29"/>
    <x v="1"/>
    <x v="0"/>
    <n v="0.22935326051082283"/>
    <n v="-0.25435329828790432"/>
    <n v="0.10399668008577614"/>
  </r>
  <r>
    <n v="336"/>
    <d v="2011-01-15T00:00:00"/>
    <x v="0"/>
    <n v="0"/>
    <x v="0"/>
    <x v="11"/>
    <b v="0"/>
    <n v="6"/>
    <n v="1"/>
    <x v="2"/>
    <n v="0.19700000000000001"/>
    <n v="0.55000000000000004"/>
    <x v="6"/>
    <x v="25"/>
    <x v="25"/>
    <x v="44"/>
    <x v="0"/>
    <x v="0"/>
    <n v="0.22935326051082283"/>
    <n v="-0.25435329828790432"/>
    <n v="0.10399668008577614"/>
  </r>
  <r>
    <n v="337"/>
    <d v="2011-01-15T00:00:00"/>
    <x v="0"/>
    <n v="0"/>
    <x v="0"/>
    <x v="12"/>
    <b v="0"/>
    <n v="6"/>
    <n v="1"/>
    <x v="0"/>
    <n v="0.2273"/>
    <n v="0.48"/>
    <x v="6"/>
    <x v="13"/>
    <x v="64"/>
    <x v="70"/>
    <x v="0"/>
    <x v="0"/>
    <n v="0.22935326051082283"/>
    <n v="-0.25435329828790432"/>
    <n v="0.10399668008577614"/>
  </r>
  <r>
    <n v="338"/>
    <d v="2011-01-15T00:00:00"/>
    <x v="0"/>
    <n v="0"/>
    <x v="0"/>
    <x v="13"/>
    <b v="0"/>
    <n v="6"/>
    <n v="1"/>
    <x v="17"/>
    <n v="0.2576"/>
    <n v="0.38"/>
    <x v="4"/>
    <x v="27"/>
    <x v="122"/>
    <x v="129"/>
    <x v="1"/>
    <x v="0"/>
    <n v="0.22935326051082283"/>
    <n v="-0.25435329828790432"/>
    <n v="0.10399668008577614"/>
  </r>
  <r>
    <n v="339"/>
    <d v="2011-01-15T00:00:00"/>
    <x v="0"/>
    <n v="0"/>
    <x v="0"/>
    <x v="14"/>
    <b v="0"/>
    <n v="6"/>
    <n v="1"/>
    <x v="11"/>
    <n v="0.28789999999999999"/>
    <n v="0.39"/>
    <x v="3"/>
    <x v="7"/>
    <x v="50"/>
    <x v="130"/>
    <x v="1"/>
    <x v="0"/>
    <n v="0.22935326051082283"/>
    <n v="-0.25435329828790432"/>
    <n v="0.10399668008577614"/>
  </r>
  <r>
    <n v="340"/>
    <d v="2011-01-15T00:00:00"/>
    <x v="0"/>
    <n v="0"/>
    <x v="0"/>
    <x v="15"/>
    <b v="0"/>
    <n v="6"/>
    <n v="2"/>
    <x v="3"/>
    <n v="0.31819999999999998"/>
    <n v="0.36"/>
    <x v="5"/>
    <x v="27"/>
    <x v="123"/>
    <x v="131"/>
    <x v="1"/>
    <x v="1"/>
    <n v="0.22935326051082283"/>
    <n v="-0.25435329828790432"/>
    <n v="0.10399668008577614"/>
  </r>
  <r>
    <n v="341"/>
    <d v="2011-01-15T00:00:00"/>
    <x v="0"/>
    <n v="0"/>
    <x v="0"/>
    <x v="16"/>
    <b v="0"/>
    <n v="6"/>
    <n v="2"/>
    <x v="10"/>
    <n v="0.33329999999999999"/>
    <n v="0.34"/>
    <x v="5"/>
    <x v="28"/>
    <x v="73"/>
    <x v="116"/>
    <x v="1"/>
    <x v="1"/>
    <n v="0.22935326051082283"/>
    <n v="-0.25435329828790432"/>
    <n v="0.10399668008577614"/>
  </r>
  <r>
    <n v="342"/>
    <d v="2011-01-15T00:00:00"/>
    <x v="0"/>
    <n v="0"/>
    <x v="0"/>
    <x v="17"/>
    <b v="0"/>
    <n v="6"/>
    <n v="2"/>
    <x v="3"/>
    <n v="0.30299999999999999"/>
    <n v="0.36"/>
    <x v="3"/>
    <x v="8"/>
    <x v="25"/>
    <x v="56"/>
    <x v="1"/>
    <x v="1"/>
    <n v="0.22935326051082283"/>
    <n v="-0.25435329828790432"/>
    <n v="0.10399668008577614"/>
  </r>
  <r>
    <n v="343"/>
    <d v="2011-01-15T00:00:00"/>
    <x v="0"/>
    <n v="0"/>
    <x v="0"/>
    <x v="18"/>
    <b v="0"/>
    <n v="6"/>
    <n v="2"/>
    <x v="11"/>
    <n v="0.28789999999999999"/>
    <n v="0.45"/>
    <x v="2"/>
    <x v="13"/>
    <x v="94"/>
    <x v="11"/>
    <x v="0"/>
    <x v="1"/>
    <n v="0.22935326051082283"/>
    <n v="-0.25435329828790432"/>
    <n v="0.10399668008577614"/>
  </r>
  <r>
    <n v="344"/>
    <d v="2011-01-15T00:00:00"/>
    <x v="0"/>
    <n v="0"/>
    <x v="0"/>
    <x v="19"/>
    <b v="0"/>
    <n v="6"/>
    <n v="2"/>
    <x v="3"/>
    <n v="0.30299999999999999"/>
    <n v="0.39"/>
    <x v="2"/>
    <x v="24"/>
    <x v="91"/>
    <x v="30"/>
    <x v="0"/>
    <x v="1"/>
    <n v="0.22935326051082283"/>
    <n v="-0.25435329828790432"/>
    <n v="0.10399668008577614"/>
  </r>
  <r>
    <n v="345"/>
    <d v="2011-01-15T00:00:00"/>
    <x v="0"/>
    <n v="0"/>
    <x v="0"/>
    <x v="20"/>
    <b v="0"/>
    <n v="6"/>
    <n v="2"/>
    <x v="3"/>
    <n v="0.30299999999999999"/>
    <n v="0.39"/>
    <x v="2"/>
    <x v="15"/>
    <x v="96"/>
    <x v="102"/>
    <x v="1"/>
    <x v="1"/>
    <n v="0.22935326051082283"/>
    <n v="-0.25435329828790432"/>
    <n v="0.10399668008577614"/>
  </r>
  <r>
    <n v="346"/>
    <d v="2011-01-15T00:00:00"/>
    <x v="0"/>
    <n v="0"/>
    <x v="0"/>
    <x v="21"/>
    <b v="0"/>
    <n v="6"/>
    <n v="2"/>
    <x v="3"/>
    <n v="0.30299999999999999"/>
    <n v="0.39"/>
    <x v="6"/>
    <x v="15"/>
    <x v="82"/>
    <x v="52"/>
    <x v="1"/>
    <x v="1"/>
    <n v="0.22935326051082283"/>
    <n v="-0.25435329828790432"/>
    <n v="0.10399668008577614"/>
  </r>
  <r>
    <n v="347"/>
    <d v="2011-01-15T00:00:00"/>
    <x v="0"/>
    <n v="0"/>
    <x v="0"/>
    <x v="22"/>
    <b v="0"/>
    <n v="6"/>
    <n v="2"/>
    <x v="11"/>
    <n v="0.31819999999999998"/>
    <n v="0.42"/>
    <x v="14"/>
    <x v="3"/>
    <x v="16"/>
    <x v="132"/>
    <x v="1"/>
    <x v="1"/>
    <n v="0.22935326051082283"/>
    <n v="-0.25435329828790432"/>
    <n v="0.10399668008577614"/>
  </r>
  <r>
    <n v="348"/>
    <d v="2011-01-15T00:00:00"/>
    <x v="0"/>
    <n v="0"/>
    <x v="0"/>
    <x v="23"/>
    <b v="0"/>
    <n v="6"/>
    <n v="1"/>
    <x v="11"/>
    <n v="0.28789999999999999"/>
    <n v="0.45"/>
    <x v="3"/>
    <x v="2"/>
    <x v="87"/>
    <x v="40"/>
    <x v="1"/>
    <x v="0"/>
    <n v="0.22935326051082283"/>
    <n v="-0.25435329828790432"/>
    <n v="0.10399668008577614"/>
  </r>
  <r>
    <n v="349"/>
    <d v="2011-01-16T00:00:00"/>
    <x v="0"/>
    <n v="0"/>
    <x v="0"/>
    <x v="0"/>
    <b v="0"/>
    <n v="0"/>
    <n v="1"/>
    <x v="12"/>
    <n v="0.30299999999999999"/>
    <n v="0.56000000000000005"/>
    <x v="0"/>
    <x v="15"/>
    <x v="39"/>
    <x v="21"/>
    <x v="1"/>
    <x v="0"/>
    <n v="0.22935326051082283"/>
    <n v="-0.25435329828790432"/>
    <n v="0.10399668008577614"/>
  </r>
  <r>
    <n v="350"/>
    <d v="2011-01-16T00:00:00"/>
    <x v="0"/>
    <n v="0"/>
    <x v="0"/>
    <x v="1"/>
    <b v="0"/>
    <n v="0"/>
    <n v="1"/>
    <x v="12"/>
    <n v="0.2727"/>
    <n v="0.56000000000000005"/>
    <x v="7"/>
    <x v="17"/>
    <x v="23"/>
    <x v="84"/>
    <x v="0"/>
    <x v="0"/>
    <n v="0.22935326051082283"/>
    <n v="-0.25435329828790432"/>
    <n v="0.10399668008577614"/>
  </r>
  <r>
    <n v="351"/>
    <d v="2011-01-16T00:00:00"/>
    <x v="0"/>
    <n v="0"/>
    <x v="0"/>
    <x v="2"/>
    <b v="0"/>
    <n v="0"/>
    <n v="1"/>
    <x v="12"/>
    <n v="0.28789999999999999"/>
    <n v="0.56000000000000005"/>
    <x v="1"/>
    <x v="0"/>
    <x v="0"/>
    <x v="0"/>
    <x v="0"/>
    <x v="0"/>
    <n v="0.22935326051082283"/>
    <n v="-0.25435329828790432"/>
    <n v="0.10399668008577614"/>
  </r>
  <r>
    <n v="352"/>
    <d v="2011-01-16T00:00:00"/>
    <x v="0"/>
    <n v="0"/>
    <x v="0"/>
    <x v="3"/>
    <b v="0"/>
    <n v="0"/>
    <n v="1"/>
    <x v="1"/>
    <n v="0.2727"/>
    <n v="0.69"/>
    <x v="0"/>
    <x v="14"/>
    <x v="8"/>
    <x v="93"/>
    <x v="1"/>
    <x v="0"/>
    <n v="0.22935326051082283"/>
    <n v="-0.25435329828790432"/>
    <n v="0.10399668008577614"/>
  </r>
  <r>
    <n v="353"/>
    <d v="2011-01-16T00:00:00"/>
    <x v="0"/>
    <n v="0"/>
    <x v="0"/>
    <x v="4"/>
    <b v="0"/>
    <n v="0"/>
    <n v="1"/>
    <x v="12"/>
    <n v="0.2576"/>
    <n v="0.56000000000000005"/>
    <x v="8"/>
    <x v="3"/>
    <x v="4"/>
    <x v="4"/>
    <x v="1"/>
    <x v="0"/>
    <n v="0.22935326051082283"/>
    <n v="-0.25435329828790432"/>
    <n v="0.10399668008577614"/>
  </r>
  <r>
    <n v="354"/>
    <d v="2011-01-16T00:00:00"/>
    <x v="0"/>
    <n v="0"/>
    <x v="0"/>
    <x v="5"/>
    <b v="0"/>
    <n v="0"/>
    <n v="2"/>
    <x v="12"/>
    <n v="0.2576"/>
    <n v="0.56000000000000005"/>
    <x v="8"/>
    <x v="5"/>
    <x v="4"/>
    <x v="5"/>
    <x v="1"/>
    <x v="1"/>
    <n v="0.22935326051082283"/>
    <n v="-0.25435329828790432"/>
    <n v="0.10399668008577614"/>
  </r>
  <r>
    <n v="355"/>
    <d v="2011-01-16T00:00:00"/>
    <x v="0"/>
    <n v="0"/>
    <x v="0"/>
    <x v="6"/>
    <b v="0"/>
    <n v="0"/>
    <n v="2"/>
    <x v="12"/>
    <n v="0.2576"/>
    <n v="0.56000000000000005"/>
    <x v="8"/>
    <x v="3"/>
    <x v="4"/>
    <x v="4"/>
    <x v="1"/>
    <x v="1"/>
    <n v="0.22935326051082283"/>
    <n v="-0.25435329828790432"/>
    <n v="0.10399668008577614"/>
  </r>
  <r>
    <n v="356"/>
    <d v="2011-01-16T00:00:00"/>
    <x v="0"/>
    <n v="0"/>
    <x v="0"/>
    <x v="7"/>
    <b v="0"/>
    <n v="0"/>
    <n v="2"/>
    <x v="0"/>
    <n v="0.21210000000000001"/>
    <n v="0.56000000000000005"/>
    <x v="4"/>
    <x v="3"/>
    <x v="35"/>
    <x v="6"/>
    <x v="1"/>
    <x v="1"/>
    <n v="0.22935326051082283"/>
    <n v="-0.25435329828790432"/>
    <n v="0.10399668008577614"/>
  </r>
  <r>
    <n v="357"/>
    <d v="2011-01-16T00:00:00"/>
    <x v="0"/>
    <n v="0"/>
    <x v="0"/>
    <x v="8"/>
    <b v="0"/>
    <n v="0"/>
    <n v="1"/>
    <x v="1"/>
    <n v="0.21210000000000001"/>
    <n v="0.55000000000000004"/>
    <x v="3"/>
    <x v="3"/>
    <x v="72"/>
    <x v="109"/>
    <x v="0"/>
    <x v="0"/>
    <n v="0.22935326051082283"/>
    <n v="-0.25435329828790432"/>
    <n v="0.10399668008577614"/>
  </r>
  <r>
    <n v="358"/>
    <d v="2011-01-16T00:00:00"/>
    <x v="0"/>
    <n v="0"/>
    <x v="0"/>
    <x v="9"/>
    <b v="0"/>
    <n v="0"/>
    <n v="1"/>
    <x v="1"/>
    <n v="0.21210000000000001"/>
    <n v="0.51"/>
    <x v="2"/>
    <x v="0"/>
    <x v="31"/>
    <x v="2"/>
    <x v="0"/>
    <x v="0"/>
    <n v="0.22935326051082283"/>
    <n v="-0.25435329828790432"/>
    <n v="0.10399668008577614"/>
  </r>
  <r>
    <n v="359"/>
    <d v="2011-01-16T00:00:00"/>
    <x v="0"/>
    <n v="0"/>
    <x v="0"/>
    <x v="10"/>
    <b v="0"/>
    <n v="0"/>
    <n v="1"/>
    <x v="1"/>
    <n v="0.21210000000000001"/>
    <n v="0.51"/>
    <x v="3"/>
    <x v="1"/>
    <x v="13"/>
    <x v="67"/>
    <x v="1"/>
    <x v="0"/>
    <n v="0.22935326051082283"/>
    <n v="-0.25435329828790432"/>
    <n v="0.10399668008577614"/>
  </r>
  <r>
    <n v="360"/>
    <d v="2011-01-16T00:00:00"/>
    <x v="0"/>
    <n v="0"/>
    <x v="0"/>
    <x v="11"/>
    <b v="0"/>
    <n v="0"/>
    <n v="1"/>
    <x v="0"/>
    <n v="0.2273"/>
    <n v="0.44"/>
    <x v="2"/>
    <x v="29"/>
    <x v="14"/>
    <x v="15"/>
    <x v="1"/>
    <x v="0"/>
    <n v="0.22935326051082283"/>
    <n v="-0.25435329828790432"/>
    <n v="0.10399668008577614"/>
  </r>
  <r>
    <n v="361"/>
    <d v="2011-01-16T00:00:00"/>
    <x v="0"/>
    <n v="0"/>
    <x v="0"/>
    <x v="12"/>
    <b v="0"/>
    <n v="0"/>
    <n v="1"/>
    <x v="0"/>
    <n v="0.21210000000000001"/>
    <n v="0.41"/>
    <x v="3"/>
    <x v="8"/>
    <x v="102"/>
    <x v="133"/>
    <x v="1"/>
    <x v="0"/>
    <n v="0.22935326051082283"/>
    <n v="-0.25435329828790432"/>
    <n v="0.10399668008577614"/>
  </r>
  <r>
    <n v="362"/>
    <d v="2011-01-16T00:00:00"/>
    <x v="0"/>
    <n v="0"/>
    <x v="0"/>
    <x v="13"/>
    <b v="0"/>
    <n v="0"/>
    <n v="1"/>
    <x v="12"/>
    <n v="0.2273"/>
    <n v="0.35"/>
    <x v="4"/>
    <x v="29"/>
    <x v="73"/>
    <x v="130"/>
    <x v="1"/>
    <x v="0"/>
    <n v="0.22935326051082283"/>
    <n v="-0.25435329828790432"/>
    <n v="0.10399668008577614"/>
  </r>
  <r>
    <n v="363"/>
    <d v="2011-01-16T00:00:00"/>
    <x v="0"/>
    <n v="0"/>
    <x v="0"/>
    <x v="14"/>
    <b v="0"/>
    <n v="0"/>
    <n v="1"/>
    <x v="17"/>
    <n v="0.2727"/>
    <n v="0.36"/>
    <x v="2"/>
    <x v="30"/>
    <x v="94"/>
    <x v="134"/>
    <x v="1"/>
    <x v="0"/>
    <n v="0.22935326051082283"/>
    <n v="-0.25435329828790432"/>
    <n v="0.10399668008577614"/>
  </r>
  <r>
    <n v="364"/>
    <d v="2011-01-16T00:00:00"/>
    <x v="0"/>
    <n v="0"/>
    <x v="0"/>
    <x v="15"/>
    <b v="0"/>
    <n v="0"/>
    <n v="1"/>
    <x v="12"/>
    <n v="0.2424"/>
    <n v="0.38"/>
    <x v="2"/>
    <x v="10"/>
    <x v="78"/>
    <x v="135"/>
    <x v="0"/>
    <x v="0"/>
    <n v="0.22935326051082283"/>
    <n v="-0.25435329828790432"/>
    <n v="0.10399668008577614"/>
  </r>
  <r>
    <n v="365"/>
    <d v="2011-01-16T00:00:00"/>
    <x v="0"/>
    <n v="0"/>
    <x v="0"/>
    <x v="16"/>
    <b v="0"/>
    <n v="0"/>
    <n v="1"/>
    <x v="0"/>
    <n v="0.2273"/>
    <n v="0.38"/>
    <x v="6"/>
    <x v="30"/>
    <x v="99"/>
    <x v="111"/>
    <x v="0"/>
    <x v="0"/>
    <n v="0.22935326051082283"/>
    <n v="-0.25435329828790432"/>
    <n v="0.10399668008577614"/>
  </r>
  <r>
    <n v="366"/>
    <d v="2011-01-16T00:00:00"/>
    <x v="0"/>
    <n v="0"/>
    <x v="0"/>
    <x v="17"/>
    <b v="0"/>
    <n v="0"/>
    <n v="1"/>
    <x v="1"/>
    <n v="0.21210000000000001"/>
    <n v="0.37"/>
    <x v="2"/>
    <x v="29"/>
    <x v="70"/>
    <x v="136"/>
    <x v="1"/>
    <x v="0"/>
    <n v="0.22935326051082283"/>
    <n v="-0.25435329828790432"/>
    <n v="0.10399668008577614"/>
  </r>
  <r>
    <n v="367"/>
    <d v="2011-01-16T00:00:00"/>
    <x v="0"/>
    <n v="0"/>
    <x v="0"/>
    <x v="18"/>
    <b v="0"/>
    <n v="0"/>
    <n v="1"/>
    <x v="2"/>
    <n v="0.21210000000000001"/>
    <n v="0.4"/>
    <x v="8"/>
    <x v="16"/>
    <x v="90"/>
    <x v="16"/>
    <x v="1"/>
    <x v="0"/>
    <n v="0.22935326051082283"/>
    <n v="-0.25435329828790432"/>
    <n v="0.10399668008577614"/>
  </r>
  <r>
    <n v="368"/>
    <d v="2011-01-16T00:00:00"/>
    <x v="0"/>
    <n v="0"/>
    <x v="0"/>
    <x v="19"/>
    <b v="0"/>
    <n v="0"/>
    <n v="1"/>
    <x v="15"/>
    <n v="0.19700000000000001"/>
    <n v="0.47"/>
    <x v="7"/>
    <x v="24"/>
    <x v="12"/>
    <x v="42"/>
    <x v="1"/>
    <x v="0"/>
    <n v="0.22935326051082283"/>
    <n v="-0.25435329828790432"/>
    <n v="0.10399668008577614"/>
  </r>
  <r>
    <n v="369"/>
    <d v="2011-01-16T00:00:00"/>
    <x v="0"/>
    <n v="0"/>
    <x v="0"/>
    <x v="20"/>
    <b v="0"/>
    <n v="0"/>
    <n v="1"/>
    <x v="15"/>
    <n v="0.19700000000000001"/>
    <n v="0.47"/>
    <x v="8"/>
    <x v="18"/>
    <x v="54"/>
    <x v="52"/>
    <x v="1"/>
    <x v="0"/>
    <n v="0.22935326051082283"/>
    <n v="-0.25435329828790432"/>
    <n v="0.10399668008577614"/>
  </r>
  <r>
    <n v="370"/>
    <d v="2011-01-16T00:00:00"/>
    <x v="0"/>
    <n v="0"/>
    <x v="0"/>
    <x v="21"/>
    <b v="0"/>
    <n v="0"/>
    <n v="1"/>
    <x v="15"/>
    <n v="0.19700000000000001"/>
    <n v="0.51"/>
    <x v="8"/>
    <x v="15"/>
    <x v="97"/>
    <x v="20"/>
    <x v="1"/>
    <x v="0"/>
    <n v="0.22935326051082283"/>
    <n v="-0.25435329828790432"/>
    <n v="0.10399668008577614"/>
  </r>
  <r>
    <n v="371"/>
    <d v="2011-01-16T00:00:00"/>
    <x v="0"/>
    <n v="0"/>
    <x v="0"/>
    <x v="22"/>
    <b v="0"/>
    <n v="0"/>
    <n v="2"/>
    <x v="2"/>
    <n v="0.21210000000000001"/>
    <n v="0.49"/>
    <x v="7"/>
    <x v="4"/>
    <x v="23"/>
    <x v="137"/>
    <x v="0"/>
    <x v="1"/>
    <n v="0.22935326051082283"/>
    <n v="-0.25435329828790432"/>
    <n v="0.10399668008577614"/>
  </r>
  <r>
    <n v="372"/>
    <d v="2011-01-16T00:00:00"/>
    <x v="0"/>
    <n v="0"/>
    <x v="0"/>
    <x v="23"/>
    <b v="0"/>
    <n v="0"/>
    <n v="2"/>
    <x v="2"/>
    <n v="0.2273"/>
    <n v="0.4"/>
    <x v="14"/>
    <x v="3"/>
    <x v="72"/>
    <x v="109"/>
    <x v="0"/>
    <x v="1"/>
    <n v="0.22935326051082283"/>
    <n v="-0.25435329828790432"/>
    <n v="0.10399668008577614"/>
  </r>
  <r>
    <n v="373"/>
    <d v="2011-01-17T00:00:00"/>
    <x v="0"/>
    <n v="0"/>
    <x v="0"/>
    <x v="0"/>
    <b v="1"/>
    <n v="1"/>
    <n v="2"/>
    <x v="2"/>
    <n v="0.19700000000000001"/>
    <n v="0.47"/>
    <x v="6"/>
    <x v="5"/>
    <x v="20"/>
    <x v="22"/>
    <x v="1"/>
    <x v="1"/>
    <n v="0.22935326051082283"/>
    <n v="-0.25435329828790432"/>
    <n v="0.10399668008577614"/>
  </r>
  <r>
    <n v="374"/>
    <d v="2011-01-17T00:00:00"/>
    <x v="0"/>
    <n v="0"/>
    <x v="0"/>
    <x v="1"/>
    <b v="1"/>
    <n v="1"/>
    <n v="2"/>
    <x v="2"/>
    <n v="0.19700000000000001"/>
    <n v="0.44"/>
    <x v="5"/>
    <x v="5"/>
    <x v="89"/>
    <x v="0"/>
    <x v="1"/>
    <x v="1"/>
    <n v="0.22935326051082283"/>
    <n v="-0.25435329828790432"/>
    <n v="0.10399668008577614"/>
  </r>
  <r>
    <n v="375"/>
    <d v="2011-01-17T00:00:00"/>
    <x v="0"/>
    <n v="0"/>
    <x v="0"/>
    <x v="2"/>
    <b v="1"/>
    <n v="1"/>
    <n v="2"/>
    <x v="15"/>
    <n v="0.16669999999999999"/>
    <n v="0.43"/>
    <x v="2"/>
    <x v="3"/>
    <x v="21"/>
    <x v="7"/>
    <x v="1"/>
    <x v="1"/>
    <n v="0.22935326051082283"/>
    <n v="-0.25435329828790432"/>
    <n v="0.10399668008577614"/>
  </r>
  <r>
    <n v="376"/>
    <d v="2011-01-17T00:00:00"/>
    <x v="0"/>
    <n v="0"/>
    <x v="0"/>
    <x v="3"/>
    <b v="1"/>
    <n v="1"/>
    <n v="2"/>
    <x v="15"/>
    <n v="0.18179999999999999"/>
    <n v="0.43"/>
    <x v="5"/>
    <x v="3"/>
    <x v="6"/>
    <x v="5"/>
    <x v="1"/>
    <x v="1"/>
    <n v="0.22935326051082283"/>
    <n v="-0.25435329828790432"/>
    <n v="0.10399668008577614"/>
  </r>
  <r>
    <n v="377"/>
    <d v="2011-01-17T00:00:00"/>
    <x v="0"/>
    <n v="0"/>
    <x v="0"/>
    <x v="4"/>
    <b v="1"/>
    <n v="1"/>
    <n v="2"/>
    <x v="15"/>
    <n v="0.19700000000000001"/>
    <n v="0.43"/>
    <x v="7"/>
    <x v="5"/>
    <x v="6"/>
    <x v="6"/>
    <x v="1"/>
    <x v="1"/>
    <n v="0.22935326051082283"/>
    <n v="-0.25435329828790432"/>
    <n v="0.10399668008577614"/>
  </r>
  <r>
    <n v="378"/>
    <d v="2011-01-17T00:00:00"/>
    <x v="0"/>
    <n v="0"/>
    <x v="0"/>
    <x v="5"/>
    <b v="1"/>
    <n v="1"/>
    <n v="2"/>
    <x v="15"/>
    <n v="0.19700000000000001"/>
    <n v="0.43"/>
    <x v="8"/>
    <x v="3"/>
    <x v="4"/>
    <x v="4"/>
    <x v="0"/>
    <x v="1"/>
    <n v="0.22935326051082283"/>
    <n v="-0.25435329828790432"/>
    <n v="0.10399668008577614"/>
  </r>
  <r>
    <n v="379"/>
    <d v="2011-01-17T00:00:00"/>
    <x v="0"/>
    <n v="0"/>
    <x v="0"/>
    <x v="6"/>
    <b v="1"/>
    <n v="1"/>
    <n v="2"/>
    <x v="15"/>
    <n v="0.18179999999999999"/>
    <n v="0.43"/>
    <x v="5"/>
    <x v="3"/>
    <x v="34"/>
    <x v="36"/>
    <x v="0"/>
    <x v="1"/>
    <n v="0.22935326051082283"/>
    <n v="-0.25435329828790432"/>
    <n v="0.10399668008577614"/>
  </r>
  <r>
    <n v="380"/>
    <d v="2011-01-17T00:00:00"/>
    <x v="0"/>
    <n v="0"/>
    <x v="0"/>
    <x v="7"/>
    <b v="1"/>
    <n v="1"/>
    <n v="2"/>
    <x v="13"/>
    <n v="0.18179999999999999"/>
    <n v="0.5"/>
    <x v="7"/>
    <x v="17"/>
    <x v="33"/>
    <x v="3"/>
    <x v="1"/>
    <x v="1"/>
    <n v="0.22935326051082283"/>
    <n v="-0.25435329828790432"/>
    <n v="0.10399668008577614"/>
  </r>
  <r>
    <n v="381"/>
    <d v="2011-01-17T00:00:00"/>
    <x v="0"/>
    <n v="0"/>
    <x v="0"/>
    <x v="8"/>
    <b v="1"/>
    <n v="1"/>
    <n v="2"/>
    <x v="13"/>
    <n v="0.1515"/>
    <n v="0.47"/>
    <x v="6"/>
    <x v="0"/>
    <x v="10"/>
    <x v="63"/>
    <x v="1"/>
    <x v="1"/>
    <n v="0.22935326051082283"/>
    <n v="-0.25435329828790432"/>
    <n v="0.10399668008577614"/>
  </r>
  <r>
    <n v="382"/>
    <d v="2011-01-17T00:00:00"/>
    <x v="0"/>
    <n v="0"/>
    <x v="0"/>
    <x v="9"/>
    <b v="1"/>
    <n v="1"/>
    <n v="2"/>
    <x v="13"/>
    <n v="0.1515"/>
    <n v="0.47"/>
    <x v="6"/>
    <x v="1"/>
    <x v="87"/>
    <x v="105"/>
    <x v="1"/>
    <x v="1"/>
    <n v="0.22935326051082283"/>
    <n v="-0.25435329828790432"/>
    <n v="0.10399668008577614"/>
  </r>
  <r>
    <n v="383"/>
    <d v="2011-01-17T00:00:00"/>
    <x v="0"/>
    <n v="0"/>
    <x v="0"/>
    <x v="10"/>
    <b v="1"/>
    <n v="1"/>
    <n v="2"/>
    <x v="13"/>
    <n v="0.1515"/>
    <n v="0.5"/>
    <x v="2"/>
    <x v="18"/>
    <x v="54"/>
    <x v="52"/>
    <x v="1"/>
    <x v="1"/>
    <n v="0.22935326051082283"/>
    <n v="-0.25435329828790432"/>
    <n v="0.10399668008577614"/>
  </r>
  <r>
    <n v="384"/>
    <d v="2011-01-17T00:00:00"/>
    <x v="0"/>
    <n v="0"/>
    <x v="0"/>
    <x v="11"/>
    <b v="1"/>
    <n v="1"/>
    <n v="2"/>
    <x v="13"/>
    <n v="0.1515"/>
    <n v="0.55000000000000004"/>
    <x v="5"/>
    <x v="14"/>
    <x v="11"/>
    <x v="37"/>
    <x v="1"/>
    <x v="1"/>
    <n v="0.22935326051082283"/>
    <n v="-0.25435329828790432"/>
    <n v="0.10399668008577614"/>
  </r>
  <r>
    <n v="385"/>
    <d v="2011-01-17T00:00:00"/>
    <x v="0"/>
    <n v="0"/>
    <x v="0"/>
    <x v="12"/>
    <b v="1"/>
    <n v="1"/>
    <n v="2"/>
    <x v="15"/>
    <n v="0.19700000000000001"/>
    <n v="0.47"/>
    <x v="7"/>
    <x v="22"/>
    <x v="14"/>
    <x v="138"/>
    <x v="0"/>
    <x v="1"/>
    <n v="0.22935326051082283"/>
    <n v="-0.25435329828790432"/>
    <n v="0.10399668008577614"/>
  </r>
  <r>
    <n v="386"/>
    <d v="2011-01-17T00:00:00"/>
    <x v="0"/>
    <n v="0"/>
    <x v="0"/>
    <x v="13"/>
    <b v="1"/>
    <n v="1"/>
    <n v="2"/>
    <x v="15"/>
    <n v="0.19700000000000001"/>
    <n v="0.47"/>
    <x v="7"/>
    <x v="23"/>
    <x v="122"/>
    <x v="15"/>
    <x v="0"/>
    <x v="1"/>
    <n v="0.22935326051082283"/>
    <n v="-0.25435329828790432"/>
    <n v="0.10399668008577614"/>
  </r>
  <r>
    <n v="387"/>
    <d v="2011-01-17T00:00:00"/>
    <x v="0"/>
    <n v="0"/>
    <x v="0"/>
    <x v="14"/>
    <b v="1"/>
    <n v="1"/>
    <n v="2"/>
    <x v="15"/>
    <n v="0.21210000000000001"/>
    <n v="0.43"/>
    <x v="14"/>
    <x v="6"/>
    <x v="64"/>
    <x v="80"/>
    <x v="1"/>
    <x v="1"/>
    <n v="0.22935326051082283"/>
    <n v="-0.25435329828790432"/>
    <n v="0.10399668008577614"/>
  </r>
  <r>
    <n v="388"/>
    <d v="2011-01-17T00:00:00"/>
    <x v="0"/>
    <n v="0"/>
    <x v="0"/>
    <x v="15"/>
    <b v="1"/>
    <n v="1"/>
    <n v="2"/>
    <x v="2"/>
    <n v="0.21210000000000001"/>
    <n v="0.47"/>
    <x v="8"/>
    <x v="27"/>
    <x v="109"/>
    <x v="15"/>
    <x v="1"/>
    <x v="1"/>
    <n v="0.22935326051082283"/>
    <n v="-0.25435329828790432"/>
    <n v="0.10399668008577614"/>
  </r>
  <r>
    <n v="389"/>
    <d v="2011-01-17T00:00:00"/>
    <x v="0"/>
    <n v="0"/>
    <x v="0"/>
    <x v="16"/>
    <b v="1"/>
    <n v="1"/>
    <n v="2"/>
    <x v="2"/>
    <n v="0.21210000000000001"/>
    <n v="0.47"/>
    <x v="8"/>
    <x v="15"/>
    <x v="83"/>
    <x v="100"/>
    <x v="1"/>
    <x v="1"/>
    <n v="0.22935326051082283"/>
    <n v="-0.25435329828790432"/>
    <n v="0.10399668008577614"/>
  </r>
  <r>
    <n v="390"/>
    <d v="2011-01-17T00:00:00"/>
    <x v="0"/>
    <n v="0"/>
    <x v="0"/>
    <x v="17"/>
    <b v="1"/>
    <n v="1"/>
    <n v="1"/>
    <x v="2"/>
    <n v="0.19700000000000001"/>
    <n v="0.51"/>
    <x v="5"/>
    <x v="17"/>
    <x v="28"/>
    <x v="68"/>
    <x v="1"/>
    <x v="0"/>
    <n v="0.22935326051082283"/>
    <n v="-0.25435329828790432"/>
    <n v="0.10399668008577614"/>
  </r>
  <r>
    <n v="391"/>
    <d v="2011-01-17T00:00:00"/>
    <x v="0"/>
    <n v="0"/>
    <x v="0"/>
    <x v="18"/>
    <b v="1"/>
    <n v="1"/>
    <n v="2"/>
    <x v="15"/>
    <n v="0.16669999999999999"/>
    <n v="0.55000000000000004"/>
    <x v="2"/>
    <x v="18"/>
    <x v="66"/>
    <x v="101"/>
    <x v="1"/>
    <x v="1"/>
    <n v="0.22935326051082283"/>
    <n v="-0.25435329828790432"/>
    <n v="0.10399668008577614"/>
  </r>
  <r>
    <n v="392"/>
    <d v="2011-01-17T00:00:00"/>
    <x v="0"/>
    <n v="0"/>
    <x v="0"/>
    <x v="19"/>
    <b v="1"/>
    <n v="1"/>
    <n v="3"/>
    <x v="15"/>
    <n v="0.18179999999999999"/>
    <n v="0.59"/>
    <x v="5"/>
    <x v="4"/>
    <x v="29"/>
    <x v="122"/>
    <x v="0"/>
    <x v="2"/>
    <n v="0.22935326051082283"/>
    <n v="-0.25435329828790432"/>
    <n v="0.10399668008577614"/>
  </r>
  <r>
    <n v="393"/>
    <d v="2011-01-17T00:00:00"/>
    <x v="0"/>
    <n v="0"/>
    <x v="0"/>
    <x v="20"/>
    <b v="1"/>
    <n v="1"/>
    <n v="3"/>
    <x v="13"/>
    <n v="0.1515"/>
    <n v="0.8"/>
    <x v="5"/>
    <x v="17"/>
    <x v="31"/>
    <x v="63"/>
    <x v="0"/>
    <x v="2"/>
    <n v="0.22935326051082283"/>
    <n v="-0.25435329828790432"/>
    <n v="0.10399668008577614"/>
  </r>
  <r>
    <n v="394"/>
    <d v="2011-01-17T00:00:00"/>
    <x v="0"/>
    <n v="0"/>
    <x v="0"/>
    <x v="21"/>
    <b v="1"/>
    <n v="1"/>
    <n v="3"/>
    <x v="13"/>
    <n v="0.1515"/>
    <n v="0.8"/>
    <x v="5"/>
    <x v="0"/>
    <x v="9"/>
    <x v="110"/>
    <x v="1"/>
    <x v="2"/>
    <n v="0.22935326051082283"/>
    <n v="-0.25435329828790432"/>
    <n v="0.10399668008577614"/>
  </r>
  <r>
    <n v="395"/>
    <d v="2011-01-17T00:00:00"/>
    <x v="0"/>
    <n v="0"/>
    <x v="0"/>
    <x v="22"/>
    <b v="1"/>
    <n v="1"/>
    <n v="3"/>
    <x v="14"/>
    <n v="0.1212"/>
    <n v="0.93"/>
    <x v="2"/>
    <x v="3"/>
    <x v="0"/>
    <x v="3"/>
    <x v="1"/>
    <x v="2"/>
    <n v="0.22935326051082283"/>
    <n v="-0.25435329828790432"/>
    <n v="0.10399668008577614"/>
  </r>
  <r>
    <n v="396"/>
    <d v="2011-01-17T00:00:00"/>
    <x v="0"/>
    <n v="0"/>
    <x v="0"/>
    <x v="23"/>
    <b v="1"/>
    <n v="1"/>
    <n v="3"/>
    <x v="13"/>
    <n v="0.13639999999999999"/>
    <n v="0.86"/>
    <x v="3"/>
    <x v="5"/>
    <x v="35"/>
    <x v="48"/>
    <x v="1"/>
    <x v="2"/>
    <n v="0.22935326051082283"/>
    <n v="-0.25435329828790432"/>
    <n v="0.10399668008577614"/>
  </r>
  <r>
    <n v="397"/>
    <d v="2011-01-18T00:00:00"/>
    <x v="0"/>
    <n v="0"/>
    <x v="0"/>
    <x v="12"/>
    <b v="0"/>
    <n v="2"/>
    <n v="2"/>
    <x v="2"/>
    <n v="0.18179999999999999"/>
    <n v="0.86"/>
    <x v="9"/>
    <x v="3"/>
    <x v="35"/>
    <x v="6"/>
    <x v="1"/>
    <x v="1"/>
    <n v="0.22935326051082283"/>
    <n v="-0.25435329828790432"/>
    <n v="0.10399668008577614"/>
  </r>
  <r>
    <n v="398"/>
    <d v="2011-01-18T00:00:00"/>
    <x v="0"/>
    <n v="0"/>
    <x v="0"/>
    <x v="13"/>
    <b v="0"/>
    <n v="2"/>
    <n v="2"/>
    <x v="2"/>
    <n v="0.19700000000000001"/>
    <n v="0.86"/>
    <x v="6"/>
    <x v="3"/>
    <x v="97"/>
    <x v="34"/>
    <x v="1"/>
    <x v="1"/>
    <n v="0.22935326051082283"/>
    <n v="-0.25435329828790432"/>
    <n v="0.10399668008577614"/>
  </r>
  <r>
    <n v="399"/>
    <d v="2011-01-18T00:00:00"/>
    <x v="0"/>
    <n v="0"/>
    <x v="0"/>
    <x v="14"/>
    <b v="0"/>
    <n v="2"/>
    <n v="2"/>
    <x v="1"/>
    <n v="0.2273"/>
    <n v="0.8"/>
    <x v="8"/>
    <x v="4"/>
    <x v="16"/>
    <x v="20"/>
    <x v="0"/>
    <x v="1"/>
    <n v="0.22935326051082283"/>
    <n v="-0.25435329828790432"/>
    <n v="0.10399668008577614"/>
  </r>
  <r>
    <n v="400"/>
    <d v="2011-01-18T00:00:00"/>
    <x v="0"/>
    <n v="0"/>
    <x v="0"/>
    <x v="15"/>
    <b v="0"/>
    <n v="2"/>
    <n v="2"/>
    <x v="1"/>
    <n v="0.2273"/>
    <n v="0.87"/>
    <x v="8"/>
    <x v="0"/>
    <x v="1"/>
    <x v="17"/>
    <x v="0"/>
    <x v="1"/>
    <n v="0.22935326051082283"/>
    <n v="-0.25435329828790432"/>
    <n v="0.10399668008577614"/>
  </r>
  <r>
    <n v="401"/>
    <d v="2011-01-18T00:00:00"/>
    <x v="0"/>
    <n v="0"/>
    <x v="0"/>
    <x v="16"/>
    <b v="0"/>
    <n v="2"/>
    <n v="2"/>
    <x v="1"/>
    <n v="0.2273"/>
    <n v="0.87"/>
    <x v="5"/>
    <x v="3"/>
    <x v="124"/>
    <x v="42"/>
    <x v="1"/>
    <x v="1"/>
    <n v="0.22935326051082283"/>
    <n v="-0.25435329828790432"/>
    <n v="0.10399668008577614"/>
  </r>
  <r>
    <n v="402"/>
    <d v="2011-01-18T00:00:00"/>
    <x v="0"/>
    <n v="0"/>
    <x v="0"/>
    <x v="17"/>
    <b v="0"/>
    <n v="2"/>
    <n v="2"/>
    <x v="1"/>
    <n v="0.2273"/>
    <n v="0.82"/>
    <x v="5"/>
    <x v="5"/>
    <x v="125"/>
    <x v="139"/>
    <x v="1"/>
    <x v="1"/>
    <n v="0.22935326051082283"/>
    <n v="-0.25435329828790432"/>
    <n v="0.10399668008577614"/>
  </r>
  <r>
    <n v="403"/>
    <d v="2011-01-18T00:00:00"/>
    <x v="0"/>
    <n v="0"/>
    <x v="0"/>
    <x v="18"/>
    <b v="0"/>
    <n v="2"/>
    <n v="2"/>
    <x v="1"/>
    <n v="0.2273"/>
    <n v="0.8"/>
    <x v="8"/>
    <x v="5"/>
    <x v="126"/>
    <x v="140"/>
    <x v="1"/>
    <x v="1"/>
    <n v="0.22935326051082283"/>
    <n v="-0.25435329828790432"/>
    <n v="0.10399668008577614"/>
  </r>
  <r>
    <n v="404"/>
    <d v="2011-01-18T00:00:00"/>
    <x v="0"/>
    <n v="0"/>
    <x v="0"/>
    <x v="19"/>
    <b v="0"/>
    <n v="2"/>
    <n v="2"/>
    <x v="1"/>
    <n v="0.2273"/>
    <n v="0.8"/>
    <x v="7"/>
    <x v="5"/>
    <x v="52"/>
    <x v="111"/>
    <x v="1"/>
    <x v="1"/>
    <n v="0.22935326051082283"/>
    <n v="-0.25435329828790432"/>
    <n v="0.10399668008577614"/>
  </r>
  <r>
    <n v="405"/>
    <d v="2011-01-18T00:00:00"/>
    <x v="0"/>
    <n v="0"/>
    <x v="0"/>
    <x v="20"/>
    <b v="0"/>
    <n v="2"/>
    <n v="2"/>
    <x v="1"/>
    <n v="0.2727"/>
    <n v="0.87"/>
    <x v="0"/>
    <x v="3"/>
    <x v="93"/>
    <x v="56"/>
    <x v="1"/>
    <x v="1"/>
    <n v="0.22935326051082283"/>
    <n v="-0.25435329828790432"/>
    <n v="0.10399668008577614"/>
  </r>
  <r>
    <n v="406"/>
    <d v="2011-01-18T00:00:00"/>
    <x v="0"/>
    <n v="0"/>
    <x v="0"/>
    <x v="21"/>
    <b v="0"/>
    <n v="2"/>
    <n v="2"/>
    <x v="1"/>
    <n v="0.2424"/>
    <n v="0.93"/>
    <x v="14"/>
    <x v="3"/>
    <x v="40"/>
    <x v="102"/>
    <x v="0"/>
    <x v="1"/>
    <n v="0.22935326051082283"/>
    <n v="-0.25435329828790432"/>
    <n v="0.10399668008577614"/>
  </r>
  <r>
    <n v="407"/>
    <d v="2011-01-18T00:00:00"/>
    <x v="0"/>
    <n v="0"/>
    <x v="0"/>
    <x v="22"/>
    <b v="0"/>
    <n v="2"/>
    <n v="2"/>
    <x v="1"/>
    <n v="0.2576"/>
    <n v="0.93"/>
    <x v="1"/>
    <x v="3"/>
    <x v="39"/>
    <x v="63"/>
    <x v="0"/>
    <x v="1"/>
    <n v="0.22935326051082283"/>
    <n v="-0.25435329828790432"/>
    <n v="0.10399668008577614"/>
  </r>
  <r>
    <n v="408"/>
    <d v="2011-01-18T00:00:00"/>
    <x v="0"/>
    <n v="0"/>
    <x v="0"/>
    <x v="23"/>
    <b v="0"/>
    <n v="2"/>
    <n v="2"/>
    <x v="1"/>
    <n v="0.2727"/>
    <n v="0.93"/>
    <x v="0"/>
    <x v="5"/>
    <x v="23"/>
    <x v="25"/>
    <x v="1"/>
    <x v="1"/>
    <n v="0.22935326051082283"/>
    <n v="-0.25435329828790432"/>
    <n v="0.10399668008577614"/>
  </r>
  <r>
    <n v="409"/>
    <d v="2011-01-19T00:00:00"/>
    <x v="0"/>
    <n v="0"/>
    <x v="0"/>
    <x v="0"/>
    <b v="0"/>
    <n v="3"/>
    <n v="2"/>
    <x v="1"/>
    <n v="0.2727"/>
    <n v="0.93"/>
    <x v="0"/>
    <x v="3"/>
    <x v="35"/>
    <x v="6"/>
    <x v="1"/>
    <x v="1"/>
    <n v="0.22935326051082283"/>
    <n v="-0.25435329828790432"/>
    <n v="0.10399668008577614"/>
  </r>
  <r>
    <n v="410"/>
    <d v="2011-01-19T00:00:00"/>
    <x v="0"/>
    <n v="0"/>
    <x v="0"/>
    <x v="1"/>
    <b v="0"/>
    <n v="3"/>
    <n v="3"/>
    <x v="1"/>
    <n v="0.2273"/>
    <n v="0.93"/>
    <x v="7"/>
    <x v="5"/>
    <x v="8"/>
    <x v="85"/>
    <x v="1"/>
    <x v="2"/>
    <n v="0.22935326051082283"/>
    <n v="-0.25435329828790432"/>
    <n v="0.10399668008577614"/>
  </r>
  <r>
    <n v="411"/>
    <d v="2011-01-19T00:00:00"/>
    <x v="0"/>
    <n v="0"/>
    <x v="0"/>
    <x v="2"/>
    <b v="0"/>
    <n v="3"/>
    <n v="3"/>
    <x v="1"/>
    <n v="0.2273"/>
    <n v="0.93"/>
    <x v="7"/>
    <x v="3"/>
    <x v="35"/>
    <x v="6"/>
    <x v="1"/>
    <x v="2"/>
    <n v="0.22935326051082283"/>
    <n v="-0.25435329828790432"/>
    <n v="0.10399668008577614"/>
  </r>
  <r>
    <n v="412"/>
    <d v="2011-01-19T00:00:00"/>
    <x v="0"/>
    <n v="0"/>
    <x v="0"/>
    <x v="4"/>
    <b v="0"/>
    <n v="3"/>
    <n v="3"/>
    <x v="1"/>
    <n v="0.2273"/>
    <n v="0.93"/>
    <x v="7"/>
    <x v="5"/>
    <x v="4"/>
    <x v="5"/>
    <x v="1"/>
    <x v="2"/>
    <n v="0.22935326051082283"/>
    <n v="-0.25435329828790432"/>
    <n v="0.10399668008577614"/>
  </r>
  <r>
    <n v="413"/>
    <d v="2011-01-19T00:00:00"/>
    <x v="0"/>
    <n v="0"/>
    <x v="0"/>
    <x v="5"/>
    <b v="0"/>
    <n v="3"/>
    <n v="2"/>
    <x v="1"/>
    <n v="0.2576"/>
    <n v="0.93"/>
    <x v="1"/>
    <x v="3"/>
    <x v="7"/>
    <x v="85"/>
    <x v="0"/>
    <x v="1"/>
    <n v="0.22935326051082283"/>
    <n v="-0.25435329828790432"/>
    <n v="0.10399668008577614"/>
  </r>
  <r>
    <n v="414"/>
    <d v="2011-01-19T00:00:00"/>
    <x v="0"/>
    <n v="0"/>
    <x v="0"/>
    <x v="6"/>
    <b v="0"/>
    <n v="3"/>
    <n v="2"/>
    <x v="1"/>
    <n v="0.2576"/>
    <n v="0.93"/>
    <x v="1"/>
    <x v="3"/>
    <x v="1"/>
    <x v="2"/>
    <x v="0"/>
    <x v="1"/>
    <n v="0.22935326051082283"/>
    <n v="-0.25435329828790432"/>
    <n v="0.10399668008577614"/>
  </r>
  <r>
    <n v="415"/>
    <d v="2011-01-19T00:00:00"/>
    <x v="0"/>
    <n v="0"/>
    <x v="0"/>
    <x v="7"/>
    <b v="0"/>
    <n v="3"/>
    <n v="2"/>
    <x v="0"/>
    <n v="0.2576"/>
    <n v="0.92"/>
    <x v="14"/>
    <x v="5"/>
    <x v="121"/>
    <x v="127"/>
    <x v="1"/>
    <x v="1"/>
    <n v="0.22935326051082283"/>
    <n v="-0.25435329828790432"/>
    <n v="0.10399668008577614"/>
  </r>
  <r>
    <n v="416"/>
    <d v="2011-01-19T00:00:00"/>
    <x v="0"/>
    <n v="0"/>
    <x v="0"/>
    <x v="8"/>
    <b v="0"/>
    <n v="3"/>
    <n v="2"/>
    <x v="0"/>
    <n v="0.2576"/>
    <n v="0.93"/>
    <x v="14"/>
    <x v="5"/>
    <x v="127"/>
    <x v="141"/>
    <x v="1"/>
    <x v="1"/>
    <n v="0.22935326051082283"/>
    <n v="-0.25435329828790432"/>
    <n v="0.10399668008577614"/>
  </r>
  <r>
    <n v="417"/>
    <d v="2011-01-19T00:00:00"/>
    <x v="0"/>
    <n v="0"/>
    <x v="0"/>
    <x v="9"/>
    <b v="0"/>
    <n v="3"/>
    <n v="2"/>
    <x v="0"/>
    <n v="0.2576"/>
    <n v="0.93"/>
    <x v="14"/>
    <x v="4"/>
    <x v="128"/>
    <x v="142"/>
    <x v="1"/>
    <x v="1"/>
    <n v="0.22935326051082283"/>
    <n v="-0.25435329828790432"/>
    <n v="0.10399668008577614"/>
  </r>
  <r>
    <n v="418"/>
    <d v="2011-01-19T00:00:00"/>
    <x v="0"/>
    <n v="0"/>
    <x v="0"/>
    <x v="10"/>
    <b v="0"/>
    <n v="3"/>
    <n v="2"/>
    <x v="12"/>
    <n v="0.2727"/>
    <n v="0.93"/>
    <x v="7"/>
    <x v="5"/>
    <x v="24"/>
    <x v="105"/>
    <x v="1"/>
    <x v="1"/>
    <n v="0.22935326051082283"/>
    <n v="-0.25435329828790432"/>
    <n v="0.10399668008577614"/>
  </r>
  <r>
    <n v="419"/>
    <d v="2011-01-19T00:00:00"/>
    <x v="0"/>
    <n v="0"/>
    <x v="0"/>
    <x v="11"/>
    <b v="0"/>
    <n v="3"/>
    <n v="2"/>
    <x v="17"/>
    <n v="0.30299999999999999"/>
    <n v="0.87"/>
    <x v="1"/>
    <x v="2"/>
    <x v="12"/>
    <x v="46"/>
    <x v="1"/>
    <x v="1"/>
    <n v="0.22935326051082283"/>
    <n v="-0.25435329828790432"/>
    <n v="0.10399668008577614"/>
  </r>
  <r>
    <n v="420"/>
    <d v="2011-01-19T00:00:00"/>
    <x v="0"/>
    <n v="0"/>
    <x v="0"/>
    <x v="12"/>
    <b v="0"/>
    <n v="3"/>
    <n v="2"/>
    <x v="11"/>
    <n v="0.31819999999999998"/>
    <n v="0.81"/>
    <x v="1"/>
    <x v="2"/>
    <x v="65"/>
    <x v="27"/>
    <x v="0"/>
    <x v="1"/>
    <n v="0.22935326051082283"/>
    <n v="-0.25435329828790432"/>
    <n v="0.10399668008577614"/>
  </r>
  <r>
    <n v="421"/>
    <d v="2011-01-19T00:00:00"/>
    <x v="0"/>
    <n v="0"/>
    <x v="0"/>
    <x v="13"/>
    <b v="0"/>
    <n v="3"/>
    <n v="1"/>
    <x v="9"/>
    <n v="0.40910000000000002"/>
    <n v="0.62"/>
    <x v="3"/>
    <x v="16"/>
    <x v="28"/>
    <x v="53"/>
    <x v="0"/>
    <x v="0"/>
    <n v="0.22935326051082283"/>
    <n v="-0.25435329828790432"/>
    <n v="0.10399668008577614"/>
  </r>
  <r>
    <n v="422"/>
    <d v="2011-01-19T00:00:00"/>
    <x v="0"/>
    <n v="0"/>
    <x v="0"/>
    <x v="14"/>
    <b v="0"/>
    <n v="3"/>
    <n v="1"/>
    <x v="9"/>
    <n v="0.40910000000000002"/>
    <n v="0.57999999999999996"/>
    <x v="2"/>
    <x v="18"/>
    <x v="56"/>
    <x v="28"/>
    <x v="1"/>
    <x v="0"/>
    <n v="0.22935326051082283"/>
    <n v="-0.25435329828790432"/>
    <n v="0.10399668008577614"/>
  </r>
  <r>
    <n v="423"/>
    <d v="2011-01-19T00:00:00"/>
    <x v="0"/>
    <n v="0"/>
    <x v="0"/>
    <x v="15"/>
    <b v="0"/>
    <n v="3"/>
    <n v="1"/>
    <x v="9"/>
    <n v="0.40910000000000002"/>
    <n v="0.54"/>
    <x v="3"/>
    <x v="17"/>
    <x v="78"/>
    <x v="100"/>
    <x v="1"/>
    <x v="0"/>
    <n v="0.22935326051082283"/>
    <n v="-0.25435329828790432"/>
    <n v="0.10399668008577614"/>
  </r>
  <r>
    <n v="424"/>
    <d v="2011-01-19T00:00:00"/>
    <x v="0"/>
    <n v="0"/>
    <x v="0"/>
    <x v="16"/>
    <b v="0"/>
    <n v="3"/>
    <n v="1"/>
    <x v="4"/>
    <n v="0.39389999999999997"/>
    <n v="0.57999999999999996"/>
    <x v="13"/>
    <x v="22"/>
    <x v="111"/>
    <x v="133"/>
    <x v="1"/>
    <x v="0"/>
    <n v="0.22935326051082283"/>
    <n v="-0.25435329828790432"/>
    <n v="0.10399668008577614"/>
  </r>
  <r>
    <n v="425"/>
    <d v="2011-01-19T00:00:00"/>
    <x v="0"/>
    <n v="0"/>
    <x v="0"/>
    <x v="17"/>
    <b v="0"/>
    <n v="3"/>
    <n v="1"/>
    <x v="5"/>
    <n v="0.33329999999999999"/>
    <n v="0.56999999999999995"/>
    <x v="9"/>
    <x v="18"/>
    <x v="84"/>
    <x v="141"/>
    <x v="1"/>
    <x v="0"/>
    <n v="0.22935326051082283"/>
    <n v="-0.25435329828790432"/>
    <n v="0.10399668008577614"/>
  </r>
  <r>
    <n v="426"/>
    <d v="2011-01-19T00:00:00"/>
    <x v="0"/>
    <n v="0"/>
    <x v="0"/>
    <x v="18"/>
    <b v="0"/>
    <n v="3"/>
    <n v="1"/>
    <x v="10"/>
    <n v="0.31819999999999998"/>
    <n v="0.61"/>
    <x v="3"/>
    <x v="2"/>
    <x v="117"/>
    <x v="143"/>
    <x v="1"/>
    <x v="0"/>
    <n v="0.22935326051082283"/>
    <n v="-0.25435329828790432"/>
    <n v="0.10399668008577614"/>
  </r>
  <r>
    <n v="427"/>
    <d v="2011-01-19T00:00:00"/>
    <x v="0"/>
    <n v="0"/>
    <x v="0"/>
    <x v="19"/>
    <b v="0"/>
    <n v="3"/>
    <n v="1"/>
    <x v="3"/>
    <n v="0.28789999999999999"/>
    <n v="0.56999999999999995"/>
    <x v="12"/>
    <x v="17"/>
    <x v="123"/>
    <x v="59"/>
    <x v="0"/>
    <x v="0"/>
    <n v="0.22935326051082283"/>
    <n v="-0.25435329828790432"/>
    <n v="0.10399668008577614"/>
  </r>
  <r>
    <n v="428"/>
    <d v="2011-01-19T00:00:00"/>
    <x v="0"/>
    <n v="0"/>
    <x v="0"/>
    <x v="20"/>
    <b v="0"/>
    <n v="3"/>
    <n v="1"/>
    <x v="3"/>
    <n v="0.30299999999999999"/>
    <n v="0.49"/>
    <x v="4"/>
    <x v="4"/>
    <x v="64"/>
    <x v="31"/>
    <x v="0"/>
    <x v="0"/>
    <n v="0.22935326051082283"/>
    <n v="-0.25435329828790432"/>
    <n v="0.10399668008577614"/>
  </r>
  <r>
    <n v="429"/>
    <d v="2011-01-19T00:00:00"/>
    <x v="0"/>
    <n v="0"/>
    <x v="0"/>
    <x v="21"/>
    <b v="0"/>
    <n v="3"/>
    <n v="1"/>
    <x v="3"/>
    <n v="0.28789999999999999"/>
    <n v="0.49"/>
    <x v="12"/>
    <x v="17"/>
    <x v="11"/>
    <x v="29"/>
    <x v="1"/>
    <x v="0"/>
    <n v="0.22935326051082283"/>
    <n v="-0.25435329828790432"/>
    <n v="0.10399668008577614"/>
  </r>
  <r>
    <n v="430"/>
    <d v="2011-01-19T00:00:00"/>
    <x v="0"/>
    <n v="0"/>
    <x v="0"/>
    <x v="22"/>
    <b v="0"/>
    <n v="3"/>
    <n v="1"/>
    <x v="11"/>
    <n v="0.30299999999999999"/>
    <n v="0.52"/>
    <x v="8"/>
    <x v="15"/>
    <x v="42"/>
    <x v="29"/>
    <x v="1"/>
    <x v="0"/>
    <n v="0.22935326051082283"/>
    <n v="-0.25435329828790432"/>
    <n v="0.10399668008577614"/>
  </r>
  <r>
    <n v="431"/>
    <d v="2011-01-19T00:00:00"/>
    <x v="0"/>
    <n v="0"/>
    <x v="0"/>
    <x v="23"/>
    <b v="0"/>
    <n v="3"/>
    <n v="1"/>
    <x v="11"/>
    <n v="0.2727"/>
    <n v="0.52"/>
    <x v="17"/>
    <x v="5"/>
    <x v="2"/>
    <x v="20"/>
    <x v="1"/>
    <x v="0"/>
    <n v="0.22935326051082283"/>
    <n v="-0.25435329828790432"/>
    <n v="0.10399668008577614"/>
  </r>
  <r>
    <n v="432"/>
    <d v="2011-01-20T00:00:00"/>
    <x v="0"/>
    <n v="0"/>
    <x v="0"/>
    <x v="0"/>
    <b v="0"/>
    <n v="4"/>
    <n v="1"/>
    <x v="12"/>
    <n v="0.2273"/>
    <n v="0.56000000000000005"/>
    <x v="13"/>
    <x v="2"/>
    <x v="21"/>
    <x v="3"/>
    <x v="1"/>
    <x v="0"/>
    <n v="0.22935326051082283"/>
    <n v="-0.25435329828790432"/>
    <n v="0.10399668008577614"/>
  </r>
  <r>
    <n v="433"/>
    <d v="2011-01-20T00:00:00"/>
    <x v="0"/>
    <n v="0"/>
    <x v="0"/>
    <x v="1"/>
    <b v="0"/>
    <n v="4"/>
    <n v="1"/>
    <x v="12"/>
    <n v="0.2727"/>
    <n v="0.56000000000000005"/>
    <x v="0"/>
    <x v="4"/>
    <x v="35"/>
    <x v="36"/>
    <x v="1"/>
    <x v="0"/>
    <n v="0.22935326051082283"/>
    <n v="-0.25435329828790432"/>
    <n v="0.10399668008577614"/>
  </r>
  <r>
    <n v="434"/>
    <d v="2011-01-20T00:00:00"/>
    <x v="0"/>
    <n v="0"/>
    <x v="0"/>
    <x v="2"/>
    <b v="0"/>
    <n v="4"/>
    <n v="1"/>
    <x v="12"/>
    <n v="0.2727"/>
    <n v="0.56000000000000005"/>
    <x v="0"/>
    <x v="3"/>
    <x v="6"/>
    <x v="5"/>
    <x v="0"/>
    <x v="0"/>
    <n v="0.22935326051082283"/>
    <n v="-0.25435329828790432"/>
    <n v="0.10399668008577614"/>
  </r>
  <r>
    <n v="435"/>
    <d v="2011-01-20T00:00:00"/>
    <x v="0"/>
    <n v="0"/>
    <x v="0"/>
    <x v="3"/>
    <b v="0"/>
    <n v="4"/>
    <n v="1"/>
    <x v="12"/>
    <n v="0.2576"/>
    <n v="0.56000000000000005"/>
    <x v="8"/>
    <x v="3"/>
    <x v="4"/>
    <x v="4"/>
    <x v="0"/>
    <x v="0"/>
    <n v="0.22935326051082283"/>
    <n v="-0.25435329828790432"/>
    <n v="0.10399668008577614"/>
  </r>
  <r>
    <n v="436"/>
    <d v="2011-01-20T00:00:00"/>
    <x v="0"/>
    <n v="0"/>
    <x v="0"/>
    <x v="4"/>
    <b v="0"/>
    <n v="4"/>
    <n v="1"/>
    <x v="12"/>
    <n v="0.2576"/>
    <n v="0.56000000000000005"/>
    <x v="8"/>
    <x v="3"/>
    <x v="4"/>
    <x v="4"/>
    <x v="1"/>
    <x v="0"/>
    <n v="0.22935326051082283"/>
    <n v="-0.25435329828790432"/>
    <n v="0.10399668008577614"/>
  </r>
  <r>
    <n v="437"/>
    <d v="2011-01-20T00:00:00"/>
    <x v="0"/>
    <n v="0"/>
    <x v="0"/>
    <x v="5"/>
    <b v="0"/>
    <n v="4"/>
    <n v="1"/>
    <x v="0"/>
    <n v="0.2273"/>
    <n v="0.6"/>
    <x v="6"/>
    <x v="3"/>
    <x v="8"/>
    <x v="24"/>
    <x v="1"/>
    <x v="0"/>
    <n v="0.22935326051082283"/>
    <n v="-0.25435329828790432"/>
    <n v="0.10399668008577614"/>
  </r>
  <r>
    <n v="438"/>
    <d v="2011-01-20T00:00:00"/>
    <x v="0"/>
    <n v="0"/>
    <x v="0"/>
    <x v="6"/>
    <b v="0"/>
    <n v="4"/>
    <n v="1"/>
    <x v="1"/>
    <n v="0.21210000000000001"/>
    <n v="0.6"/>
    <x v="6"/>
    <x v="3"/>
    <x v="96"/>
    <x v="17"/>
    <x v="1"/>
    <x v="0"/>
    <n v="0.22935326051082283"/>
    <n v="-0.25435329828790432"/>
    <n v="0.10399668008577614"/>
  </r>
  <r>
    <n v="439"/>
    <d v="2011-01-20T00:00:00"/>
    <x v="0"/>
    <n v="0"/>
    <x v="0"/>
    <x v="7"/>
    <b v="0"/>
    <n v="4"/>
    <n v="1"/>
    <x v="1"/>
    <n v="0.21210000000000001"/>
    <n v="0.55000000000000004"/>
    <x v="6"/>
    <x v="5"/>
    <x v="129"/>
    <x v="129"/>
    <x v="1"/>
    <x v="0"/>
    <n v="0.22935326051082283"/>
    <n v="-0.25435329828790432"/>
    <n v="0.10399668008577614"/>
  </r>
  <r>
    <n v="440"/>
    <d v="2011-01-20T00:00:00"/>
    <x v="0"/>
    <n v="0"/>
    <x v="0"/>
    <x v="8"/>
    <b v="0"/>
    <n v="4"/>
    <n v="1"/>
    <x v="1"/>
    <n v="0.21210000000000001"/>
    <n v="0.55000000000000004"/>
    <x v="3"/>
    <x v="4"/>
    <x v="130"/>
    <x v="144"/>
    <x v="1"/>
    <x v="0"/>
    <n v="0.22935326051082283"/>
    <n v="-0.25435329828790432"/>
    <n v="0.10399668008577614"/>
  </r>
  <r>
    <n v="441"/>
    <d v="2011-01-20T00:00:00"/>
    <x v="0"/>
    <n v="0"/>
    <x v="0"/>
    <x v="9"/>
    <b v="0"/>
    <n v="4"/>
    <n v="2"/>
    <x v="0"/>
    <n v="0.2273"/>
    <n v="0.52"/>
    <x v="6"/>
    <x v="0"/>
    <x v="131"/>
    <x v="145"/>
    <x v="0"/>
    <x v="1"/>
    <n v="0.22935326051082283"/>
    <n v="-0.25435329828790432"/>
    <n v="0.10399668008577614"/>
  </r>
  <r>
    <n v="442"/>
    <d v="2011-01-20T00:00:00"/>
    <x v="0"/>
    <n v="0"/>
    <x v="0"/>
    <x v="10"/>
    <b v="0"/>
    <n v="4"/>
    <n v="1"/>
    <x v="12"/>
    <n v="0.2273"/>
    <n v="0.48"/>
    <x v="4"/>
    <x v="5"/>
    <x v="90"/>
    <x v="52"/>
    <x v="0"/>
    <x v="0"/>
    <n v="0.22935326051082283"/>
    <n v="-0.25435329828790432"/>
    <n v="0.10399668008577614"/>
  </r>
  <r>
    <n v="443"/>
    <d v="2011-01-20T00:00:00"/>
    <x v="0"/>
    <n v="0"/>
    <x v="0"/>
    <x v="11"/>
    <b v="0"/>
    <n v="4"/>
    <n v="2"/>
    <x v="17"/>
    <n v="0.2727"/>
    <n v="0.45"/>
    <x v="8"/>
    <x v="2"/>
    <x v="36"/>
    <x v="118"/>
    <x v="1"/>
    <x v="1"/>
    <n v="0.22935326051082283"/>
    <n v="-0.25435329828790432"/>
    <n v="0.10399668008577614"/>
  </r>
  <r>
    <n v="444"/>
    <d v="2011-01-20T00:00:00"/>
    <x v="0"/>
    <n v="0"/>
    <x v="0"/>
    <x v="12"/>
    <b v="0"/>
    <n v="4"/>
    <n v="2"/>
    <x v="11"/>
    <n v="0.33329999999999999"/>
    <n v="0.42"/>
    <x v="0"/>
    <x v="18"/>
    <x v="99"/>
    <x v="11"/>
    <x v="1"/>
    <x v="1"/>
    <n v="0.22935326051082283"/>
    <n v="-0.25435329828790432"/>
    <n v="0.10399668008577614"/>
  </r>
  <r>
    <n v="445"/>
    <d v="2011-01-20T00:00:00"/>
    <x v="0"/>
    <n v="0"/>
    <x v="0"/>
    <x v="13"/>
    <b v="0"/>
    <n v="4"/>
    <n v="2"/>
    <x v="17"/>
    <n v="0.28789999999999999"/>
    <n v="0.45"/>
    <x v="14"/>
    <x v="6"/>
    <x v="132"/>
    <x v="95"/>
    <x v="1"/>
    <x v="1"/>
    <n v="0.22935326051082283"/>
    <n v="-0.25435329828790432"/>
    <n v="0.10399668008577614"/>
  </r>
  <r>
    <n v="446"/>
    <d v="2011-01-20T00:00:00"/>
    <x v="0"/>
    <n v="0"/>
    <x v="0"/>
    <x v="14"/>
    <b v="0"/>
    <n v="4"/>
    <n v="2"/>
    <x v="11"/>
    <n v="0.30299999999999999"/>
    <n v="0.45"/>
    <x v="7"/>
    <x v="15"/>
    <x v="102"/>
    <x v="117"/>
    <x v="1"/>
    <x v="1"/>
    <n v="0.22935326051082283"/>
    <n v="-0.25435329828790432"/>
    <n v="0.10399668008577614"/>
  </r>
  <r>
    <n v="447"/>
    <d v="2011-01-20T00:00:00"/>
    <x v="0"/>
    <n v="0"/>
    <x v="0"/>
    <x v="15"/>
    <b v="0"/>
    <n v="4"/>
    <n v="2"/>
    <x v="3"/>
    <n v="0.31819999999999998"/>
    <n v="0.45"/>
    <x v="5"/>
    <x v="1"/>
    <x v="133"/>
    <x v="27"/>
    <x v="1"/>
    <x v="1"/>
    <n v="0.22935326051082283"/>
    <n v="-0.25435329828790432"/>
    <n v="0.10399668008577614"/>
  </r>
  <r>
    <n v="448"/>
    <d v="2011-01-20T00:00:00"/>
    <x v="0"/>
    <n v="0"/>
    <x v="0"/>
    <x v="16"/>
    <b v="0"/>
    <n v="4"/>
    <n v="2"/>
    <x v="11"/>
    <n v="0.30299999999999999"/>
    <n v="0.49"/>
    <x v="7"/>
    <x v="1"/>
    <x v="93"/>
    <x v="134"/>
    <x v="0"/>
    <x v="1"/>
    <n v="0.22935326051082283"/>
    <n v="-0.25435329828790432"/>
    <n v="0.10399668008577614"/>
  </r>
  <r>
    <n v="449"/>
    <d v="2011-01-20T00:00:00"/>
    <x v="0"/>
    <n v="0"/>
    <x v="0"/>
    <x v="17"/>
    <b v="0"/>
    <n v="4"/>
    <n v="2"/>
    <x v="11"/>
    <n v="0.31819999999999998"/>
    <n v="0.49"/>
    <x v="14"/>
    <x v="1"/>
    <x v="134"/>
    <x v="146"/>
    <x v="0"/>
    <x v="1"/>
    <n v="0.22935326051082283"/>
    <n v="-0.25435329828790432"/>
    <n v="0.10399668008577614"/>
  </r>
  <r>
    <n v="450"/>
    <d v="2011-01-20T00:00:00"/>
    <x v="0"/>
    <n v="0"/>
    <x v="0"/>
    <x v="18"/>
    <b v="0"/>
    <n v="4"/>
    <n v="2"/>
    <x v="12"/>
    <n v="0.2576"/>
    <n v="0.56000000000000005"/>
    <x v="5"/>
    <x v="5"/>
    <x v="103"/>
    <x v="147"/>
    <x v="1"/>
    <x v="1"/>
    <n v="0.22935326051082283"/>
    <n v="-0.25435329828790432"/>
    <n v="0.10399668008577614"/>
  </r>
  <r>
    <n v="451"/>
    <d v="2011-01-20T00:00:00"/>
    <x v="0"/>
    <n v="0"/>
    <x v="0"/>
    <x v="19"/>
    <b v="0"/>
    <n v="4"/>
    <n v="1"/>
    <x v="12"/>
    <n v="0.2273"/>
    <n v="0.56000000000000005"/>
    <x v="9"/>
    <x v="15"/>
    <x v="44"/>
    <x v="148"/>
    <x v="1"/>
    <x v="0"/>
    <n v="0.22935326051082283"/>
    <n v="-0.25435329828790432"/>
    <n v="0.10399668008577614"/>
  </r>
  <r>
    <n v="452"/>
    <d v="2011-01-20T00:00:00"/>
    <x v="0"/>
    <n v="0"/>
    <x v="0"/>
    <x v="20"/>
    <b v="0"/>
    <n v="4"/>
    <n v="2"/>
    <x v="12"/>
    <n v="0.2424"/>
    <n v="0.6"/>
    <x v="3"/>
    <x v="4"/>
    <x v="125"/>
    <x v="149"/>
    <x v="1"/>
    <x v="1"/>
    <n v="0.22935326051082283"/>
    <n v="-0.25435329828790432"/>
    <n v="0.10399668008577614"/>
  </r>
  <r>
    <n v="453"/>
    <d v="2011-01-20T00:00:00"/>
    <x v="0"/>
    <n v="0"/>
    <x v="0"/>
    <x v="21"/>
    <b v="0"/>
    <n v="4"/>
    <n v="2"/>
    <x v="0"/>
    <n v="0.2273"/>
    <n v="0.6"/>
    <x v="2"/>
    <x v="0"/>
    <x v="25"/>
    <x v="52"/>
    <x v="1"/>
    <x v="1"/>
    <n v="0.22935326051082283"/>
    <n v="-0.25435329828790432"/>
    <n v="0.10399668008577614"/>
  </r>
  <r>
    <n v="454"/>
    <d v="2011-01-20T00:00:00"/>
    <x v="0"/>
    <n v="0"/>
    <x v="0"/>
    <x v="22"/>
    <b v="0"/>
    <n v="4"/>
    <n v="2"/>
    <x v="0"/>
    <n v="0.21210000000000001"/>
    <n v="0.65"/>
    <x v="3"/>
    <x v="3"/>
    <x v="90"/>
    <x v="10"/>
    <x v="1"/>
    <x v="1"/>
    <n v="0.22935326051082283"/>
    <n v="-0.25435329828790432"/>
    <n v="0.10399668008577614"/>
  </r>
  <r>
    <n v="455"/>
    <d v="2011-01-20T00:00:00"/>
    <x v="0"/>
    <n v="0"/>
    <x v="0"/>
    <x v="23"/>
    <b v="0"/>
    <n v="4"/>
    <n v="2"/>
    <x v="0"/>
    <n v="0.21210000000000001"/>
    <n v="0.65"/>
    <x v="9"/>
    <x v="0"/>
    <x v="95"/>
    <x v="35"/>
    <x v="0"/>
    <x v="1"/>
    <n v="0.22935326051082283"/>
    <n v="-0.25435329828790432"/>
    <n v="0.10399668008577614"/>
  </r>
  <r>
    <n v="456"/>
    <d v="2011-01-21T00:00:00"/>
    <x v="0"/>
    <n v="0"/>
    <x v="0"/>
    <x v="0"/>
    <b v="0"/>
    <n v="5"/>
    <n v="2"/>
    <x v="0"/>
    <n v="0.2273"/>
    <n v="0.7"/>
    <x v="2"/>
    <x v="5"/>
    <x v="32"/>
    <x v="137"/>
    <x v="0"/>
    <x v="1"/>
    <n v="0.22935326051082283"/>
    <n v="-0.25435329828790432"/>
    <n v="0.10399668008577614"/>
  </r>
  <r>
    <n v="457"/>
    <d v="2011-01-21T00:00:00"/>
    <x v="0"/>
    <n v="0"/>
    <x v="0"/>
    <x v="1"/>
    <b v="0"/>
    <n v="5"/>
    <n v="2"/>
    <x v="0"/>
    <n v="0.2273"/>
    <n v="0.7"/>
    <x v="2"/>
    <x v="3"/>
    <x v="8"/>
    <x v="24"/>
    <x v="1"/>
    <x v="1"/>
    <n v="0.22935326051082283"/>
    <n v="-0.25435329828790432"/>
    <n v="0.10399668008577614"/>
  </r>
  <r>
    <n v="458"/>
    <d v="2011-01-21T00:00:00"/>
    <x v="0"/>
    <n v="0"/>
    <x v="0"/>
    <x v="2"/>
    <b v="0"/>
    <n v="5"/>
    <n v="3"/>
    <x v="0"/>
    <n v="0.2424"/>
    <n v="0.75"/>
    <x v="8"/>
    <x v="3"/>
    <x v="6"/>
    <x v="5"/>
    <x v="1"/>
    <x v="2"/>
    <n v="0.22935326051082283"/>
    <n v="-0.25435329828790432"/>
    <n v="0.10399668008577614"/>
  </r>
  <r>
    <n v="459"/>
    <d v="2011-01-21T00:00:00"/>
    <x v="0"/>
    <n v="0"/>
    <x v="0"/>
    <x v="3"/>
    <b v="0"/>
    <n v="5"/>
    <n v="3"/>
    <x v="1"/>
    <n v="0.21210000000000001"/>
    <n v="0.8"/>
    <x v="4"/>
    <x v="3"/>
    <x v="4"/>
    <x v="4"/>
    <x v="1"/>
    <x v="2"/>
    <n v="0.22935326051082283"/>
    <n v="-0.25435329828790432"/>
    <n v="0.10399668008577614"/>
  </r>
  <r>
    <n v="460"/>
    <d v="2011-01-21T00:00:00"/>
    <x v="0"/>
    <n v="0"/>
    <x v="0"/>
    <x v="4"/>
    <b v="0"/>
    <n v="5"/>
    <n v="2"/>
    <x v="1"/>
    <n v="0.2576"/>
    <n v="0.87"/>
    <x v="1"/>
    <x v="3"/>
    <x v="4"/>
    <x v="4"/>
    <x v="1"/>
    <x v="1"/>
    <n v="0.22935326051082283"/>
    <n v="-0.25435329828790432"/>
    <n v="0.10399668008577614"/>
  </r>
  <r>
    <n v="461"/>
    <d v="2011-01-21T00:00:00"/>
    <x v="0"/>
    <n v="0"/>
    <x v="0"/>
    <x v="5"/>
    <b v="0"/>
    <n v="5"/>
    <n v="1"/>
    <x v="0"/>
    <n v="0.19700000000000001"/>
    <n v="0.6"/>
    <x v="12"/>
    <x v="5"/>
    <x v="22"/>
    <x v="36"/>
    <x v="1"/>
    <x v="0"/>
    <n v="0.22935326051082283"/>
    <n v="-0.25435329828790432"/>
    <n v="0.10399668008577614"/>
  </r>
  <r>
    <n v="462"/>
    <d v="2011-01-21T00:00:00"/>
    <x v="0"/>
    <n v="0"/>
    <x v="0"/>
    <x v="6"/>
    <b v="0"/>
    <n v="5"/>
    <n v="1"/>
    <x v="1"/>
    <n v="0.21210000000000001"/>
    <n v="0.55000000000000004"/>
    <x v="2"/>
    <x v="3"/>
    <x v="2"/>
    <x v="110"/>
    <x v="0"/>
    <x v="0"/>
    <n v="0.22935326051082283"/>
    <n v="-0.25435329828790432"/>
    <n v="0.10399668008577614"/>
  </r>
  <r>
    <n v="463"/>
    <d v="2011-01-21T00:00:00"/>
    <x v="0"/>
    <n v="0"/>
    <x v="0"/>
    <x v="7"/>
    <b v="0"/>
    <n v="5"/>
    <n v="1"/>
    <x v="2"/>
    <n v="0.18179999999999999"/>
    <n v="0.51"/>
    <x v="3"/>
    <x v="4"/>
    <x v="43"/>
    <x v="118"/>
    <x v="0"/>
    <x v="0"/>
    <n v="0.22935326051082283"/>
    <n v="-0.25435329828790432"/>
    <n v="0.10399668008577614"/>
  </r>
  <r>
    <n v="464"/>
    <d v="2011-01-21T00:00:00"/>
    <x v="0"/>
    <n v="0"/>
    <x v="0"/>
    <x v="8"/>
    <b v="0"/>
    <n v="5"/>
    <n v="1"/>
    <x v="2"/>
    <n v="0.18179999999999999"/>
    <n v="0.47"/>
    <x v="9"/>
    <x v="18"/>
    <x v="135"/>
    <x v="112"/>
    <x v="1"/>
    <x v="0"/>
    <n v="0.22935326051082283"/>
    <n v="-0.25435329828790432"/>
    <n v="0.10399668008577614"/>
  </r>
  <r>
    <n v="465"/>
    <d v="2011-01-21T00:00:00"/>
    <x v="0"/>
    <n v="0"/>
    <x v="0"/>
    <x v="9"/>
    <b v="0"/>
    <n v="5"/>
    <n v="1"/>
    <x v="2"/>
    <n v="0.18179999999999999"/>
    <n v="0.51"/>
    <x v="11"/>
    <x v="18"/>
    <x v="136"/>
    <x v="150"/>
    <x v="1"/>
    <x v="0"/>
    <n v="0.22935326051082283"/>
    <n v="-0.25435329828790432"/>
    <n v="0.10399668008577614"/>
  </r>
  <r>
    <n v="466"/>
    <d v="2011-01-21T00:00:00"/>
    <x v="0"/>
    <n v="0"/>
    <x v="0"/>
    <x v="10"/>
    <b v="0"/>
    <n v="5"/>
    <n v="1"/>
    <x v="2"/>
    <n v="0.16669999999999999"/>
    <n v="0.47"/>
    <x v="17"/>
    <x v="15"/>
    <x v="77"/>
    <x v="55"/>
    <x v="1"/>
    <x v="0"/>
    <n v="0.22935326051082283"/>
    <n v="-0.25435329828790432"/>
    <n v="0.10399668008577614"/>
  </r>
  <r>
    <n v="467"/>
    <d v="2011-01-21T00:00:00"/>
    <x v="0"/>
    <n v="0"/>
    <x v="0"/>
    <x v="11"/>
    <b v="0"/>
    <n v="5"/>
    <n v="1"/>
    <x v="1"/>
    <n v="0.18179999999999999"/>
    <n v="0.41"/>
    <x v="17"/>
    <x v="15"/>
    <x v="42"/>
    <x v="29"/>
    <x v="1"/>
    <x v="0"/>
    <n v="0.22935326051082283"/>
    <n v="-0.25435329828790432"/>
    <n v="0.10399668008577614"/>
  </r>
  <r>
    <n v="468"/>
    <d v="2011-01-21T00:00:00"/>
    <x v="0"/>
    <n v="0"/>
    <x v="0"/>
    <x v="12"/>
    <b v="0"/>
    <n v="5"/>
    <n v="1"/>
    <x v="1"/>
    <n v="0.18179999999999999"/>
    <n v="0.27"/>
    <x v="19"/>
    <x v="16"/>
    <x v="28"/>
    <x v="53"/>
    <x v="1"/>
    <x v="0"/>
    <n v="0.22935326051082283"/>
    <n v="-0.25435329828790432"/>
    <n v="0.10399668008577614"/>
  </r>
  <r>
    <n v="469"/>
    <d v="2011-01-21T00:00:00"/>
    <x v="0"/>
    <n v="0"/>
    <x v="0"/>
    <x v="13"/>
    <b v="0"/>
    <n v="5"/>
    <n v="1"/>
    <x v="2"/>
    <n v="0.1515"/>
    <n v="0.21"/>
    <x v="19"/>
    <x v="1"/>
    <x v="65"/>
    <x v="88"/>
    <x v="0"/>
    <x v="0"/>
    <n v="0.22935326051082283"/>
    <n v="-0.25435329828790432"/>
    <n v="0.10399668008577614"/>
  </r>
  <r>
    <n v="470"/>
    <d v="2011-01-21T00:00:00"/>
    <x v="0"/>
    <n v="0"/>
    <x v="0"/>
    <x v="14"/>
    <b v="0"/>
    <n v="5"/>
    <n v="1"/>
    <x v="2"/>
    <n v="0.1515"/>
    <n v="0.25"/>
    <x v="18"/>
    <x v="15"/>
    <x v="90"/>
    <x v="69"/>
    <x v="0"/>
    <x v="0"/>
    <n v="0.22935326051082283"/>
    <n v="-0.25435329828790432"/>
    <n v="0.10399668008577614"/>
  </r>
  <r>
    <n v="471"/>
    <d v="2011-01-21T00:00:00"/>
    <x v="0"/>
    <n v="0"/>
    <x v="0"/>
    <x v="15"/>
    <b v="0"/>
    <n v="5"/>
    <n v="1"/>
    <x v="13"/>
    <n v="0.1212"/>
    <n v="0.26"/>
    <x v="10"/>
    <x v="17"/>
    <x v="124"/>
    <x v="32"/>
    <x v="1"/>
    <x v="0"/>
    <n v="0.22935326051082283"/>
    <n v="-0.25435329828790432"/>
    <n v="0.10399668008577614"/>
  </r>
  <r>
    <n v="472"/>
    <d v="2011-01-21T00:00:00"/>
    <x v="0"/>
    <n v="0"/>
    <x v="0"/>
    <x v="16"/>
    <b v="0"/>
    <n v="5"/>
    <n v="1"/>
    <x v="13"/>
    <n v="0.13639999999999999"/>
    <n v="0.26"/>
    <x v="11"/>
    <x v="3"/>
    <x v="106"/>
    <x v="54"/>
    <x v="1"/>
    <x v="0"/>
    <n v="0.22935326051082283"/>
    <n v="-0.25435329828790432"/>
    <n v="0.10399668008577614"/>
  </r>
  <r>
    <n v="473"/>
    <d v="2011-01-21T00:00:00"/>
    <x v="0"/>
    <n v="0"/>
    <x v="0"/>
    <x v="17"/>
    <b v="0"/>
    <n v="5"/>
    <n v="1"/>
    <x v="14"/>
    <n v="0.1212"/>
    <n v="0.28000000000000003"/>
    <x v="11"/>
    <x v="22"/>
    <x v="137"/>
    <x v="143"/>
    <x v="1"/>
    <x v="0"/>
    <n v="0.22935326051082283"/>
    <n v="-0.25435329828790432"/>
    <n v="0.10399668008577614"/>
  </r>
  <r>
    <n v="474"/>
    <d v="2011-01-21T00:00:00"/>
    <x v="0"/>
    <n v="0"/>
    <x v="0"/>
    <x v="18"/>
    <b v="0"/>
    <n v="5"/>
    <n v="1"/>
    <x v="16"/>
    <n v="0.1212"/>
    <n v="0.3"/>
    <x v="2"/>
    <x v="5"/>
    <x v="138"/>
    <x v="151"/>
    <x v="1"/>
    <x v="0"/>
    <n v="0.22935326051082283"/>
    <n v="-0.25435329828790432"/>
    <n v="0.10399668008577614"/>
  </r>
  <r>
    <n v="475"/>
    <d v="2011-01-21T00:00:00"/>
    <x v="0"/>
    <n v="0"/>
    <x v="0"/>
    <x v="19"/>
    <b v="0"/>
    <n v="5"/>
    <n v="1"/>
    <x v="16"/>
    <n v="0.1061"/>
    <n v="0.3"/>
    <x v="9"/>
    <x v="0"/>
    <x v="139"/>
    <x v="152"/>
    <x v="1"/>
    <x v="0"/>
    <n v="0.22935326051082283"/>
    <n v="-0.25435329828790432"/>
    <n v="0.10399668008577614"/>
  </r>
  <r>
    <n v="476"/>
    <d v="2011-01-21T00:00:00"/>
    <x v="0"/>
    <n v="0"/>
    <x v="0"/>
    <x v="20"/>
    <b v="0"/>
    <n v="5"/>
    <n v="1"/>
    <x v="18"/>
    <n v="7.5800000000000006E-2"/>
    <n v="0.33"/>
    <x v="12"/>
    <x v="5"/>
    <x v="15"/>
    <x v="26"/>
    <x v="0"/>
    <x v="0"/>
    <n v="0.22935326051082283"/>
    <n v="-0.25435329828790432"/>
    <n v="0.10399668008577614"/>
  </r>
  <r>
    <n v="477"/>
    <d v="2011-01-21T00:00:00"/>
    <x v="0"/>
    <n v="0"/>
    <x v="0"/>
    <x v="21"/>
    <b v="0"/>
    <n v="5"/>
    <n v="1"/>
    <x v="19"/>
    <n v="7.5800000000000006E-2"/>
    <n v="0.38"/>
    <x v="3"/>
    <x v="3"/>
    <x v="40"/>
    <x v="102"/>
    <x v="0"/>
    <x v="0"/>
    <n v="0.22935326051082283"/>
    <n v="-0.25435329828790432"/>
    <n v="0.10399668008577614"/>
  </r>
  <r>
    <n v="478"/>
    <d v="2011-01-21T00:00:00"/>
    <x v="0"/>
    <n v="0"/>
    <x v="0"/>
    <x v="22"/>
    <b v="0"/>
    <n v="5"/>
    <n v="1"/>
    <x v="20"/>
    <n v="3.0300000000000001E-2"/>
    <n v="0.41"/>
    <x v="13"/>
    <x v="5"/>
    <x v="39"/>
    <x v="19"/>
    <x v="1"/>
    <x v="0"/>
    <n v="0.22935326051082283"/>
    <n v="-0.25435329828790432"/>
    <n v="0.10399668008577614"/>
  </r>
  <r>
    <n v="479"/>
    <d v="2011-01-21T00:00:00"/>
    <x v="0"/>
    <n v="0"/>
    <x v="0"/>
    <x v="23"/>
    <b v="0"/>
    <n v="5"/>
    <n v="1"/>
    <x v="20"/>
    <n v="4.5499999999999999E-2"/>
    <n v="0.38"/>
    <x v="9"/>
    <x v="3"/>
    <x v="2"/>
    <x v="110"/>
    <x v="1"/>
    <x v="0"/>
    <n v="0.22935326051082283"/>
    <n v="-0.25435329828790432"/>
    <n v="0.10399668008577614"/>
  </r>
  <r>
    <n v="480"/>
    <d v="2011-01-22T00:00:00"/>
    <x v="0"/>
    <n v="0"/>
    <x v="0"/>
    <x v="0"/>
    <b v="0"/>
    <n v="6"/>
    <n v="1"/>
    <x v="21"/>
    <n v="3.0300000000000001E-2"/>
    <n v="0.45"/>
    <x v="2"/>
    <x v="3"/>
    <x v="0"/>
    <x v="3"/>
    <x v="1"/>
    <x v="0"/>
    <n v="0.22935326051082283"/>
    <n v="-0.25435329828790432"/>
    <n v="0.10399668008577614"/>
  </r>
  <r>
    <n v="481"/>
    <d v="2011-01-22T00:00:00"/>
    <x v="0"/>
    <n v="0"/>
    <x v="0"/>
    <x v="1"/>
    <b v="0"/>
    <n v="6"/>
    <n v="2"/>
    <x v="21"/>
    <n v="0"/>
    <n v="0.41"/>
    <x v="13"/>
    <x v="0"/>
    <x v="33"/>
    <x v="47"/>
    <x v="1"/>
    <x v="1"/>
    <n v="0.22935326051082283"/>
    <n v="-0.25435329828790432"/>
    <n v="0.10399668008577614"/>
  </r>
  <r>
    <n v="482"/>
    <d v="2011-01-22T00:00:00"/>
    <x v="0"/>
    <n v="0"/>
    <x v="0"/>
    <x v="2"/>
    <b v="0"/>
    <n v="6"/>
    <n v="2"/>
    <x v="21"/>
    <n v="3.0300000000000001E-2"/>
    <n v="0.41"/>
    <x v="2"/>
    <x v="3"/>
    <x v="48"/>
    <x v="62"/>
    <x v="1"/>
    <x v="1"/>
    <n v="0.22935326051082283"/>
    <n v="-0.25435329828790432"/>
    <n v="0.10399668008577614"/>
  </r>
  <r>
    <n v="483"/>
    <d v="2011-01-22T00:00:00"/>
    <x v="0"/>
    <n v="0"/>
    <x v="0"/>
    <x v="3"/>
    <b v="0"/>
    <n v="6"/>
    <n v="2"/>
    <x v="21"/>
    <n v="3.0300000000000001E-2"/>
    <n v="0.41"/>
    <x v="3"/>
    <x v="5"/>
    <x v="8"/>
    <x v="85"/>
    <x v="0"/>
    <x v="1"/>
    <n v="0.22935326051082283"/>
    <n v="-0.25435329828790432"/>
    <n v="0.10399668008577614"/>
  </r>
  <r>
    <n v="484"/>
    <d v="2011-01-22T00:00:00"/>
    <x v="0"/>
    <n v="0"/>
    <x v="0"/>
    <x v="4"/>
    <b v="0"/>
    <n v="6"/>
    <n v="2"/>
    <x v="22"/>
    <n v="1.52E-2"/>
    <n v="0.48"/>
    <x v="4"/>
    <x v="3"/>
    <x v="35"/>
    <x v="6"/>
    <x v="0"/>
    <x v="1"/>
    <n v="0.22935326051082283"/>
    <n v="-0.25435329828790432"/>
    <n v="0.10399668008577614"/>
  </r>
  <r>
    <n v="485"/>
    <d v="2011-01-22T00:00:00"/>
    <x v="0"/>
    <n v="0"/>
    <x v="0"/>
    <x v="6"/>
    <b v="0"/>
    <n v="6"/>
    <n v="2"/>
    <x v="22"/>
    <n v="3.0300000000000001E-2"/>
    <n v="0.44"/>
    <x v="6"/>
    <x v="3"/>
    <x v="6"/>
    <x v="5"/>
    <x v="1"/>
    <x v="1"/>
    <n v="0.22935326051082283"/>
    <n v="-0.25435329828790432"/>
    <n v="0.10399668008577614"/>
  </r>
  <r>
    <n v="486"/>
    <d v="2011-01-22T00:00:00"/>
    <x v="0"/>
    <n v="0"/>
    <x v="0"/>
    <x v="7"/>
    <b v="0"/>
    <n v="6"/>
    <n v="1"/>
    <x v="22"/>
    <n v="1.52E-2"/>
    <n v="0.44"/>
    <x v="3"/>
    <x v="3"/>
    <x v="21"/>
    <x v="7"/>
    <x v="1"/>
    <x v="0"/>
    <n v="0.22935326051082283"/>
    <n v="-0.25435329828790432"/>
    <n v="0.10399668008577614"/>
  </r>
  <r>
    <n v="487"/>
    <d v="2011-01-22T00:00:00"/>
    <x v="0"/>
    <n v="0"/>
    <x v="0"/>
    <x v="8"/>
    <b v="0"/>
    <n v="6"/>
    <n v="1"/>
    <x v="22"/>
    <n v="0"/>
    <n v="0.44"/>
    <x v="9"/>
    <x v="5"/>
    <x v="16"/>
    <x v="110"/>
    <x v="1"/>
    <x v="0"/>
    <n v="0.22935326051082283"/>
    <n v="-0.25435329828790432"/>
    <n v="0.10399668008577614"/>
  </r>
  <r>
    <n v="488"/>
    <d v="2011-01-22T00:00:00"/>
    <x v="0"/>
    <n v="0"/>
    <x v="0"/>
    <x v="9"/>
    <b v="0"/>
    <n v="6"/>
    <n v="1"/>
    <x v="21"/>
    <n v="3.0300000000000001E-2"/>
    <n v="0.41"/>
    <x v="2"/>
    <x v="0"/>
    <x v="53"/>
    <x v="1"/>
    <x v="1"/>
    <x v="0"/>
    <n v="0.22935326051082283"/>
    <n v="-0.25435329828790432"/>
    <n v="0.10399668008577614"/>
  </r>
  <r>
    <n v="489"/>
    <d v="2011-01-22T00:00:00"/>
    <x v="0"/>
    <n v="0"/>
    <x v="0"/>
    <x v="10"/>
    <b v="0"/>
    <n v="6"/>
    <n v="2"/>
    <x v="21"/>
    <n v="6.0600000000000001E-2"/>
    <n v="0.41"/>
    <x v="8"/>
    <x v="0"/>
    <x v="54"/>
    <x v="26"/>
    <x v="1"/>
    <x v="1"/>
    <n v="0.22935326051082283"/>
    <n v="-0.25435329828790432"/>
    <n v="0.10399668008577614"/>
  </r>
  <r>
    <n v="490"/>
    <d v="2011-01-22T00:00:00"/>
    <x v="0"/>
    <n v="0"/>
    <x v="0"/>
    <x v="11"/>
    <b v="0"/>
    <n v="6"/>
    <n v="2"/>
    <x v="20"/>
    <n v="7.5800000000000006E-2"/>
    <n v="0.38"/>
    <x v="7"/>
    <x v="17"/>
    <x v="79"/>
    <x v="55"/>
    <x v="0"/>
    <x v="1"/>
    <n v="0.22935326051082283"/>
    <n v="-0.25435329828790432"/>
    <n v="0.10399668008577614"/>
  </r>
  <r>
    <n v="491"/>
    <d v="2011-01-22T00:00:00"/>
    <x v="0"/>
    <n v="0"/>
    <x v="0"/>
    <x v="12"/>
    <b v="0"/>
    <n v="6"/>
    <n v="2"/>
    <x v="20"/>
    <n v="0.1061"/>
    <n v="0.38"/>
    <x v="14"/>
    <x v="22"/>
    <x v="91"/>
    <x v="27"/>
    <x v="0"/>
    <x v="1"/>
    <n v="0.22935326051082283"/>
    <n v="-0.25435329828790432"/>
    <n v="0.10399668008577614"/>
  </r>
  <r>
    <n v="492"/>
    <d v="2011-01-22T00:00:00"/>
    <x v="0"/>
    <n v="0"/>
    <x v="0"/>
    <x v="13"/>
    <b v="0"/>
    <n v="6"/>
    <n v="1"/>
    <x v="19"/>
    <n v="0.16669999999999999"/>
    <n v="0.35"/>
    <x v="0"/>
    <x v="6"/>
    <x v="109"/>
    <x v="11"/>
    <x v="1"/>
    <x v="0"/>
    <n v="0.22935326051082283"/>
    <n v="-0.25435329828790432"/>
    <n v="0.10399668008577614"/>
  </r>
  <r>
    <n v="493"/>
    <d v="2011-01-22T00:00:00"/>
    <x v="0"/>
    <n v="0"/>
    <x v="0"/>
    <x v="14"/>
    <b v="0"/>
    <n v="6"/>
    <n v="1"/>
    <x v="18"/>
    <n v="0.13639999999999999"/>
    <n v="0.33"/>
    <x v="14"/>
    <x v="16"/>
    <x v="27"/>
    <x v="28"/>
    <x v="1"/>
    <x v="0"/>
    <n v="0.22935326051082283"/>
    <n v="-0.25435329828790432"/>
    <n v="0.10399668008577614"/>
  </r>
  <r>
    <n v="494"/>
    <d v="2011-01-22T00:00:00"/>
    <x v="0"/>
    <n v="0"/>
    <x v="0"/>
    <x v="15"/>
    <b v="0"/>
    <n v="6"/>
    <n v="1"/>
    <x v="16"/>
    <n v="0.1515"/>
    <n v="0.28000000000000003"/>
    <x v="0"/>
    <x v="22"/>
    <x v="139"/>
    <x v="153"/>
    <x v="1"/>
    <x v="0"/>
    <n v="0.22935326051082283"/>
    <n v="-0.25435329828790432"/>
    <n v="0.10399668008577614"/>
  </r>
  <r>
    <n v="495"/>
    <d v="2011-01-22T00:00:00"/>
    <x v="0"/>
    <n v="0"/>
    <x v="0"/>
    <x v="16"/>
    <b v="0"/>
    <n v="6"/>
    <n v="1"/>
    <x v="16"/>
    <n v="0.13639999999999999"/>
    <n v="0.28000000000000003"/>
    <x v="5"/>
    <x v="16"/>
    <x v="109"/>
    <x v="56"/>
    <x v="1"/>
    <x v="0"/>
    <n v="0.22935326051082283"/>
    <n v="-0.25435329828790432"/>
    <n v="0.10399668008577614"/>
  </r>
  <r>
    <n v="496"/>
    <d v="2011-01-22T00:00:00"/>
    <x v="0"/>
    <n v="0"/>
    <x v="0"/>
    <x v="17"/>
    <b v="0"/>
    <n v="6"/>
    <n v="1"/>
    <x v="16"/>
    <n v="0.19700000000000001"/>
    <n v="0.28000000000000003"/>
    <x v="0"/>
    <x v="1"/>
    <x v="79"/>
    <x v="16"/>
    <x v="1"/>
    <x v="0"/>
    <n v="0.22935326051082283"/>
    <n v="-0.25435329828790432"/>
    <n v="0.10399668008577614"/>
  </r>
  <r>
    <n v="497"/>
    <d v="2011-01-22T00:00:00"/>
    <x v="0"/>
    <n v="0"/>
    <x v="0"/>
    <x v="18"/>
    <b v="0"/>
    <n v="6"/>
    <n v="1"/>
    <x v="19"/>
    <n v="9.0899999999999995E-2"/>
    <n v="0.35"/>
    <x v="5"/>
    <x v="3"/>
    <x v="25"/>
    <x v="60"/>
    <x v="0"/>
    <x v="0"/>
    <n v="0.22935326051082283"/>
    <n v="-0.25435329828790432"/>
    <n v="0.10399668008577614"/>
  </r>
  <r>
    <n v="498"/>
    <d v="2011-01-22T00:00:00"/>
    <x v="0"/>
    <n v="0"/>
    <x v="0"/>
    <x v="19"/>
    <b v="0"/>
    <n v="6"/>
    <n v="1"/>
    <x v="19"/>
    <n v="0.1061"/>
    <n v="0.35"/>
    <x v="7"/>
    <x v="15"/>
    <x v="42"/>
    <x v="29"/>
    <x v="0"/>
    <x v="0"/>
    <n v="0.22935326051082283"/>
    <n v="-0.25435329828790432"/>
    <n v="0.10399668008577614"/>
  </r>
  <r>
    <n v="499"/>
    <d v="2011-01-22T00:00:00"/>
    <x v="0"/>
    <n v="0"/>
    <x v="0"/>
    <x v="20"/>
    <b v="0"/>
    <n v="6"/>
    <n v="1"/>
    <x v="20"/>
    <n v="7.5800000000000006E-2"/>
    <n v="0.45"/>
    <x v="8"/>
    <x v="5"/>
    <x v="100"/>
    <x v="79"/>
    <x v="1"/>
    <x v="0"/>
    <n v="0.22935326051082283"/>
    <n v="-0.25435329828790432"/>
    <n v="0.10399668008577614"/>
  </r>
  <r>
    <n v="500"/>
    <d v="2011-01-22T00:00:00"/>
    <x v="0"/>
    <n v="0"/>
    <x v="0"/>
    <x v="21"/>
    <b v="0"/>
    <n v="6"/>
    <n v="1"/>
    <x v="20"/>
    <n v="0.1061"/>
    <n v="0.41"/>
    <x v="1"/>
    <x v="3"/>
    <x v="87"/>
    <x v="21"/>
    <x v="1"/>
    <x v="0"/>
    <n v="0.22935326051082283"/>
    <n v="-0.25435329828790432"/>
    <n v="0.10399668008577614"/>
  </r>
  <r>
    <n v="501"/>
    <d v="2011-01-22T00:00:00"/>
    <x v="0"/>
    <n v="0"/>
    <x v="0"/>
    <x v="22"/>
    <b v="0"/>
    <n v="6"/>
    <n v="1"/>
    <x v="20"/>
    <n v="0.1515"/>
    <n v="0.49"/>
    <x v="0"/>
    <x v="18"/>
    <x v="140"/>
    <x v="33"/>
    <x v="1"/>
    <x v="0"/>
    <n v="0.22935326051082283"/>
    <n v="-0.25435329828790432"/>
    <n v="0.10399668008577614"/>
  </r>
  <r>
    <n v="502"/>
    <d v="2011-01-22T00:00:00"/>
    <x v="0"/>
    <n v="0"/>
    <x v="0"/>
    <x v="23"/>
    <b v="0"/>
    <n v="6"/>
    <n v="1"/>
    <x v="21"/>
    <n v="7.5800000000000006E-2"/>
    <n v="0.56999999999999995"/>
    <x v="14"/>
    <x v="4"/>
    <x v="17"/>
    <x v="63"/>
    <x v="1"/>
    <x v="0"/>
    <n v="0.22935326051082283"/>
    <n v="-0.25435329828790432"/>
    <n v="0.10399668008577614"/>
  </r>
  <r>
    <n v="503"/>
    <d v="2011-01-23T00:00:00"/>
    <x v="0"/>
    <n v="0"/>
    <x v="0"/>
    <x v="0"/>
    <b v="0"/>
    <n v="0"/>
    <n v="1"/>
    <x v="21"/>
    <n v="7.5800000000000006E-2"/>
    <n v="0.56999999999999995"/>
    <x v="14"/>
    <x v="4"/>
    <x v="32"/>
    <x v="34"/>
    <x v="1"/>
    <x v="0"/>
    <n v="0.22935326051082283"/>
    <n v="-0.25435329828790432"/>
    <n v="0.10399668008577614"/>
  </r>
  <r>
    <n v="504"/>
    <d v="2011-01-23T00:00:00"/>
    <x v="0"/>
    <n v="0"/>
    <x v="0"/>
    <x v="1"/>
    <b v="0"/>
    <n v="0"/>
    <n v="1"/>
    <x v="21"/>
    <n v="7.5800000000000006E-2"/>
    <n v="0.56999999999999995"/>
    <x v="14"/>
    <x v="5"/>
    <x v="98"/>
    <x v="3"/>
    <x v="0"/>
    <x v="0"/>
    <n v="0.22935326051082283"/>
    <n v="-0.25435329828790432"/>
    <n v="0.10399668008577614"/>
  </r>
  <r>
    <n v="505"/>
    <d v="2011-01-23T00:00:00"/>
    <x v="0"/>
    <n v="0"/>
    <x v="0"/>
    <x v="2"/>
    <b v="0"/>
    <n v="0"/>
    <n v="1"/>
    <x v="22"/>
    <n v="6.0600000000000001E-2"/>
    <n v="0.62"/>
    <x v="7"/>
    <x v="0"/>
    <x v="89"/>
    <x v="109"/>
    <x v="0"/>
    <x v="0"/>
    <n v="0.22935326051082283"/>
    <n v="-0.25435329828790432"/>
    <n v="0.10399668008577614"/>
  </r>
  <r>
    <n v="506"/>
    <d v="2011-01-23T00:00:00"/>
    <x v="0"/>
    <n v="0"/>
    <x v="0"/>
    <x v="3"/>
    <b v="0"/>
    <n v="0"/>
    <n v="1"/>
    <x v="22"/>
    <n v="6.0600000000000001E-2"/>
    <n v="0.62"/>
    <x v="7"/>
    <x v="5"/>
    <x v="22"/>
    <x v="36"/>
    <x v="1"/>
    <x v="0"/>
    <n v="0.22935326051082283"/>
    <n v="-0.25435329828790432"/>
    <n v="0.10399668008577614"/>
  </r>
  <r>
    <n v="507"/>
    <d v="2011-01-23T00:00:00"/>
    <x v="0"/>
    <n v="0"/>
    <x v="0"/>
    <x v="5"/>
    <b v="0"/>
    <n v="0"/>
    <n v="2"/>
    <x v="21"/>
    <n v="7.5800000000000006E-2"/>
    <n v="0.56999999999999995"/>
    <x v="14"/>
    <x v="3"/>
    <x v="35"/>
    <x v="6"/>
    <x v="1"/>
    <x v="1"/>
    <n v="0.22935326051082283"/>
    <n v="-0.25435329828790432"/>
    <n v="0.10399668008577614"/>
  </r>
  <r>
    <n v="508"/>
    <d v="2011-01-23T00:00:00"/>
    <x v="0"/>
    <n v="0"/>
    <x v="0"/>
    <x v="6"/>
    <b v="0"/>
    <n v="0"/>
    <n v="2"/>
    <x v="21"/>
    <n v="7.5800000000000006E-2"/>
    <n v="0.56999999999999995"/>
    <x v="14"/>
    <x v="3"/>
    <x v="4"/>
    <x v="4"/>
    <x v="1"/>
    <x v="1"/>
    <n v="0.22935326051082283"/>
    <n v="-0.25435329828790432"/>
    <n v="0.10399668008577614"/>
  </r>
  <r>
    <n v="509"/>
    <d v="2011-01-23T00:00:00"/>
    <x v="0"/>
    <n v="0"/>
    <x v="0"/>
    <x v="7"/>
    <b v="0"/>
    <n v="0"/>
    <n v="1"/>
    <x v="19"/>
    <n v="0.1061"/>
    <n v="0.57999999999999996"/>
    <x v="8"/>
    <x v="5"/>
    <x v="4"/>
    <x v="5"/>
    <x v="1"/>
    <x v="0"/>
    <n v="0.22935326051082283"/>
    <n v="-0.25435329828790432"/>
    <n v="0.10399668008577614"/>
  </r>
  <r>
    <n v="510"/>
    <d v="2011-01-23T00:00:00"/>
    <x v="0"/>
    <n v="0"/>
    <x v="0"/>
    <x v="8"/>
    <b v="0"/>
    <n v="0"/>
    <n v="1"/>
    <x v="20"/>
    <n v="7.5800000000000006E-2"/>
    <n v="0.62"/>
    <x v="8"/>
    <x v="4"/>
    <x v="19"/>
    <x v="75"/>
    <x v="1"/>
    <x v="0"/>
    <n v="0.22935326051082283"/>
    <n v="-0.25435329828790432"/>
    <n v="0.10399668008577614"/>
  </r>
  <r>
    <n v="511"/>
    <d v="2011-01-23T00:00:00"/>
    <x v="0"/>
    <n v="0"/>
    <x v="0"/>
    <x v="9"/>
    <b v="0"/>
    <n v="0"/>
    <n v="1"/>
    <x v="18"/>
    <n v="7.5800000000000006E-2"/>
    <n v="0.54"/>
    <x v="11"/>
    <x v="0"/>
    <x v="18"/>
    <x v="20"/>
    <x v="0"/>
    <x v="0"/>
    <n v="0.22935326051082283"/>
    <n v="-0.25435329828790432"/>
    <n v="0.10399668008577614"/>
  </r>
  <r>
    <n v="512"/>
    <d v="2011-01-23T00:00:00"/>
    <x v="0"/>
    <n v="0"/>
    <x v="0"/>
    <x v="10"/>
    <b v="0"/>
    <n v="0"/>
    <n v="1"/>
    <x v="14"/>
    <n v="0.1061"/>
    <n v="0.46"/>
    <x v="13"/>
    <x v="18"/>
    <x v="82"/>
    <x v="154"/>
    <x v="0"/>
    <x v="0"/>
    <n v="0.22935326051082283"/>
    <n v="-0.25435329828790432"/>
    <n v="0.10399668008577614"/>
  </r>
  <r>
    <n v="513"/>
    <d v="2011-01-23T00:00:00"/>
    <x v="0"/>
    <n v="0"/>
    <x v="0"/>
    <x v="11"/>
    <b v="0"/>
    <n v="0"/>
    <n v="1"/>
    <x v="14"/>
    <n v="0.13639999999999999"/>
    <n v="0.43"/>
    <x v="6"/>
    <x v="30"/>
    <x v="99"/>
    <x v="111"/>
    <x v="1"/>
    <x v="0"/>
    <n v="0.22935326051082283"/>
    <n v="-0.25435329828790432"/>
    <n v="0.10399668008577614"/>
  </r>
  <r>
    <n v="514"/>
    <d v="2011-01-23T00:00:00"/>
    <x v="0"/>
    <n v="0"/>
    <x v="0"/>
    <x v="12"/>
    <b v="0"/>
    <n v="0"/>
    <n v="1"/>
    <x v="13"/>
    <n v="0.1212"/>
    <n v="0.37"/>
    <x v="17"/>
    <x v="31"/>
    <x v="50"/>
    <x v="155"/>
    <x v="1"/>
    <x v="0"/>
    <n v="0.22935326051082283"/>
    <n v="-0.25435329828790432"/>
    <n v="0.10399668008577614"/>
  </r>
  <r>
    <n v="515"/>
    <d v="2011-01-23T00:00:00"/>
    <x v="0"/>
    <n v="0"/>
    <x v="0"/>
    <x v="13"/>
    <b v="0"/>
    <n v="0"/>
    <n v="1"/>
    <x v="14"/>
    <n v="0.1061"/>
    <n v="0.33"/>
    <x v="13"/>
    <x v="6"/>
    <x v="102"/>
    <x v="90"/>
    <x v="1"/>
    <x v="0"/>
    <n v="0.22935326051082283"/>
    <n v="-0.25435329828790432"/>
    <n v="0.10399668008577614"/>
  </r>
  <r>
    <n v="516"/>
    <d v="2011-01-23T00:00:00"/>
    <x v="0"/>
    <n v="0"/>
    <x v="0"/>
    <x v="14"/>
    <b v="0"/>
    <n v="0"/>
    <n v="1"/>
    <x v="13"/>
    <n v="0.13639999999999999"/>
    <n v="0.28000000000000003"/>
    <x v="11"/>
    <x v="26"/>
    <x v="139"/>
    <x v="14"/>
    <x v="1"/>
    <x v="0"/>
    <n v="0.22935326051082283"/>
    <n v="-0.25435329828790432"/>
    <n v="0.10399668008577614"/>
  </r>
  <r>
    <n v="517"/>
    <d v="2011-01-23T00:00:00"/>
    <x v="0"/>
    <n v="0"/>
    <x v="0"/>
    <x v="15"/>
    <b v="0"/>
    <n v="0"/>
    <n v="1"/>
    <x v="13"/>
    <n v="0.13639999999999999"/>
    <n v="0.28000000000000003"/>
    <x v="11"/>
    <x v="23"/>
    <x v="27"/>
    <x v="43"/>
    <x v="1"/>
    <x v="0"/>
    <n v="0.22935326051082283"/>
    <n v="-0.25435329828790432"/>
    <n v="0.10399668008577614"/>
  </r>
  <r>
    <n v="518"/>
    <d v="2011-01-23T00:00:00"/>
    <x v="0"/>
    <n v="0"/>
    <x v="0"/>
    <x v="16"/>
    <b v="0"/>
    <n v="0"/>
    <n v="1"/>
    <x v="13"/>
    <n v="0.13639999999999999"/>
    <n v="0.26"/>
    <x v="9"/>
    <x v="14"/>
    <x v="90"/>
    <x v="32"/>
    <x v="0"/>
    <x v="0"/>
    <n v="0.22935326051082283"/>
    <n v="-0.25435329828790432"/>
    <n v="0.10399668008577614"/>
  </r>
  <r>
    <n v="519"/>
    <d v="2011-01-23T00:00:00"/>
    <x v="0"/>
    <n v="0"/>
    <x v="0"/>
    <x v="17"/>
    <b v="0"/>
    <n v="0"/>
    <n v="1"/>
    <x v="14"/>
    <n v="0.1061"/>
    <n v="0.26"/>
    <x v="13"/>
    <x v="2"/>
    <x v="54"/>
    <x v="97"/>
    <x v="0"/>
    <x v="0"/>
    <n v="0.22935326051082283"/>
    <n v="-0.25435329828790432"/>
    <n v="0.10399668008577614"/>
  </r>
  <r>
    <n v="520"/>
    <d v="2011-01-23T00:00:00"/>
    <x v="0"/>
    <n v="0"/>
    <x v="0"/>
    <x v="18"/>
    <b v="0"/>
    <n v="0"/>
    <n v="1"/>
    <x v="16"/>
    <n v="0.1212"/>
    <n v="0.3"/>
    <x v="2"/>
    <x v="2"/>
    <x v="100"/>
    <x v="99"/>
    <x v="1"/>
    <x v="0"/>
    <n v="0.22935326051082283"/>
    <n v="-0.25435329828790432"/>
    <n v="0.10399668008577614"/>
  </r>
  <r>
    <n v="521"/>
    <d v="2011-01-23T00:00:00"/>
    <x v="0"/>
    <n v="0"/>
    <x v="0"/>
    <x v="19"/>
    <b v="0"/>
    <n v="0"/>
    <n v="1"/>
    <x v="16"/>
    <n v="0.1212"/>
    <n v="0.3"/>
    <x v="3"/>
    <x v="2"/>
    <x v="108"/>
    <x v="89"/>
    <x v="1"/>
    <x v="0"/>
    <n v="0.22935326051082283"/>
    <n v="-0.25435329828790432"/>
    <n v="0.10399668008577614"/>
  </r>
  <r>
    <n v="522"/>
    <d v="2011-01-23T00:00:00"/>
    <x v="0"/>
    <n v="0"/>
    <x v="0"/>
    <x v="20"/>
    <b v="0"/>
    <n v="0"/>
    <n v="1"/>
    <x v="18"/>
    <n v="0.1061"/>
    <n v="0.36"/>
    <x v="2"/>
    <x v="17"/>
    <x v="17"/>
    <x v="17"/>
    <x v="1"/>
    <x v="0"/>
    <n v="0.22935326051082283"/>
    <n v="-0.25435329828790432"/>
    <n v="0.10399668008577614"/>
  </r>
  <r>
    <n v="523"/>
    <d v="2011-01-23T00:00:00"/>
    <x v="0"/>
    <n v="0"/>
    <x v="0"/>
    <x v="21"/>
    <b v="0"/>
    <n v="0"/>
    <n v="1"/>
    <x v="18"/>
    <n v="0.1061"/>
    <n v="0.36"/>
    <x v="5"/>
    <x v="2"/>
    <x v="32"/>
    <x v="94"/>
    <x v="1"/>
    <x v="0"/>
    <n v="0.22935326051082283"/>
    <n v="-0.25435329828790432"/>
    <n v="0.10399668008577614"/>
  </r>
  <r>
    <n v="524"/>
    <d v="2011-01-23T00:00:00"/>
    <x v="0"/>
    <n v="0"/>
    <x v="0"/>
    <x v="22"/>
    <b v="0"/>
    <n v="0"/>
    <n v="1"/>
    <x v="19"/>
    <n v="9.0899999999999995E-2"/>
    <n v="0.38"/>
    <x v="5"/>
    <x v="2"/>
    <x v="140"/>
    <x v="20"/>
    <x v="1"/>
    <x v="0"/>
    <n v="0.22935326051082283"/>
    <n v="-0.25435329828790432"/>
    <n v="0.10399668008577614"/>
  </r>
  <r>
    <n v="525"/>
    <d v="2011-01-23T00:00:00"/>
    <x v="0"/>
    <n v="0"/>
    <x v="0"/>
    <x v="23"/>
    <b v="0"/>
    <n v="0"/>
    <n v="1"/>
    <x v="20"/>
    <n v="6.0600000000000001E-2"/>
    <n v="0.41"/>
    <x v="6"/>
    <x v="17"/>
    <x v="19"/>
    <x v="137"/>
    <x v="0"/>
    <x v="0"/>
    <n v="0.22935326051082283"/>
    <n v="-0.25435329828790432"/>
    <n v="0.10399668008577614"/>
  </r>
  <r>
    <n v="526"/>
    <d v="2011-01-24T00:00:00"/>
    <x v="0"/>
    <n v="0"/>
    <x v="0"/>
    <x v="0"/>
    <b v="0"/>
    <n v="1"/>
    <n v="1"/>
    <x v="20"/>
    <n v="6.0600000000000001E-2"/>
    <n v="0.41"/>
    <x v="5"/>
    <x v="3"/>
    <x v="7"/>
    <x v="85"/>
    <x v="0"/>
    <x v="0"/>
    <n v="0.22935326051082283"/>
    <n v="-0.25435329828790432"/>
    <n v="0.10399668008577614"/>
  </r>
  <r>
    <n v="527"/>
    <d v="2011-01-24T00:00:00"/>
    <x v="0"/>
    <n v="0"/>
    <x v="0"/>
    <x v="1"/>
    <b v="0"/>
    <n v="1"/>
    <n v="1"/>
    <x v="21"/>
    <n v="4.5499999999999999E-2"/>
    <n v="0.45"/>
    <x v="5"/>
    <x v="3"/>
    <x v="4"/>
    <x v="4"/>
    <x v="1"/>
    <x v="0"/>
    <n v="0.22935326051082283"/>
    <n v="-0.25435329828790432"/>
    <n v="0.10399668008577614"/>
  </r>
  <r>
    <n v="528"/>
    <d v="2011-01-24T00:00:00"/>
    <x v="0"/>
    <n v="0"/>
    <x v="0"/>
    <x v="3"/>
    <b v="0"/>
    <n v="1"/>
    <n v="1"/>
    <x v="21"/>
    <n v="3.0300000000000001E-2"/>
    <n v="0.45"/>
    <x v="2"/>
    <x v="3"/>
    <x v="4"/>
    <x v="4"/>
    <x v="1"/>
    <x v="0"/>
    <n v="0.22935326051082283"/>
    <n v="-0.25435329828790432"/>
    <n v="0.10399668008577614"/>
  </r>
  <r>
    <n v="529"/>
    <d v="2011-01-24T00:00:00"/>
    <x v="0"/>
    <n v="0"/>
    <x v="0"/>
    <x v="4"/>
    <b v="0"/>
    <n v="1"/>
    <n v="1"/>
    <x v="22"/>
    <n v="6.0600000000000001E-2"/>
    <n v="0.48"/>
    <x v="7"/>
    <x v="3"/>
    <x v="4"/>
    <x v="4"/>
    <x v="1"/>
    <x v="0"/>
    <n v="0.22935326051082283"/>
    <n v="-0.25435329828790432"/>
    <n v="0.10399668008577614"/>
  </r>
  <r>
    <n v="530"/>
    <d v="2011-01-24T00:00:00"/>
    <x v="0"/>
    <n v="0"/>
    <x v="0"/>
    <x v="5"/>
    <b v="0"/>
    <n v="1"/>
    <n v="1"/>
    <x v="22"/>
    <n v="6.0600000000000001E-2"/>
    <n v="0.48"/>
    <x v="7"/>
    <x v="3"/>
    <x v="34"/>
    <x v="36"/>
    <x v="1"/>
    <x v="0"/>
    <n v="0.22935326051082283"/>
    <n v="-0.25435329828790432"/>
    <n v="0.10399668008577614"/>
  </r>
  <r>
    <n v="531"/>
    <d v="2011-01-24T00:00:00"/>
    <x v="0"/>
    <n v="0"/>
    <x v="0"/>
    <x v="6"/>
    <b v="0"/>
    <n v="1"/>
    <n v="1"/>
    <x v="22"/>
    <n v="7.5800000000000006E-2"/>
    <n v="0.48"/>
    <x v="1"/>
    <x v="3"/>
    <x v="89"/>
    <x v="93"/>
    <x v="1"/>
    <x v="0"/>
    <n v="0.22935326051082283"/>
    <n v="-0.25435329828790432"/>
    <n v="0.10399668008577614"/>
  </r>
  <r>
    <n v="532"/>
    <d v="2011-01-24T00:00:00"/>
    <x v="0"/>
    <n v="0"/>
    <x v="0"/>
    <x v="7"/>
    <b v="0"/>
    <n v="1"/>
    <n v="1"/>
    <x v="22"/>
    <n v="0.1212"/>
    <n v="0.48"/>
    <x v="0"/>
    <x v="2"/>
    <x v="55"/>
    <x v="11"/>
    <x v="0"/>
    <x v="0"/>
    <n v="0.22935326051082283"/>
    <n v="-0.25435329828790432"/>
    <n v="0.10399668008577614"/>
  </r>
  <r>
    <n v="533"/>
    <d v="2011-01-24T00:00:00"/>
    <x v="0"/>
    <n v="0"/>
    <x v="0"/>
    <x v="8"/>
    <b v="0"/>
    <n v="1"/>
    <n v="1"/>
    <x v="21"/>
    <n v="0.13639999999999999"/>
    <n v="0.49"/>
    <x v="0"/>
    <x v="15"/>
    <x v="141"/>
    <x v="156"/>
    <x v="0"/>
    <x v="0"/>
    <n v="0.22935326051082283"/>
    <n v="-0.25435329828790432"/>
    <n v="0.10399668008577614"/>
  </r>
  <r>
    <n v="534"/>
    <d v="2011-01-24T00:00:00"/>
    <x v="0"/>
    <n v="0"/>
    <x v="0"/>
    <x v="9"/>
    <b v="0"/>
    <n v="1"/>
    <n v="1"/>
    <x v="20"/>
    <n v="0.1515"/>
    <n v="0.41"/>
    <x v="0"/>
    <x v="17"/>
    <x v="52"/>
    <x v="96"/>
    <x v="1"/>
    <x v="0"/>
    <n v="0.22935326051082283"/>
    <n v="-0.25435329828790432"/>
    <n v="0.10399668008577614"/>
  </r>
  <r>
    <n v="535"/>
    <d v="2011-01-24T00:00:00"/>
    <x v="0"/>
    <n v="0"/>
    <x v="0"/>
    <x v="10"/>
    <b v="0"/>
    <n v="1"/>
    <n v="1"/>
    <x v="18"/>
    <n v="0.13639999999999999"/>
    <n v="0.42"/>
    <x v="0"/>
    <x v="15"/>
    <x v="60"/>
    <x v="1"/>
    <x v="1"/>
    <x v="0"/>
    <n v="0.22935326051082283"/>
    <n v="-0.25435329828790432"/>
    <n v="0.10399668008577614"/>
  </r>
  <r>
    <n v="536"/>
    <d v="2011-01-24T00:00:00"/>
    <x v="0"/>
    <n v="0"/>
    <x v="0"/>
    <x v="11"/>
    <b v="0"/>
    <n v="1"/>
    <n v="1"/>
    <x v="18"/>
    <n v="0.1212"/>
    <n v="0.46"/>
    <x v="7"/>
    <x v="0"/>
    <x v="30"/>
    <x v="66"/>
    <x v="1"/>
    <x v="0"/>
    <n v="0.22935326051082283"/>
    <n v="-0.25435329828790432"/>
    <n v="0.10399668008577614"/>
  </r>
  <r>
    <n v="537"/>
    <d v="2011-01-24T00:00:00"/>
    <x v="0"/>
    <n v="0"/>
    <x v="0"/>
    <x v="12"/>
    <b v="0"/>
    <n v="1"/>
    <n v="2"/>
    <x v="16"/>
    <n v="0.13639999999999999"/>
    <n v="0.42"/>
    <x v="5"/>
    <x v="16"/>
    <x v="15"/>
    <x v="55"/>
    <x v="1"/>
    <x v="1"/>
    <n v="0.22935326051082283"/>
    <n v="-0.25435329828790432"/>
    <n v="0.10399668008577614"/>
  </r>
  <r>
    <n v="538"/>
    <d v="2011-01-24T00:00:00"/>
    <x v="0"/>
    <n v="0"/>
    <x v="0"/>
    <x v="13"/>
    <b v="0"/>
    <n v="1"/>
    <n v="2"/>
    <x v="14"/>
    <n v="0.13639999999999999"/>
    <n v="0.43"/>
    <x v="6"/>
    <x v="15"/>
    <x v="25"/>
    <x v="122"/>
    <x v="1"/>
    <x v="1"/>
    <n v="0.22935326051082283"/>
    <n v="-0.25435329828790432"/>
    <n v="0.10399668008577614"/>
  </r>
  <r>
    <n v="539"/>
    <d v="2011-01-24T00:00:00"/>
    <x v="0"/>
    <n v="0"/>
    <x v="0"/>
    <x v="14"/>
    <b v="0"/>
    <n v="1"/>
    <n v="2"/>
    <x v="14"/>
    <n v="0.13639999999999999"/>
    <n v="0.46"/>
    <x v="6"/>
    <x v="4"/>
    <x v="30"/>
    <x v="79"/>
    <x v="0"/>
    <x v="1"/>
    <n v="0.22935326051082283"/>
    <n v="-0.25435329828790432"/>
    <n v="0.10399668008577614"/>
  </r>
  <r>
    <n v="540"/>
    <d v="2011-01-24T00:00:00"/>
    <x v="0"/>
    <n v="0"/>
    <x v="0"/>
    <x v="15"/>
    <b v="0"/>
    <n v="1"/>
    <n v="1"/>
    <x v="13"/>
    <n v="0.16669999999999999"/>
    <n v="0.4"/>
    <x v="8"/>
    <x v="18"/>
    <x v="54"/>
    <x v="52"/>
    <x v="0"/>
    <x v="0"/>
    <n v="0.22935326051082283"/>
    <n v="-0.25435329828790432"/>
    <n v="0.10399668008577614"/>
  </r>
  <r>
    <n v="541"/>
    <d v="2011-01-24T00:00:00"/>
    <x v="0"/>
    <n v="0"/>
    <x v="0"/>
    <x v="16"/>
    <b v="0"/>
    <n v="1"/>
    <n v="1"/>
    <x v="13"/>
    <n v="0.1515"/>
    <n v="0.47"/>
    <x v="2"/>
    <x v="17"/>
    <x v="43"/>
    <x v="27"/>
    <x v="1"/>
    <x v="0"/>
    <n v="0.22935326051082283"/>
    <n v="-0.25435329828790432"/>
    <n v="0.10399668008577614"/>
  </r>
  <r>
    <n v="542"/>
    <d v="2011-01-24T00:00:00"/>
    <x v="0"/>
    <n v="0"/>
    <x v="0"/>
    <x v="17"/>
    <b v="0"/>
    <n v="1"/>
    <n v="1"/>
    <x v="14"/>
    <n v="0.1212"/>
    <n v="0.5"/>
    <x v="2"/>
    <x v="15"/>
    <x v="86"/>
    <x v="157"/>
    <x v="1"/>
    <x v="0"/>
    <n v="0.22935326051082283"/>
    <n v="-0.25435329828790432"/>
    <n v="0.10399668008577614"/>
  </r>
  <r>
    <n v="543"/>
    <d v="2011-01-24T00:00:00"/>
    <x v="0"/>
    <n v="0"/>
    <x v="0"/>
    <x v="18"/>
    <b v="0"/>
    <n v="1"/>
    <n v="1"/>
    <x v="14"/>
    <n v="0.13639999999999999"/>
    <n v="0.59"/>
    <x v="5"/>
    <x v="1"/>
    <x v="142"/>
    <x v="158"/>
    <x v="1"/>
    <x v="0"/>
    <n v="0.22935326051082283"/>
    <n v="-0.25435329828790432"/>
    <n v="0.10399668008577614"/>
  </r>
  <r>
    <n v="544"/>
    <d v="2011-01-24T00:00:00"/>
    <x v="0"/>
    <n v="0"/>
    <x v="0"/>
    <x v="19"/>
    <b v="0"/>
    <n v="1"/>
    <n v="1"/>
    <x v="14"/>
    <n v="0.1515"/>
    <n v="0.54"/>
    <x v="8"/>
    <x v="2"/>
    <x v="143"/>
    <x v="13"/>
    <x v="1"/>
    <x v="0"/>
    <n v="0.22935326051082283"/>
    <n v="-0.25435329828790432"/>
    <n v="0.10399668008577614"/>
  </r>
  <r>
    <n v="545"/>
    <d v="2011-01-24T00:00:00"/>
    <x v="0"/>
    <n v="0"/>
    <x v="0"/>
    <x v="20"/>
    <b v="0"/>
    <n v="1"/>
    <n v="1"/>
    <x v="14"/>
    <n v="0.13639999999999999"/>
    <n v="0.59"/>
    <x v="5"/>
    <x v="5"/>
    <x v="122"/>
    <x v="117"/>
    <x v="1"/>
    <x v="0"/>
    <n v="0.22935326051082283"/>
    <n v="-0.25435329828790432"/>
    <n v="0.10399668008577614"/>
  </r>
  <r>
    <n v="546"/>
    <d v="2011-01-24T00:00:00"/>
    <x v="0"/>
    <n v="0"/>
    <x v="0"/>
    <x v="21"/>
    <b v="0"/>
    <n v="1"/>
    <n v="1"/>
    <x v="14"/>
    <n v="0.1515"/>
    <n v="0.63"/>
    <x v="8"/>
    <x v="15"/>
    <x v="42"/>
    <x v="29"/>
    <x v="0"/>
    <x v="0"/>
    <n v="0.22935326051082283"/>
    <n v="-0.25435329828790432"/>
    <n v="0.10399668008577614"/>
  </r>
  <r>
    <n v="547"/>
    <d v="2011-01-24T00:00:00"/>
    <x v="0"/>
    <n v="0"/>
    <x v="0"/>
    <x v="22"/>
    <b v="0"/>
    <n v="1"/>
    <n v="2"/>
    <x v="14"/>
    <n v="0.13639999999999999"/>
    <n v="0.63"/>
    <x v="6"/>
    <x v="0"/>
    <x v="1"/>
    <x v="17"/>
    <x v="0"/>
    <x v="1"/>
    <n v="0.22935326051082283"/>
    <n v="-0.25435329828790432"/>
    <n v="0.10399668008577614"/>
  </r>
  <r>
    <n v="548"/>
    <d v="2011-01-24T00:00:00"/>
    <x v="0"/>
    <n v="0"/>
    <x v="0"/>
    <x v="23"/>
    <b v="0"/>
    <n v="1"/>
    <n v="2"/>
    <x v="13"/>
    <n v="0.1515"/>
    <n v="0.64"/>
    <x v="2"/>
    <x v="0"/>
    <x v="144"/>
    <x v="108"/>
    <x v="1"/>
    <x v="1"/>
    <n v="0.22935326051082283"/>
    <n v="-0.25435329828790432"/>
    <n v="0.10399668008577614"/>
  </r>
  <r>
    <n v="549"/>
    <d v="2011-01-25T00:00:00"/>
    <x v="0"/>
    <n v="0"/>
    <x v="0"/>
    <x v="0"/>
    <b v="0"/>
    <n v="2"/>
    <n v="2"/>
    <x v="13"/>
    <n v="0.13639999999999999"/>
    <n v="0.69"/>
    <x v="3"/>
    <x v="0"/>
    <x v="8"/>
    <x v="23"/>
    <x v="1"/>
    <x v="1"/>
    <n v="0.22935326051082283"/>
    <n v="-0.25435329828790432"/>
    <n v="0.10399668008577614"/>
  </r>
  <r>
    <n v="550"/>
    <d v="2011-01-25T00:00:00"/>
    <x v="0"/>
    <n v="0"/>
    <x v="0"/>
    <x v="1"/>
    <b v="0"/>
    <n v="2"/>
    <n v="2"/>
    <x v="13"/>
    <n v="0.16669999999999999"/>
    <n v="0.69"/>
    <x v="8"/>
    <x v="3"/>
    <x v="34"/>
    <x v="36"/>
    <x v="1"/>
    <x v="1"/>
    <n v="0.22935326051082283"/>
    <n v="-0.25435329828790432"/>
    <n v="0.10399668008577614"/>
  </r>
  <r>
    <n v="551"/>
    <d v="2011-01-25T00:00:00"/>
    <x v="0"/>
    <n v="0"/>
    <x v="0"/>
    <x v="2"/>
    <b v="0"/>
    <n v="2"/>
    <n v="1"/>
    <x v="13"/>
    <n v="0.1515"/>
    <n v="0.69"/>
    <x v="6"/>
    <x v="3"/>
    <x v="6"/>
    <x v="5"/>
    <x v="1"/>
    <x v="0"/>
    <n v="0.22935326051082283"/>
    <n v="-0.25435329828790432"/>
    <n v="0.10399668008577614"/>
  </r>
  <r>
    <n v="552"/>
    <d v="2011-01-25T00:00:00"/>
    <x v="0"/>
    <n v="0"/>
    <x v="0"/>
    <x v="4"/>
    <b v="0"/>
    <n v="2"/>
    <n v="1"/>
    <x v="14"/>
    <n v="0.16669999999999999"/>
    <n v="0.74"/>
    <x v="14"/>
    <x v="3"/>
    <x v="4"/>
    <x v="4"/>
    <x v="1"/>
    <x v="0"/>
    <n v="0.22935326051082283"/>
    <n v="-0.25435329828790432"/>
    <n v="0.10399668008577614"/>
  </r>
  <r>
    <n v="553"/>
    <d v="2011-01-25T00:00:00"/>
    <x v="0"/>
    <n v="0"/>
    <x v="0"/>
    <x v="5"/>
    <b v="0"/>
    <n v="2"/>
    <n v="1"/>
    <x v="14"/>
    <n v="0.13639999999999999"/>
    <n v="0.74"/>
    <x v="6"/>
    <x v="3"/>
    <x v="33"/>
    <x v="23"/>
    <x v="0"/>
    <x v="0"/>
    <n v="0.22935326051082283"/>
    <n v="-0.25435329828790432"/>
    <n v="0.10399668008577614"/>
  </r>
  <r>
    <n v="554"/>
    <d v="2011-01-25T00:00:00"/>
    <x v="0"/>
    <n v="0"/>
    <x v="0"/>
    <x v="6"/>
    <b v="0"/>
    <n v="2"/>
    <n v="1"/>
    <x v="13"/>
    <n v="0.18179999999999999"/>
    <n v="0.74"/>
    <x v="14"/>
    <x v="5"/>
    <x v="96"/>
    <x v="9"/>
    <x v="0"/>
    <x v="0"/>
    <n v="0.22935326051082283"/>
    <n v="-0.25435329828790432"/>
    <n v="0.10399668008577614"/>
  </r>
  <r>
    <n v="555"/>
    <d v="2011-01-25T00:00:00"/>
    <x v="0"/>
    <n v="0"/>
    <x v="0"/>
    <x v="7"/>
    <b v="0"/>
    <n v="2"/>
    <n v="1"/>
    <x v="13"/>
    <n v="0.1515"/>
    <n v="0.74"/>
    <x v="6"/>
    <x v="2"/>
    <x v="145"/>
    <x v="159"/>
    <x v="1"/>
    <x v="0"/>
    <n v="0.22935326051082283"/>
    <n v="-0.25435329828790432"/>
    <n v="0.10399668008577614"/>
  </r>
  <r>
    <n v="556"/>
    <d v="2011-01-25T00:00:00"/>
    <x v="0"/>
    <n v="0"/>
    <x v="0"/>
    <x v="8"/>
    <b v="0"/>
    <n v="2"/>
    <n v="2"/>
    <x v="13"/>
    <n v="0.18179999999999999"/>
    <n v="0.74"/>
    <x v="7"/>
    <x v="2"/>
    <x v="146"/>
    <x v="160"/>
    <x v="1"/>
    <x v="1"/>
    <n v="0.22935326051082283"/>
    <n v="-0.25435329828790432"/>
    <n v="0.10399668008577614"/>
  </r>
  <r>
    <n v="557"/>
    <d v="2011-01-25T00:00:00"/>
    <x v="0"/>
    <n v="0"/>
    <x v="0"/>
    <x v="9"/>
    <b v="0"/>
    <n v="2"/>
    <n v="2"/>
    <x v="2"/>
    <n v="0.2273"/>
    <n v="0.64"/>
    <x v="1"/>
    <x v="22"/>
    <x v="120"/>
    <x v="124"/>
    <x v="1"/>
    <x v="1"/>
    <n v="0.22935326051082283"/>
    <n v="-0.25435329828790432"/>
    <n v="0.10399668008577614"/>
  </r>
  <r>
    <n v="558"/>
    <d v="2011-01-25T00:00:00"/>
    <x v="0"/>
    <n v="0"/>
    <x v="0"/>
    <x v="10"/>
    <b v="0"/>
    <n v="2"/>
    <n v="2"/>
    <x v="1"/>
    <n v="0.2424"/>
    <n v="0.6"/>
    <x v="14"/>
    <x v="15"/>
    <x v="47"/>
    <x v="97"/>
    <x v="1"/>
    <x v="1"/>
    <n v="0.22935326051082283"/>
    <n v="-0.25435329828790432"/>
    <n v="0.10399668008577614"/>
  </r>
  <r>
    <n v="559"/>
    <d v="2011-01-25T00:00:00"/>
    <x v="0"/>
    <n v="0"/>
    <x v="0"/>
    <x v="11"/>
    <b v="0"/>
    <n v="2"/>
    <n v="2"/>
    <x v="0"/>
    <n v="0.2424"/>
    <n v="0.6"/>
    <x v="7"/>
    <x v="15"/>
    <x v="11"/>
    <x v="42"/>
    <x v="1"/>
    <x v="1"/>
    <n v="0.22935326051082283"/>
    <n v="-0.25435329828790432"/>
    <n v="0.10399668008577614"/>
  </r>
  <r>
    <n v="560"/>
    <d v="2011-01-25T00:00:00"/>
    <x v="0"/>
    <n v="0"/>
    <x v="0"/>
    <x v="12"/>
    <b v="0"/>
    <n v="2"/>
    <n v="2"/>
    <x v="12"/>
    <n v="0.28789999999999999"/>
    <n v="0.56000000000000005"/>
    <x v="1"/>
    <x v="27"/>
    <x v="66"/>
    <x v="13"/>
    <x v="0"/>
    <x v="1"/>
    <n v="0.22935326051082283"/>
    <n v="-0.25435329828790432"/>
    <n v="0.10399668008577614"/>
  </r>
  <r>
    <n v="561"/>
    <d v="2011-01-25T00:00:00"/>
    <x v="0"/>
    <n v="0"/>
    <x v="0"/>
    <x v="13"/>
    <b v="0"/>
    <n v="2"/>
    <n v="2"/>
    <x v="12"/>
    <n v="0.2727"/>
    <n v="0.56000000000000005"/>
    <x v="7"/>
    <x v="27"/>
    <x v="109"/>
    <x v="15"/>
    <x v="0"/>
    <x v="1"/>
    <n v="0.22935326051082283"/>
    <n v="-0.25435329828790432"/>
    <n v="0.10399668008577614"/>
  </r>
  <r>
    <n v="562"/>
    <d v="2011-01-25T00:00:00"/>
    <x v="0"/>
    <n v="0"/>
    <x v="0"/>
    <x v="14"/>
    <b v="0"/>
    <n v="2"/>
    <n v="2"/>
    <x v="11"/>
    <n v="0.33329999999999999"/>
    <n v="0.45"/>
    <x v="0"/>
    <x v="16"/>
    <x v="77"/>
    <x v="118"/>
    <x v="1"/>
    <x v="1"/>
    <n v="0.22935326051082283"/>
    <n v="-0.25435329828790432"/>
    <n v="0.10399668008577614"/>
  </r>
  <r>
    <n v="563"/>
    <d v="2011-01-25T00:00:00"/>
    <x v="0"/>
    <n v="0"/>
    <x v="0"/>
    <x v="15"/>
    <b v="0"/>
    <n v="2"/>
    <n v="2"/>
    <x v="3"/>
    <n v="0.34849999999999998"/>
    <n v="0.42"/>
    <x v="0"/>
    <x v="27"/>
    <x v="36"/>
    <x v="11"/>
    <x v="1"/>
    <x v="1"/>
    <n v="0.22935326051082283"/>
    <n v="-0.25435329828790432"/>
    <n v="0.10399668008577614"/>
  </r>
  <r>
    <n v="564"/>
    <d v="2011-01-25T00:00:00"/>
    <x v="0"/>
    <n v="0"/>
    <x v="0"/>
    <x v="16"/>
    <b v="0"/>
    <n v="2"/>
    <n v="2"/>
    <x v="3"/>
    <n v="0.34849999999999998"/>
    <n v="0.42"/>
    <x v="0"/>
    <x v="24"/>
    <x v="46"/>
    <x v="155"/>
    <x v="1"/>
    <x v="1"/>
    <n v="0.22935326051082283"/>
    <n v="-0.25435329828790432"/>
    <n v="0.10399668008577614"/>
  </r>
  <r>
    <n v="565"/>
    <d v="2011-01-25T00:00:00"/>
    <x v="0"/>
    <n v="0"/>
    <x v="0"/>
    <x v="17"/>
    <b v="0"/>
    <n v="2"/>
    <n v="1"/>
    <x v="11"/>
    <n v="0.33329999999999999"/>
    <n v="0.45"/>
    <x v="0"/>
    <x v="24"/>
    <x v="147"/>
    <x v="161"/>
    <x v="1"/>
    <x v="0"/>
    <n v="0.22935326051082283"/>
    <n v="-0.25435329828790432"/>
    <n v="0.10399668008577614"/>
  </r>
  <r>
    <n v="566"/>
    <d v="2011-01-25T00:00:00"/>
    <x v="0"/>
    <n v="0"/>
    <x v="0"/>
    <x v="18"/>
    <b v="0"/>
    <n v="2"/>
    <n v="2"/>
    <x v="11"/>
    <n v="0.31819999999999998"/>
    <n v="0.49"/>
    <x v="1"/>
    <x v="18"/>
    <x v="148"/>
    <x v="162"/>
    <x v="1"/>
    <x v="1"/>
    <n v="0.22935326051082283"/>
    <n v="-0.25435329828790432"/>
    <n v="0.10399668008577614"/>
  </r>
  <r>
    <n v="567"/>
    <d v="2011-01-25T00:00:00"/>
    <x v="0"/>
    <n v="0"/>
    <x v="0"/>
    <x v="19"/>
    <b v="0"/>
    <n v="2"/>
    <n v="2"/>
    <x v="12"/>
    <n v="0.2576"/>
    <n v="0.65"/>
    <x v="8"/>
    <x v="23"/>
    <x v="149"/>
    <x v="163"/>
    <x v="0"/>
    <x v="1"/>
    <n v="0.22935326051082283"/>
    <n v="-0.25435329828790432"/>
    <n v="0.10399668008577614"/>
  </r>
  <r>
    <n v="568"/>
    <d v="2011-01-25T00:00:00"/>
    <x v="0"/>
    <n v="0"/>
    <x v="0"/>
    <x v="20"/>
    <b v="0"/>
    <n v="2"/>
    <n v="1"/>
    <x v="0"/>
    <n v="0.2273"/>
    <n v="0.65"/>
    <x v="5"/>
    <x v="19"/>
    <x v="145"/>
    <x v="164"/>
    <x v="0"/>
    <x v="0"/>
    <n v="0.22935326051082283"/>
    <n v="-0.25435329828790432"/>
    <n v="0.10399668008577614"/>
  </r>
  <r>
    <n v="569"/>
    <d v="2011-01-25T00:00:00"/>
    <x v="0"/>
    <n v="0"/>
    <x v="0"/>
    <x v="21"/>
    <b v="0"/>
    <n v="2"/>
    <n v="1"/>
    <x v="0"/>
    <n v="0.2273"/>
    <n v="0.65"/>
    <x v="5"/>
    <x v="2"/>
    <x v="71"/>
    <x v="79"/>
    <x v="1"/>
    <x v="0"/>
    <n v="0.22935326051082283"/>
    <n v="-0.25435329828790432"/>
    <n v="0.10399668008577614"/>
  </r>
  <r>
    <n v="570"/>
    <d v="2011-01-25T00:00:00"/>
    <x v="0"/>
    <n v="0"/>
    <x v="0"/>
    <x v="22"/>
    <b v="0"/>
    <n v="2"/>
    <n v="1"/>
    <x v="1"/>
    <n v="0.2273"/>
    <n v="0.64"/>
    <x v="8"/>
    <x v="17"/>
    <x v="47"/>
    <x v="26"/>
    <x v="1"/>
    <x v="0"/>
    <n v="0.22935326051082283"/>
    <n v="-0.25435329828790432"/>
    <n v="0.10399668008577614"/>
  </r>
  <r>
    <n v="571"/>
    <d v="2011-01-25T00:00:00"/>
    <x v="0"/>
    <n v="0"/>
    <x v="0"/>
    <x v="23"/>
    <b v="0"/>
    <n v="2"/>
    <n v="2"/>
    <x v="1"/>
    <n v="0.2273"/>
    <n v="0.64"/>
    <x v="8"/>
    <x v="0"/>
    <x v="53"/>
    <x v="1"/>
    <x v="1"/>
    <x v="1"/>
    <n v="0.22935326051082283"/>
    <n v="-0.25435329828790432"/>
    <n v="0.10399668008577614"/>
  </r>
  <r>
    <n v="572"/>
    <d v="2011-01-26T00:00:00"/>
    <x v="0"/>
    <n v="0"/>
    <x v="0"/>
    <x v="0"/>
    <b v="0"/>
    <n v="3"/>
    <n v="2"/>
    <x v="1"/>
    <n v="0.2273"/>
    <n v="0.69"/>
    <x v="7"/>
    <x v="0"/>
    <x v="88"/>
    <x v="22"/>
    <x v="1"/>
    <x v="1"/>
    <n v="0.22935326051082283"/>
    <n v="-0.25435329828790432"/>
    <n v="0.10399668008577614"/>
  </r>
  <r>
    <n v="573"/>
    <d v="2011-01-26T00:00:00"/>
    <x v="0"/>
    <n v="0"/>
    <x v="0"/>
    <x v="1"/>
    <b v="0"/>
    <n v="3"/>
    <n v="2"/>
    <x v="0"/>
    <n v="0.2424"/>
    <n v="0.65"/>
    <x v="7"/>
    <x v="3"/>
    <x v="34"/>
    <x v="36"/>
    <x v="1"/>
    <x v="1"/>
    <n v="0.22935326051082283"/>
    <n v="-0.25435329828790432"/>
    <n v="0.10399668008577614"/>
  </r>
  <r>
    <n v="574"/>
    <d v="2011-01-26T00:00:00"/>
    <x v="0"/>
    <n v="0"/>
    <x v="0"/>
    <x v="2"/>
    <b v="0"/>
    <n v="3"/>
    <n v="3"/>
    <x v="1"/>
    <n v="0.2273"/>
    <n v="0.69"/>
    <x v="5"/>
    <x v="0"/>
    <x v="7"/>
    <x v="98"/>
    <x v="0"/>
    <x v="2"/>
    <n v="0.22935326051082283"/>
    <n v="-0.25435329828790432"/>
    <n v="0.10399668008577614"/>
  </r>
  <r>
    <n v="575"/>
    <d v="2011-01-26T00:00:00"/>
    <x v="0"/>
    <n v="0"/>
    <x v="0"/>
    <x v="5"/>
    <b v="0"/>
    <n v="3"/>
    <n v="3"/>
    <x v="23"/>
    <n v="0.18179999999999999"/>
    <n v="0.86"/>
    <x v="3"/>
    <x v="3"/>
    <x v="4"/>
    <x v="4"/>
    <x v="0"/>
    <x v="2"/>
    <n v="0.22935326051082283"/>
    <n v="-0.25435329828790432"/>
    <n v="0.10399668008577614"/>
  </r>
  <r>
    <n v="576"/>
    <d v="2011-01-26T00:00:00"/>
    <x v="0"/>
    <n v="0"/>
    <x v="0"/>
    <x v="6"/>
    <b v="0"/>
    <n v="3"/>
    <n v="3"/>
    <x v="2"/>
    <n v="0.18179999999999999"/>
    <n v="0.86"/>
    <x v="3"/>
    <x v="3"/>
    <x v="21"/>
    <x v="7"/>
    <x v="1"/>
    <x v="2"/>
    <n v="0.22935326051082283"/>
    <n v="-0.25435329828790432"/>
    <n v="0.10399668008577614"/>
  </r>
  <r>
    <n v="577"/>
    <d v="2011-01-26T00:00:00"/>
    <x v="0"/>
    <n v="0"/>
    <x v="0"/>
    <x v="7"/>
    <b v="0"/>
    <n v="3"/>
    <n v="3"/>
    <x v="1"/>
    <n v="0.21210000000000001"/>
    <n v="0.87"/>
    <x v="4"/>
    <x v="5"/>
    <x v="31"/>
    <x v="33"/>
    <x v="1"/>
    <x v="2"/>
    <n v="0.22935326051082283"/>
    <n v="-0.25435329828790432"/>
    <n v="0.10399668008577614"/>
  </r>
  <r>
    <n v="578"/>
    <d v="2011-01-26T00:00:00"/>
    <x v="0"/>
    <n v="0"/>
    <x v="0"/>
    <x v="8"/>
    <b v="0"/>
    <n v="3"/>
    <n v="3"/>
    <x v="1"/>
    <n v="0.21210000000000001"/>
    <n v="0.87"/>
    <x v="4"/>
    <x v="0"/>
    <x v="94"/>
    <x v="44"/>
    <x v="1"/>
    <x v="2"/>
    <n v="0.22935326051082283"/>
    <n v="-0.25435329828790432"/>
    <n v="0.10399668008577614"/>
  </r>
  <r>
    <n v="579"/>
    <d v="2011-01-26T00:00:00"/>
    <x v="0"/>
    <n v="0"/>
    <x v="0"/>
    <x v="9"/>
    <b v="0"/>
    <n v="3"/>
    <n v="3"/>
    <x v="1"/>
    <n v="0.21210000000000001"/>
    <n v="0.87"/>
    <x v="4"/>
    <x v="0"/>
    <x v="11"/>
    <x v="154"/>
    <x v="1"/>
    <x v="2"/>
    <n v="0.22935326051082283"/>
    <n v="-0.25435329828790432"/>
    <n v="0.10399668008577614"/>
  </r>
  <r>
    <n v="580"/>
    <d v="2011-01-26T00:00:00"/>
    <x v="0"/>
    <n v="0"/>
    <x v="0"/>
    <x v="10"/>
    <b v="0"/>
    <n v="3"/>
    <n v="3"/>
    <x v="1"/>
    <n v="0.21210000000000001"/>
    <n v="0.93"/>
    <x v="3"/>
    <x v="4"/>
    <x v="16"/>
    <x v="20"/>
    <x v="1"/>
    <x v="2"/>
    <n v="0.22935326051082283"/>
    <n v="-0.25435329828790432"/>
    <n v="0.10399668008577614"/>
  </r>
  <r>
    <n v="581"/>
    <d v="2011-01-26T00:00:00"/>
    <x v="0"/>
    <n v="0"/>
    <x v="0"/>
    <x v="11"/>
    <b v="0"/>
    <n v="3"/>
    <n v="3"/>
    <x v="1"/>
    <n v="0.19700000000000001"/>
    <n v="0.93"/>
    <x v="9"/>
    <x v="15"/>
    <x v="96"/>
    <x v="102"/>
    <x v="0"/>
    <x v="2"/>
    <n v="0.22935326051082283"/>
    <n v="-0.25435329828790432"/>
    <n v="0.10399668008577614"/>
  </r>
  <r>
    <n v="582"/>
    <d v="2011-01-26T00:00:00"/>
    <x v="0"/>
    <n v="0"/>
    <x v="0"/>
    <x v="12"/>
    <b v="0"/>
    <n v="3"/>
    <n v="3"/>
    <x v="1"/>
    <n v="0.19700000000000001"/>
    <n v="0.93"/>
    <x v="9"/>
    <x v="18"/>
    <x v="40"/>
    <x v="61"/>
    <x v="0"/>
    <x v="2"/>
    <n v="0.22935326051082283"/>
    <n v="-0.25435329828790432"/>
    <n v="0.10399668008577614"/>
  </r>
  <r>
    <n v="583"/>
    <d v="2011-01-26T00:00:00"/>
    <x v="0"/>
    <n v="0"/>
    <x v="0"/>
    <x v="13"/>
    <b v="0"/>
    <n v="3"/>
    <n v="3"/>
    <x v="1"/>
    <n v="0.19700000000000001"/>
    <n v="0.93"/>
    <x v="9"/>
    <x v="17"/>
    <x v="30"/>
    <x v="105"/>
    <x v="1"/>
    <x v="2"/>
    <n v="0.22935326051082283"/>
    <n v="-0.25435329828790432"/>
    <n v="0.10399668008577614"/>
  </r>
  <r>
    <n v="584"/>
    <d v="2011-01-26T00:00:00"/>
    <x v="0"/>
    <n v="0"/>
    <x v="0"/>
    <x v="14"/>
    <b v="0"/>
    <n v="3"/>
    <n v="3"/>
    <x v="1"/>
    <n v="0.19700000000000001"/>
    <n v="0.93"/>
    <x v="11"/>
    <x v="3"/>
    <x v="49"/>
    <x v="9"/>
    <x v="1"/>
    <x v="2"/>
    <n v="0.22935326051082283"/>
    <n v="-0.25435329828790432"/>
    <n v="0.10399668008577614"/>
  </r>
  <r>
    <n v="585"/>
    <d v="2011-01-26T00:00:00"/>
    <x v="0"/>
    <n v="0"/>
    <x v="0"/>
    <x v="15"/>
    <b v="0"/>
    <n v="3"/>
    <n v="3"/>
    <x v="1"/>
    <n v="0.18179999999999999"/>
    <n v="0.93"/>
    <x v="17"/>
    <x v="5"/>
    <x v="76"/>
    <x v="74"/>
    <x v="1"/>
    <x v="2"/>
    <n v="0.22935326051082283"/>
    <n v="-0.25435329828790432"/>
    <n v="0.10399668008577614"/>
  </r>
  <r>
    <n v="586"/>
    <d v="2011-01-26T00:00:00"/>
    <x v="0"/>
    <n v="0"/>
    <x v="0"/>
    <x v="16"/>
    <b v="0"/>
    <n v="3"/>
    <n v="4"/>
    <x v="1"/>
    <n v="0.19700000000000001"/>
    <n v="0.93"/>
    <x v="9"/>
    <x v="5"/>
    <x v="96"/>
    <x v="9"/>
    <x v="1"/>
    <x v="3"/>
    <n v="0.22935326051082283"/>
    <n v="-0.25435329828790432"/>
    <n v="0.10399668008577614"/>
  </r>
  <r>
    <n v="587"/>
    <d v="2011-01-26T00:00:00"/>
    <x v="0"/>
    <n v="0"/>
    <x v="0"/>
    <x v="17"/>
    <b v="0"/>
    <n v="3"/>
    <n v="3"/>
    <x v="2"/>
    <n v="0.18179999999999999"/>
    <n v="0.93"/>
    <x v="11"/>
    <x v="3"/>
    <x v="16"/>
    <x v="132"/>
    <x v="1"/>
    <x v="2"/>
    <n v="0.22935326051082283"/>
    <n v="-0.25435329828790432"/>
    <n v="0.10399668008577614"/>
  </r>
  <r>
    <n v="588"/>
    <d v="2011-01-27T00:00:00"/>
    <x v="0"/>
    <n v="0"/>
    <x v="0"/>
    <x v="16"/>
    <b v="0"/>
    <n v="4"/>
    <n v="1"/>
    <x v="1"/>
    <n v="0.2273"/>
    <n v="0.55000000000000004"/>
    <x v="5"/>
    <x v="5"/>
    <x v="140"/>
    <x v="108"/>
    <x v="0"/>
    <x v="0"/>
    <n v="0.22935326051082283"/>
    <n v="-0.25435329828790432"/>
    <n v="0.10399668008577614"/>
  </r>
  <r>
    <n v="589"/>
    <d v="2011-01-27T00:00:00"/>
    <x v="0"/>
    <n v="0"/>
    <x v="0"/>
    <x v="17"/>
    <b v="0"/>
    <n v="4"/>
    <n v="1"/>
    <x v="1"/>
    <n v="0.2424"/>
    <n v="0.55000000000000004"/>
    <x v="14"/>
    <x v="4"/>
    <x v="70"/>
    <x v="11"/>
    <x v="0"/>
    <x v="0"/>
    <n v="0.22935326051082283"/>
    <n v="-0.25435329828790432"/>
    <n v="0.10399668008577614"/>
  </r>
  <r>
    <n v="590"/>
    <d v="2011-01-27T00:00:00"/>
    <x v="0"/>
    <n v="0"/>
    <x v="0"/>
    <x v="18"/>
    <b v="0"/>
    <n v="4"/>
    <n v="1"/>
    <x v="2"/>
    <n v="0.2273"/>
    <n v="0.69"/>
    <x v="1"/>
    <x v="0"/>
    <x v="143"/>
    <x v="133"/>
    <x v="1"/>
    <x v="0"/>
    <n v="0.22935326051082283"/>
    <n v="-0.25435329828790432"/>
    <n v="0.10399668008577614"/>
  </r>
  <r>
    <n v="591"/>
    <d v="2011-01-27T00:00:00"/>
    <x v="0"/>
    <n v="0"/>
    <x v="0"/>
    <x v="19"/>
    <b v="0"/>
    <n v="4"/>
    <n v="1"/>
    <x v="2"/>
    <n v="0.2273"/>
    <n v="0.69"/>
    <x v="1"/>
    <x v="0"/>
    <x v="83"/>
    <x v="67"/>
    <x v="1"/>
    <x v="0"/>
    <n v="0.22935326051082283"/>
    <n v="-0.25435329828790432"/>
    <n v="0.10399668008577614"/>
  </r>
  <r>
    <n v="592"/>
    <d v="2011-01-27T00:00:00"/>
    <x v="0"/>
    <n v="0"/>
    <x v="0"/>
    <x v="20"/>
    <b v="0"/>
    <n v="4"/>
    <n v="1"/>
    <x v="15"/>
    <n v="0.21210000000000001"/>
    <n v="0.74"/>
    <x v="1"/>
    <x v="17"/>
    <x v="11"/>
    <x v="29"/>
    <x v="1"/>
    <x v="0"/>
    <n v="0.22935326051082283"/>
    <n v="-0.25435329828790432"/>
    <n v="0.10399668008577614"/>
  </r>
  <r>
    <n v="593"/>
    <d v="2011-01-27T00:00:00"/>
    <x v="0"/>
    <n v="0"/>
    <x v="0"/>
    <x v="21"/>
    <b v="0"/>
    <n v="4"/>
    <n v="1"/>
    <x v="15"/>
    <n v="0.21210000000000001"/>
    <n v="0.74"/>
    <x v="1"/>
    <x v="4"/>
    <x v="49"/>
    <x v="103"/>
    <x v="1"/>
    <x v="0"/>
    <n v="0.22935326051082283"/>
    <n v="-0.25435329828790432"/>
    <n v="0.10399668008577614"/>
  </r>
  <r>
    <n v="594"/>
    <d v="2011-01-27T00:00:00"/>
    <x v="0"/>
    <n v="0"/>
    <x v="0"/>
    <x v="22"/>
    <b v="0"/>
    <n v="4"/>
    <n v="1"/>
    <x v="15"/>
    <n v="0.21210000000000001"/>
    <n v="0.74"/>
    <x v="1"/>
    <x v="3"/>
    <x v="2"/>
    <x v="110"/>
    <x v="1"/>
    <x v="0"/>
    <n v="0.22935326051082283"/>
    <n v="-0.25435329828790432"/>
    <n v="0.10399668008577614"/>
  </r>
  <r>
    <n v="595"/>
    <d v="2011-01-27T00:00:00"/>
    <x v="0"/>
    <n v="0"/>
    <x v="0"/>
    <x v="23"/>
    <b v="0"/>
    <n v="4"/>
    <n v="1"/>
    <x v="15"/>
    <n v="0.19700000000000001"/>
    <n v="0.8"/>
    <x v="8"/>
    <x v="3"/>
    <x v="20"/>
    <x v="0"/>
    <x v="0"/>
    <x v="0"/>
    <n v="0.22935326051082283"/>
    <n v="-0.25435329828790432"/>
    <n v="0.10399668008577614"/>
  </r>
  <r>
    <n v="596"/>
    <d v="2011-01-28T00:00:00"/>
    <x v="0"/>
    <n v="0"/>
    <x v="0"/>
    <x v="0"/>
    <b v="0"/>
    <n v="5"/>
    <n v="2"/>
    <x v="2"/>
    <n v="0.21210000000000001"/>
    <n v="0.75"/>
    <x v="7"/>
    <x v="3"/>
    <x v="33"/>
    <x v="23"/>
    <x v="0"/>
    <x v="1"/>
    <n v="0.22935326051082283"/>
    <n v="-0.25435329828790432"/>
    <n v="0.10399668008577614"/>
  </r>
  <r>
    <n v="597"/>
    <d v="2011-01-28T00:00:00"/>
    <x v="0"/>
    <n v="0"/>
    <x v="0"/>
    <x v="1"/>
    <b v="0"/>
    <n v="5"/>
    <n v="2"/>
    <x v="2"/>
    <n v="0.21210000000000001"/>
    <n v="0.75"/>
    <x v="7"/>
    <x v="5"/>
    <x v="6"/>
    <x v="6"/>
    <x v="1"/>
    <x v="1"/>
    <n v="0.22935326051082283"/>
    <n v="-0.25435329828790432"/>
    <n v="0.10399668008577614"/>
  </r>
  <r>
    <n v="598"/>
    <d v="2011-01-28T00:00:00"/>
    <x v="0"/>
    <n v="0"/>
    <x v="0"/>
    <x v="2"/>
    <b v="0"/>
    <n v="5"/>
    <n v="2"/>
    <x v="2"/>
    <n v="0.21210000000000001"/>
    <n v="0.75"/>
    <x v="8"/>
    <x v="3"/>
    <x v="6"/>
    <x v="5"/>
    <x v="1"/>
    <x v="1"/>
    <n v="0.22935326051082283"/>
    <n v="-0.25435329828790432"/>
    <n v="0.10399668008577614"/>
  </r>
  <r>
    <n v="599"/>
    <d v="2011-01-28T00:00:00"/>
    <x v="0"/>
    <n v="0"/>
    <x v="0"/>
    <x v="3"/>
    <b v="0"/>
    <n v="5"/>
    <n v="2"/>
    <x v="2"/>
    <n v="0.2273"/>
    <n v="0.75"/>
    <x v="14"/>
    <x v="5"/>
    <x v="5"/>
    <x v="4"/>
    <x v="1"/>
    <x v="1"/>
    <n v="0.22935326051082283"/>
    <n v="-0.25435329828790432"/>
    <n v="0.10399668008577614"/>
  </r>
  <r>
    <n v="600"/>
    <d v="2011-01-28T00:00:00"/>
    <x v="0"/>
    <n v="0"/>
    <x v="0"/>
    <x v="5"/>
    <b v="0"/>
    <n v="5"/>
    <n v="2"/>
    <x v="15"/>
    <n v="0.21210000000000001"/>
    <n v="0.8"/>
    <x v="14"/>
    <x v="3"/>
    <x v="22"/>
    <x v="48"/>
    <x v="1"/>
    <x v="1"/>
    <n v="0.22935326051082283"/>
    <n v="-0.25435329828790432"/>
    <n v="0.10399668008577614"/>
  </r>
  <r>
    <n v="601"/>
    <d v="2011-01-28T00:00:00"/>
    <x v="0"/>
    <n v="0"/>
    <x v="0"/>
    <x v="6"/>
    <b v="0"/>
    <n v="5"/>
    <n v="2"/>
    <x v="15"/>
    <n v="0.19700000000000001"/>
    <n v="0.8"/>
    <x v="7"/>
    <x v="3"/>
    <x v="20"/>
    <x v="0"/>
    <x v="1"/>
    <x v="1"/>
    <n v="0.22935326051082283"/>
    <n v="-0.25435329828790432"/>
    <n v="0.10399668008577614"/>
  </r>
  <r>
    <n v="602"/>
    <d v="2011-01-28T00:00:00"/>
    <x v="0"/>
    <n v="0"/>
    <x v="0"/>
    <x v="7"/>
    <b v="0"/>
    <n v="5"/>
    <n v="2"/>
    <x v="13"/>
    <n v="0.19700000000000001"/>
    <n v="0.86"/>
    <x v="1"/>
    <x v="4"/>
    <x v="29"/>
    <x v="122"/>
    <x v="0"/>
    <x v="1"/>
    <n v="0.22935326051082283"/>
    <n v="-0.25435329828790432"/>
    <n v="0.10399668008577614"/>
  </r>
  <r>
    <n v="603"/>
    <d v="2011-01-28T00:00:00"/>
    <x v="0"/>
    <n v="0"/>
    <x v="0"/>
    <x v="8"/>
    <b v="0"/>
    <n v="5"/>
    <n v="2"/>
    <x v="13"/>
    <n v="0.19700000000000001"/>
    <n v="0.86"/>
    <x v="1"/>
    <x v="4"/>
    <x v="119"/>
    <x v="45"/>
    <x v="0"/>
    <x v="1"/>
    <n v="0.22935326051082283"/>
    <n v="-0.25435329828790432"/>
    <n v="0.10399668008577614"/>
  </r>
  <r>
    <n v="604"/>
    <d v="2011-01-28T00:00:00"/>
    <x v="0"/>
    <n v="0"/>
    <x v="0"/>
    <x v="9"/>
    <b v="0"/>
    <n v="5"/>
    <n v="3"/>
    <x v="15"/>
    <n v="0.21210000000000001"/>
    <n v="0.86"/>
    <x v="1"/>
    <x v="15"/>
    <x v="73"/>
    <x v="129"/>
    <x v="1"/>
    <x v="2"/>
    <n v="0.22935326051082283"/>
    <n v="-0.25435329828790432"/>
    <n v="0.10399668008577614"/>
  </r>
  <r>
    <n v="605"/>
    <d v="2011-01-28T00:00:00"/>
    <x v="0"/>
    <n v="0"/>
    <x v="0"/>
    <x v="10"/>
    <b v="0"/>
    <n v="5"/>
    <n v="3"/>
    <x v="15"/>
    <n v="0.21210000000000001"/>
    <n v="0.86"/>
    <x v="14"/>
    <x v="3"/>
    <x v="47"/>
    <x v="99"/>
    <x v="1"/>
    <x v="2"/>
    <n v="0.22935326051082283"/>
    <n v="-0.25435329828790432"/>
    <n v="0.10399668008577614"/>
  </r>
  <r>
    <n v="606"/>
    <d v="2011-01-28T00:00:00"/>
    <x v="0"/>
    <n v="0"/>
    <x v="0"/>
    <x v="11"/>
    <b v="0"/>
    <n v="5"/>
    <n v="3"/>
    <x v="15"/>
    <n v="0.21210000000000001"/>
    <n v="0.93"/>
    <x v="14"/>
    <x v="3"/>
    <x v="10"/>
    <x v="33"/>
    <x v="1"/>
    <x v="2"/>
    <n v="0.22935326051082283"/>
    <n v="-0.25435329828790432"/>
    <n v="0.10399668008577614"/>
  </r>
  <r>
    <n v="607"/>
    <d v="2011-01-28T00:00:00"/>
    <x v="0"/>
    <n v="0"/>
    <x v="0"/>
    <x v="12"/>
    <b v="0"/>
    <n v="5"/>
    <n v="3"/>
    <x v="15"/>
    <n v="0.21210000000000001"/>
    <n v="0.93"/>
    <x v="14"/>
    <x v="5"/>
    <x v="95"/>
    <x v="115"/>
    <x v="1"/>
    <x v="2"/>
    <n v="0.22935326051082283"/>
    <n v="-0.25435329828790432"/>
    <n v="0.10399668008577614"/>
  </r>
  <r>
    <n v="608"/>
    <d v="2011-01-28T00:00:00"/>
    <x v="0"/>
    <n v="0"/>
    <x v="0"/>
    <x v="13"/>
    <b v="0"/>
    <n v="5"/>
    <n v="3"/>
    <x v="15"/>
    <n v="0.21210000000000001"/>
    <n v="0.93"/>
    <x v="14"/>
    <x v="3"/>
    <x v="17"/>
    <x v="35"/>
    <x v="1"/>
    <x v="2"/>
    <n v="0.22935326051082283"/>
    <n v="-0.25435329828790432"/>
    <n v="0.10399668008577614"/>
  </r>
  <r>
    <n v="609"/>
    <d v="2011-01-28T00:00:00"/>
    <x v="0"/>
    <n v="0"/>
    <x v="0"/>
    <x v="14"/>
    <b v="0"/>
    <n v="5"/>
    <n v="3"/>
    <x v="1"/>
    <n v="0.2727"/>
    <n v="0.8"/>
    <x v="0"/>
    <x v="4"/>
    <x v="49"/>
    <x v="103"/>
    <x v="0"/>
    <x v="2"/>
    <n v="0.22935326051082283"/>
    <n v="-0.25435329828790432"/>
    <n v="0.10399668008577614"/>
  </r>
  <r>
    <n v="610"/>
    <d v="2011-01-28T00:00:00"/>
    <x v="0"/>
    <n v="0"/>
    <x v="0"/>
    <x v="15"/>
    <b v="0"/>
    <n v="5"/>
    <n v="2"/>
    <x v="2"/>
    <n v="0.2576"/>
    <n v="0.86"/>
    <x v="0"/>
    <x v="5"/>
    <x v="71"/>
    <x v="102"/>
    <x v="0"/>
    <x v="1"/>
    <n v="0.22935326051082283"/>
    <n v="-0.25435329828790432"/>
    <n v="0.10399668008577614"/>
  </r>
  <r>
    <n v="611"/>
    <d v="2011-01-28T00:00:00"/>
    <x v="0"/>
    <n v="0"/>
    <x v="0"/>
    <x v="16"/>
    <b v="0"/>
    <n v="5"/>
    <n v="1"/>
    <x v="1"/>
    <n v="0.2727"/>
    <n v="0.8"/>
    <x v="0"/>
    <x v="22"/>
    <x v="14"/>
    <x v="138"/>
    <x v="1"/>
    <x v="0"/>
    <n v="0.22935326051082283"/>
    <n v="-0.25435329828790432"/>
    <n v="0.10399668008577614"/>
  </r>
  <r>
    <n v="612"/>
    <d v="2011-01-28T00:00:00"/>
    <x v="0"/>
    <n v="0"/>
    <x v="0"/>
    <x v="17"/>
    <b v="0"/>
    <n v="5"/>
    <n v="1"/>
    <x v="0"/>
    <n v="0.2424"/>
    <n v="0.75"/>
    <x v="7"/>
    <x v="4"/>
    <x v="150"/>
    <x v="165"/>
    <x v="1"/>
    <x v="0"/>
    <n v="0.22935326051082283"/>
    <n v="-0.25435329828790432"/>
    <n v="0.10399668008577614"/>
  </r>
  <r>
    <n v="613"/>
    <d v="2011-01-28T00:00:00"/>
    <x v="0"/>
    <n v="0"/>
    <x v="0"/>
    <x v="18"/>
    <b v="0"/>
    <n v="5"/>
    <n v="1"/>
    <x v="0"/>
    <n v="0.2273"/>
    <n v="0.75"/>
    <x v="5"/>
    <x v="4"/>
    <x v="128"/>
    <x v="142"/>
    <x v="1"/>
    <x v="0"/>
    <n v="0.22935326051082283"/>
    <n v="-0.25435329828790432"/>
    <n v="0.10399668008577614"/>
  </r>
  <r>
    <n v="614"/>
    <d v="2011-01-28T00:00:00"/>
    <x v="0"/>
    <n v="0"/>
    <x v="0"/>
    <x v="19"/>
    <b v="0"/>
    <n v="5"/>
    <n v="2"/>
    <x v="0"/>
    <n v="0.2424"/>
    <n v="0.75"/>
    <x v="7"/>
    <x v="2"/>
    <x v="151"/>
    <x v="70"/>
    <x v="1"/>
    <x v="1"/>
    <n v="0.22935326051082283"/>
    <n v="-0.25435329828790432"/>
    <n v="0.10399668008577614"/>
  </r>
  <r>
    <n v="615"/>
    <d v="2011-01-28T00:00:00"/>
    <x v="0"/>
    <n v="0"/>
    <x v="0"/>
    <x v="20"/>
    <b v="0"/>
    <n v="5"/>
    <n v="2"/>
    <x v="0"/>
    <n v="0.2273"/>
    <n v="0.7"/>
    <x v="5"/>
    <x v="5"/>
    <x v="124"/>
    <x v="69"/>
    <x v="1"/>
    <x v="1"/>
    <n v="0.22935326051082283"/>
    <n v="-0.25435329828790432"/>
    <n v="0.10399668008577614"/>
  </r>
  <r>
    <n v="616"/>
    <d v="2011-01-28T00:00:00"/>
    <x v="0"/>
    <n v="0"/>
    <x v="0"/>
    <x v="21"/>
    <b v="0"/>
    <n v="5"/>
    <n v="2"/>
    <x v="1"/>
    <n v="0.2273"/>
    <n v="0.75"/>
    <x v="7"/>
    <x v="5"/>
    <x v="77"/>
    <x v="154"/>
    <x v="0"/>
    <x v="1"/>
    <n v="0.22935326051082283"/>
    <n v="-0.25435329828790432"/>
    <n v="0.10399668008577614"/>
  </r>
  <r>
    <n v="617"/>
    <d v="2011-01-28T00:00:00"/>
    <x v="0"/>
    <n v="0"/>
    <x v="0"/>
    <x v="22"/>
    <b v="0"/>
    <n v="5"/>
    <n v="1"/>
    <x v="0"/>
    <n v="0.21210000000000001"/>
    <n v="0.65"/>
    <x v="11"/>
    <x v="3"/>
    <x v="16"/>
    <x v="132"/>
    <x v="0"/>
    <x v="0"/>
    <n v="0.22935326051082283"/>
    <n v="-0.25435329828790432"/>
    <n v="0.10399668008577614"/>
  </r>
  <r>
    <n v="618"/>
    <d v="2011-01-28T00:00:00"/>
    <x v="0"/>
    <n v="0"/>
    <x v="0"/>
    <x v="23"/>
    <b v="0"/>
    <n v="5"/>
    <n v="1"/>
    <x v="0"/>
    <n v="0.2273"/>
    <n v="0.6"/>
    <x v="6"/>
    <x v="5"/>
    <x v="97"/>
    <x v="84"/>
    <x v="1"/>
    <x v="0"/>
    <n v="0.22935326051082283"/>
    <n v="-0.25435329828790432"/>
    <n v="0.10399668008577614"/>
  </r>
  <r>
    <n v="619"/>
    <d v="2011-01-29T00:00:00"/>
    <x v="0"/>
    <n v="0"/>
    <x v="0"/>
    <x v="0"/>
    <b v="0"/>
    <n v="6"/>
    <n v="1"/>
    <x v="1"/>
    <n v="0.19700000000000001"/>
    <n v="0.64"/>
    <x v="11"/>
    <x v="4"/>
    <x v="16"/>
    <x v="20"/>
    <x v="1"/>
    <x v="0"/>
    <n v="0.22935326051082283"/>
    <n v="-0.25435329828790432"/>
    <n v="0.10399668008577614"/>
  </r>
  <r>
    <n v="620"/>
    <d v="2011-01-29T00:00:00"/>
    <x v="0"/>
    <n v="0"/>
    <x v="0"/>
    <x v="1"/>
    <b v="0"/>
    <n v="6"/>
    <n v="1"/>
    <x v="1"/>
    <n v="0.2273"/>
    <n v="0.64"/>
    <x v="5"/>
    <x v="3"/>
    <x v="32"/>
    <x v="25"/>
    <x v="1"/>
    <x v="0"/>
    <n v="0.22935326051082283"/>
    <n v="-0.25435329828790432"/>
    <n v="0.10399668008577614"/>
  </r>
  <r>
    <n v="621"/>
    <d v="2011-01-29T00:00:00"/>
    <x v="0"/>
    <n v="0"/>
    <x v="0"/>
    <x v="2"/>
    <b v="0"/>
    <n v="6"/>
    <n v="1"/>
    <x v="1"/>
    <n v="0.2273"/>
    <n v="0.64"/>
    <x v="8"/>
    <x v="3"/>
    <x v="89"/>
    <x v="93"/>
    <x v="1"/>
    <x v="0"/>
    <n v="0.22935326051082283"/>
    <n v="-0.25435329828790432"/>
    <n v="0.10399668008577614"/>
  </r>
  <r>
    <n v="622"/>
    <d v="2011-01-29T00:00:00"/>
    <x v="0"/>
    <n v="0"/>
    <x v="0"/>
    <x v="3"/>
    <b v="0"/>
    <n v="6"/>
    <n v="1"/>
    <x v="2"/>
    <n v="0.21210000000000001"/>
    <n v="0.64"/>
    <x v="7"/>
    <x v="0"/>
    <x v="34"/>
    <x v="7"/>
    <x v="1"/>
    <x v="0"/>
    <n v="0.22935326051082283"/>
    <n v="-0.25435329828790432"/>
    <n v="0.10399668008577614"/>
  </r>
  <r>
    <n v="623"/>
    <d v="2011-01-29T00:00:00"/>
    <x v="0"/>
    <n v="0"/>
    <x v="0"/>
    <x v="4"/>
    <b v="0"/>
    <n v="6"/>
    <n v="1"/>
    <x v="13"/>
    <n v="0.18179999999999999"/>
    <n v="0.69"/>
    <x v="14"/>
    <x v="5"/>
    <x v="6"/>
    <x v="6"/>
    <x v="0"/>
    <x v="0"/>
    <n v="0.22935326051082283"/>
    <n v="-0.25435329828790432"/>
    <n v="0.10399668008577614"/>
  </r>
  <r>
    <n v="624"/>
    <d v="2011-01-29T00:00:00"/>
    <x v="0"/>
    <n v="0"/>
    <x v="0"/>
    <x v="6"/>
    <b v="0"/>
    <n v="6"/>
    <n v="1"/>
    <x v="13"/>
    <n v="0.18179999999999999"/>
    <n v="0.64"/>
    <x v="7"/>
    <x v="3"/>
    <x v="6"/>
    <x v="5"/>
    <x v="0"/>
    <x v="0"/>
    <n v="0.22935326051082283"/>
    <n v="-0.25435329828790432"/>
    <n v="0.10399668008577614"/>
  </r>
  <r>
    <n v="625"/>
    <d v="2011-01-29T00:00:00"/>
    <x v="0"/>
    <n v="0"/>
    <x v="0"/>
    <x v="7"/>
    <b v="0"/>
    <n v="6"/>
    <n v="1"/>
    <x v="13"/>
    <n v="0.18179999999999999"/>
    <n v="0.59"/>
    <x v="14"/>
    <x v="5"/>
    <x v="22"/>
    <x v="36"/>
    <x v="1"/>
    <x v="0"/>
    <n v="0.22935326051082283"/>
    <n v="-0.25435329828790432"/>
    <n v="0.10399668008577614"/>
  </r>
  <r>
    <n v="626"/>
    <d v="2011-01-29T00:00:00"/>
    <x v="0"/>
    <n v="0"/>
    <x v="0"/>
    <x v="8"/>
    <b v="0"/>
    <n v="6"/>
    <n v="1"/>
    <x v="15"/>
    <n v="0.19700000000000001"/>
    <n v="0.55000000000000004"/>
    <x v="8"/>
    <x v="0"/>
    <x v="17"/>
    <x v="19"/>
    <x v="1"/>
    <x v="0"/>
    <n v="0.22935326051082283"/>
    <n v="-0.25435329828790432"/>
    <n v="0.10399668008577614"/>
  </r>
  <r>
    <n v="627"/>
    <d v="2011-01-29T00:00:00"/>
    <x v="0"/>
    <n v="0"/>
    <x v="0"/>
    <x v="9"/>
    <b v="0"/>
    <n v="6"/>
    <n v="1"/>
    <x v="15"/>
    <n v="0.21210000000000001"/>
    <n v="0.59"/>
    <x v="1"/>
    <x v="3"/>
    <x v="60"/>
    <x v="19"/>
    <x v="1"/>
    <x v="0"/>
    <n v="0.22935326051082283"/>
    <n v="-0.25435329828790432"/>
    <n v="0.10399668008577614"/>
  </r>
  <r>
    <n v="628"/>
    <d v="2011-01-29T00:00:00"/>
    <x v="0"/>
    <n v="0"/>
    <x v="0"/>
    <x v="10"/>
    <b v="0"/>
    <n v="6"/>
    <n v="2"/>
    <x v="15"/>
    <n v="0.21210000000000001"/>
    <n v="0.64"/>
    <x v="14"/>
    <x v="17"/>
    <x v="82"/>
    <x v="97"/>
    <x v="1"/>
    <x v="1"/>
    <n v="0.22935326051082283"/>
    <n v="-0.25435329828790432"/>
    <n v="0.10399668008577614"/>
  </r>
  <r>
    <n v="629"/>
    <d v="2011-01-29T00:00:00"/>
    <x v="0"/>
    <n v="0"/>
    <x v="0"/>
    <x v="11"/>
    <b v="0"/>
    <n v="6"/>
    <n v="2"/>
    <x v="15"/>
    <n v="0.19700000000000001"/>
    <n v="0.64"/>
    <x v="7"/>
    <x v="17"/>
    <x v="91"/>
    <x v="37"/>
    <x v="1"/>
    <x v="1"/>
    <n v="0.22935326051082283"/>
    <n v="-0.25435329828790432"/>
    <n v="0.10399668008577614"/>
  </r>
  <r>
    <n v="630"/>
    <d v="2011-01-29T00:00:00"/>
    <x v="0"/>
    <n v="0"/>
    <x v="0"/>
    <x v="12"/>
    <b v="0"/>
    <n v="6"/>
    <n v="2"/>
    <x v="2"/>
    <n v="0.19700000000000001"/>
    <n v="0.59"/>
    <x v="5"/>
    <x v="6"/>
    <x v="43"/>
    <x v="53"/>
    <x v="0"/>
    <x v="1"/>
    <n v="0.22935326051082283"/>
    <n v="-0.25435329828790432"/>
    <n v="0.10399668008577614"/>
  </r>
  <r>
    <n v="631"/>
    <d v="2011-01-29T00:00:00"/>
    <x v="0"/>
    <n v="0"/>
    <x v="0"/>
    <x v="13"/>
    <b v="0"/>
    <n v="6"/>
    <n v="2"/>
    <x v="1"/>
    <n v="0.2273"/>
    <n v="0.55000000000000004"/>
    <x v="8"/>
    <x v="14"/>
    <x v="90"/>
    <x v="32"/>
    <x v="0"/>
    <x v="1"/>
    <n v="0.22935326051082283"/>
    <n v="-0.25435329828790432"/>
    <n v="0.10399668008577614"/>
  </r>
  <r>
    <n v="632"/>
    <d v="2011-01-29T00:00:00"/>
    <x v="0"/>
    <n v="0"/>
    <x v="0"/>
    <x v="14"/>
    <b v="0"/>
    <n v="6"/>
    <n v="2"/>
    <x v="1"/>
    <n v="0.2273"/>
    <n v="0.6"/>
    <x v="7"/>
    <x v="22"/>
    <x v="121"/>
    <x v="111"/>
    <x v="1"/>
    <x v="1"/>
    <n v="0.22935326051082283"/>
    <n v="-0.25435329828790432"/>
    <n v="0.10399668008577614"/>
  </r>
  <r>
    <n v="633"/>
    <d v="2011-01-29T00:00:00"/>
    <x v="0"/>
    <n v="0"/>
    <x v="0"/>
    <x v="15"/>
    <b v="0"/>
    <n v="6"/>
    <n v="1"/>
    <x v="1"/>
    <n v="0.21210000000000001"/>
    <n v="0.69"/>
    <x v="2"/>
    <x v="30"/>
    <x v="52"/>
    <x v="151"/>
    <x v="1"/>
    <x v="0"/>
    <n v="0.22935326051082283"/>
    <n v="-0.25435329828790432"/>
    <n v="0.10399668008577614"/>
  </r>
  <r>
    <n v="634"/>
    <d v="2011-01-29T00:00:00"/>
    <x v="0"/>
    <n v="0"/>
    <x v="0"/>
    <x v="16"/>
    <b v="0"/>
    <n v="6"/>
    <n v="1"/>
    <x v="0"/>
    <n v="0.2424"/>
    <n v="0.6"/>
    <x v="8"/>
    <x v="21"/>
    <x v="152"/>
    <x v="166"/>
    <x v="1"/>
    <x v="0"/>
    <n v="0.22935326051082283"/>
    <n v="-0.25435329828790432"/>
    <n v="0.10399668008577614"/>
  </r>
  <r>
    <n v="635"/>
    <d v="2011-01-29T00:00:00"/>
    <x v="0"/>
    <n v="0"/>
    <x v="0"/>
    <x v="17"/>
    <b v="0"/>
    <n v="6"/>
    <n v="1"/>
    <x v="0"/>
    <n v="0.28789999999999999"/>
    <n v="0.6"/>
    <x v="0"/>
    <x v="14"/>
    <x v="70"/>
    <x v="134"/>
    <x v="1"/>
    <x v="0"/>
    <n v="0.22935326051082283"/>
    <n v="-0.25435329828790432"/>
    <n v="0.10399668008577614"/>
  </r>
  <r>
    <n v="636"/>
    <d v="2011-01-29T00:00:00"/>
    <x v="0"/>
    <n v="0"/>
    <x v="0"/>
    <x v="18"/>
    <b v="0"/>
    <n v="6"/>
    <n v="1"/>
    <x v="1"/>
    <n v="0.2273"/>
    <n v="0.69"/>
    <x v="7"/>
    <x v="14"/>
    <x v="79"/>
    <x v="118"/>
    <x v="1"/>
    <x v="0"/>
    <n v="0.22935326051082283"/>
    <n v="-0.25435329828790432"/>
    <n v="0.10399668008577614"/>
  </r>
  <r>
    <n v="637"/>
    <d v="2011-01-29T00:00:00"/>
    <x v="0"/>
    <n v="0"/>
    <x v="0"/>
    <x v="19"/>
    <b v="0"/>
    <n v="6"/>
    <n v="2"/>
    <x v="1"/>
    <n v="0.21210000000000001"/>
    <n v="0.69"/>
    <x v="2"/>
    <x v="15"/>
    <x v="15"/>
    <x v="154"/>
    <x v="0"/>
    <x v="1"/>
    <n v="0.22935326051082283"/>
    <n v="-0.25435329828790432"/>
    <n v="0.10399668008577614"/>
  </r>
  <r>
    <n v="638"/>
    <d v="2011-01-29T00:00:00"/>
    <x v="0"/>
    <n v="0"/>
    <x v="0"/>
    <x v="20"/>
    <b v="0"/>
    <n v="6"/>
    <n v="1"/>
    <x v="15"/>
    <n v="0.21210000000000001"/>
    <n v="0.74"/>
    <x v="1"/>
    <x v="5"/>
    <x v="76"/>
    <x v="74"/>
    <x v="0"/>
    <x v="0"/>
    <n v="0.22935326051082283"/>
    <n v="-0.25435329828790432"/>
    <n v="0.10399668008577614"/>
  </r>
  <r>
    <n v="639"/>
    <d v="2011-01-29T00:00:00"/>
    <x v="0"/>
    <n v="0"/>
    <x v="0"/>
    <x v="21"/>
    <b v="0"/>
    <n v="6"/>
    <n v="1"/>
    <x v="15"/>
    <n v="0.21210000000000001"/>
    <n v="0.74"/>
    <x v="1"/>
    <x v="5"/>
    <x v="96"/>
    <x v="9"/>
    <x v="1"/>
    <x v="0"/>
    <n v="0.22935326051082283"/>
    <n v="-0.25435329828790432"/>
    <n v="0.10399668008577614"/>
  </r>
  <r>
    <n v="640"/>
    <d v="2011-01-29T00:00:00"/>
    <x v="0"/>
    <n v="0"/>
    <x v="0"/>
    <x v="22"/>
    <b v="0"/>
    <n v="6"/>
    <n v="1"/>
    <x v="13"/>
    <n v="0.19700000000000001"/>
    <n v="0.8"/>
    <x v="1"/>
    <x v="17"/>
    <x v="95"/>
    <x v="2"/>
    <x v="1"/>
    <x v="0"/>
    <n v="0.22935326051082283"/>
    <n v="-0.25435329828790432"/>
    <n v="0.10399668008577614"/>
  </r>
  <r>
    <n v="641"/>
    <d v="2011-01-29T00:00:00"/>
    <x v="0"/>
    <n v="0"/>
    <x v="0"/>
    <x v="23"/>
    <b v="0"/>
    <n v="6"/>
    <n v="1"/>
    <x v="13"/>
    <n v="0.19700000000000001"/>
    <n v="0.8"/>
    <x v="1"/>
    <x v="0"/>
    <x v="10"/>
    <x v="63"/>
    <x v="1"/>
    <x v="0"/>
    <n v="0.22935326051082283"/>
    <n v="-0.25435329828790432"/>
    <n v="0.10399668008577614"/>
  </r>
  <r>
    <n v="642"/>
    <d v="2011-01-30T00:00:00"/>
    <x v="0"/>
    <n v="0"/>
    <x v="0"/>
    <x v="0"/>
    <b v="0"/>
    <n v="0"/>
    <n v="1"/>
    <x v="13"/>
    <n v="0.18179999999999999"/>
    <n v="0.8"/>
    <x v="14"/>
    <x v="3"/>
    <x v="39"/>
    <x v="63"/>
    <x v="1"/>
    <x v="0"/>
    <n v="0.22935326051082283"/>
    <n v="-0.25435329828790432"/>
    <n v="0.10399668008577614"/>
  </r>
  <r>
    <n v="643"/>
    <d v="2011-01-30T00:00:00"/>
    <x v="0"/>
    <n v="0"/>
    <x v="0"/>
    <x v="1"/>
    <b v="0"/>
    <n v="0"/>
    <n v="1"/>
    <x v="14"/>
    <n v="0.21210000000000001"/>
    <n v="0.8"/>
    <x v="0"/>
    <x v="18"/>
    <x v="97"/>
    <x v="115"/>
    <x v="1"/>
    <x v="0"/>
    <n v="0.22935326051082283"/>
    <n v="-0.25435329828790432"/>
    <n v="0.10399668008577614"/>
  </r>
  <r>
    <n v="644"/>
    <d v="2011-01-30T00:00:00"/>
    <x v="0"/>
    <n v="0"/>
    <x v="0"/>
    <x v="2"/>
    <b v="0"/>
    <n v="0"/>
    <n v="1"/>
    <x v="13"/>
    <n v="0.2273"/>
    <n v="0.8"/>
    <x v="0"/>
    <x v="5"/>
    <x v="3"/>
    <x v="62"/>
    <x v="0"/>
    <x v="0"/>
    <n v="0.22935326051082283"/>
    <n v="-0.25435329828790432"/>
    <n v="0.10399668008577614"/>
  </r>
  <r>
    <n v="645"/>
    <d v="2011-01-30T00:00:00"/>
    <x v="0"/>
    <n v="0"/>
    <x v="0"/>
    <x v="3"/>
    <b v="0"/>
    <n v="0"/>
    <n v="1"/>
    <x v="14"/>
    <n v="0.21210000000000001"/>
    <n v="0.93"/>
    <x v="0"/>
    <x v="5"/>
    <x v="7"/>
    <x v="7"/>
    <x v="0"/>
    <x v="0"/>
    <n v="0.22935326051082283"/>
    <n v="-0.25435329828790432"/>
    <n v="0.10399668008577614"/>
  </r>
  <r>
    <n v="646"/>
    <d v="2011-01-30T00:00:00"/>
    <x v="0"/>
    <n v="0"/>
    <x v="0"/>
    <x v="4"/>
    <b v="0"/>
    <n v="0"/>
    <n v="1"/>
    <x v="14"/>
    <n v="0.21210000000000001"/>
    <n v="0.93"/>
    <x v="0"/>
    <x v="3"/>
    <x v="4"/>
    <x v="4"/>
    <x v="1"/>
    <x v="0"/>
    <n v="0.22935326051082283"/>
    <n v="-0.25435329828790432"/>
    <n v="0.10399668008577614"/>
  </r>
  <r>
    <n v="647"/>
    <d v="2011-01-30T00:00:00"/>
    <x v="0"/>
    <n v="0"/>
    <x v="0"/>
    <x v="5"/>
    <b v="0"/>
    <n v="0"/>
    <n v="1"/>
    <x v="14"/>
    <n v="0.21210000000000001"/>
    <n v="0.86"/>
    <x v="0"/>
    <x v="3"/>
    <x v="35"/>
    <x v="6"/>
    <x v="1"/>
    <x v="0"/>
    <n v="0.22935326051082283"/>
    <n v="-0.25435329828790432"/>
    <n v="0.10399668008577614"/>
  </r>
  <r>
    <n v="648"/>
    <d v="2011-01-30T00:00:00"/>
    <x v="0"/>
    <n v="0"/>
    <x v="0"/>
    <x v="7"/>
    <b v="0"/>
    <n v="0"/>
    <n v="1"/>
    <x v="14"/>
    <n v="0.21210000000000001"/>
    <n v="0.86"/>
    <x v="0"/>
    <x v="3"/>
    <x v="35"/>
    <x v="6"/>
    <x v="1"/>
    <x v="0"/>
    <n v="0.22935326051082283"/>
    <n v="-0.25435329828790432"/>
    <n v="0.10399668008577614"/>
  </r>
  <r>
    <n v="649"/>
    <d v="2011-01-30T00:00:00"/>
    <x v="0"/>
    <n v="0"/>
    <x v="0"/>
    <x v="8"/>
    <b v="0"/>
    <n v="0"/>
    <n v="2"/>
    <x v="14"/>
    <n v="0.21210000000000001"/>
    <n v="0.86"/>
    <x v="0"/>
    <x v="5"/>
    <x v="48"/>
    <x v="47"/>
    <x v="1"/>
    <x v="1"/>
    <n v="0.22935326051082283"/>
    <n v="-0.25435329828790432"/>
    <n v="0.10399668008577614"/>
  </r>
  <r>
    <n v="650"/>
    <d v="2011-01-30T00:00:00"/>
    <x v="0"/>
    <n v="0"/>
    <x v="0"/>
    <x v="9"/>
    <b v="0"/>
    <n v="0"/>
    <n v="2"/>
    <x v="13"/>
    <n v="0.2273"/>
    <n v="0.8"/>
    <x v="0"/>
    <x v="17"/>
    <x v="60"/>
    <x v="103"/>
    <x v="1"/>
    <x v="1"/>
    <n v="0.22935326051082283"/>
    <n v="-0.25435329828790432"/>
    <n v="0.10399668008577614"/>
  </r>
  <r>
    <n v="651"/>
    <d v="2011-01-30T00:00:00"/>
    <x v="0"/>
    <n v="0"/>
    <x v="0"/>
    <x v="10"/>
    <b v="0"/>
    <n v="0"/>
    <n v="2"/>
    <x v="15"/>
    <n v="0.2424"/>
    <n v="0.8"/>
    <x v="0"/>
    <x v="18"/>
    <x v="77"/>
    <x v="37"/>
    <x v="0"/>
    <x v="1"/>
    <n v="0.22935326051082283"/>
    <n v="-0.25435329828790432"/>
    <n v="0.10399668008577614"/>
  </r>
  <r>
    <n v="652"/>
    <d v="2011-01-30T00:00:00"/>
    <x v="0"/>
    <n v="0"/>
    <x v="0"/>
    <x v="11"/>
    <b v="0"/>
    <n v="0"/>
    <n v="1"/>
    <x v="1"/>
    <n v="0.2727"/>
    <n v="0.75"/>
    <x v="0"/>
    <x v="14"/>
    <x v="54"/>
    <x v="29"/>
    <x v="0"/>
    <x v="0"/>
    <n v="0.22935326051082283"/>
    <n v="-0.25435329828790432"/>
    <n v="0.10399668008577614"/>
  </r>
  <r>
    <n v="653"/>
    <d v="2011-01-30T00:00:00"/>
    <x v="0"/>
    <n v="0"/>
    <x v="0"/>
    <x v="12"/>
    <b v="0"/>
    <n v="0"/>
    <n v="1"/>
    <x v="11"/>
    <n v="0.31819999999999998"/>
    <n v="0.52"/>
    <x v="14"/>
    <x v="22"/>
    <x v="61"/>
    <x v="54"/>
    <x v="1"/>
    <x v="0"/>
    <n v="0.22935326051082283"/>
    <n v="-0.25435329828790432"/>
    <n v="0.10399668008577614"/>
  </r>
  <r>
    <n v="654"/>
    <d v="2011-01-30T00:00:00"/>
    <x v="0"/>
    <n v="0"/>
    <x v="0"/>
    <x v="13"/>
    <b v="0"/>
    <n v="0"/>
    <n v="1"/>
    <x v="17"/>
    <n v="0.28789999999999999"/>
    <n v="0.61"/>
    <x v="14"/>
    <x v="23"/>
    <x v="13"/>
    <x v="11"/>
    <x v="1"/>
    <x v="0"/>
    <n v="0.22935326051082283"/>
    <n v="-0.25435329828790432"/>
    <n v="0.10399668008577614"/>
  </r>
  <r>
    <n v="655"/>
    <d v="2011-01-30T00:00:00"/>
    <x v="0"/>
    <n v="0"/>
    <x v="0"/>
    <x v="14"/>
    <b v="0"/>
    <n v="0"/>
    <n v="1"/>
    <x v="17"/>
    <n v="0.30299999999999999"/>
    <n v="0.61"/>
    <x v="1"/>
    <x v="25"/>
    <x v="153"/>
    <x v="78"/>
    <x v="1"/>
    <x v="0"/>
    <n v="0.22935326051082283"/>
    <n v="-0.25435329828790432"/>
    <n v="0.10399668008577614"/>
  </r>
  <r>
    <n v="656"/>
    <d v="2011-01-30T00:00:00"/>
    <x v="0"/>
    <n v="0"/>
    <x v="0"/>
    <x v="15"/>
    <b v="0"/>
    <n v="0"/>
    <n v="1"/>
    <x v="11"/>
    <n v="0.33329999999999999"/>
    <n v="0.56000000000000005"/>
    <x v="0"/>
    <x v="24"/>
    <x v="73"/>
    <x v="142"/>
    <x v="1"/>
    <x v="0"/>
    <n v="0.22935326051082283"/>
    <n v="-0.25435329828790432"/>
    <n v="0.10399668008577614"/>
  </r>
  <r>
    <n v="657"/>
    <d v="2011-01-30T00:00:00"/>
    <x v="0"/>
    <n v="0"/>
    <x v="0"/>
    <x v="16"/>
    <b v="0"/>
    <n v="0"/>
    <n v="1"/>
    <x v="11"/>
    <n v="0.33329999999999999"/>
    <n v="0.56000000000000005"/>
    <x v="0"/>
    <x v="21"/>
    <x v="153"/>
    <x v="92"/>
    <x v="1"/>
    <x v="0"/>
    <n v="0.22935326051082283"/>
    <n v="-0.25435329828790432"/>
    <n v="0.10399668008577614"/>
  </r>
  <r>
    <n v="658"/>
    <d v="2011-01-30T00:00:00"/>
    <x v="0"/>
    <n v="0"/>
    <x v="0"/>
    <x v="17"/>
    <b v="0"/>
    <n v="0"/>
    <n v="1"/>
    <x v="11"/>
    <n v="0.28789999999999999"/>
    <n v="0.56000000000000005"/>
    <x v="5"/>
    <x v="15"/>
    <x v="13"/>
    <x v="43"/>
    <x v="0"/>
    <x v="0"/>
    <n v="0.22935326051082283"/>
    <n v="-0.25435329828790432"/>
    <n v="0.10399668008577614"/>
  </r>
  <r>
    <n v="659"/>
    <d v="2011-01-30T00:00:00"/>
    <x v="0"/>
    <n v="0"/>
    <x v="0"/>
    <x v="18"/>
    <b v="0"/>
    <n v="0"/>
    <n v="1"/>
    <x v="12"/>
    <n v="0.2576"/>
    <n v="0.65"/>
    <x v="8"/>
    <x v="1"/>
    <x v="77"/>
    <x v="32"/>
    <x v="0"/>
    <x v="0"/>
    <n v="0.22935326051082283"/>
    <n v="-0.25435329828790432"/>
    <n v="0.10399668008577614"/>
  </r>
  <r>
    <n v="660"/>
    <d v="2011-01-30T00:00:00"/>
    <x v="0"/>
    <n v="0"/>
    <x v="0"/>
    <x v="19"/>
    <b v="0"/>
    <n v="0"/>
    <n v="1"/>
    <x v="12"/>
    <n v="0.2576"/>
    <n v="0.65"/>
    <x v="5"/>
    <x v="14"/>
    <x v="24"/>
    <x v="97"/>
    <x v="1"/>
    <x v="0"/>
    <n v="0.22935326051082283"/>
    <n v="-0.25435329828790432"/>
    <n v="0.10399668008577614"/>
  </r>
  <r>
    <n v="661"/>
    <d v="2011-01-30T00:00:00"/>
    <x v="0"/>
    <n v="0"/>
    <x v="0"/>
    <x v="20"/>
    <b v="0"/>
    <n v="0"/>
    <n v="2"/>
    <x v="12"/>
    <n v="0.2727"/>
    <n v="0.65"/>
    <x v="14"/>
    <x v="0"/>
    <x v="10"/>
    <x v="63"/>
    <x v="1"/>
    <x v="1"/>
    <n v="0.22935326051082283"/>
    <n v="-0.25435329828790432"/>
    <n v="0.10399668008577614"/>
  </r>
  <r>
    <n v="662"/>
    <d v="2011-01-30T00:00:00"/>
    <x v="0"/>
    <n v="0"/>
    <x v="0"/>
    <x v="21"/>
    <b v="0"/>
    <n v="0"/>
    <n v="2"/>
    <x v="0"/>
    <n v="0.2424"/>
    <n v="0.7"/>
    <x v="8"/>
    <x v="0"/>
    <x v="18"/>
    <x v="20"/>
    <x v="1"/>
    <x v="1"/>
    <n v="0.22935326051082283"/>
    <n v="-0.25435329828790432"/>
    <n v="0.10399668008577614"/>
  </r>
  <r>
    <n v="663"/>
    <d v="2011-01-30T00:00:00"/>
    <x v="0"/>
    <n v="0"/>
    <x v="0"/>
    <x v="22"/>
    <b v="0"/>
    <n v="0"/>
    <n v="2"/>
    <x v="0"/>
    <n v="0.2273"/>
    <n v="0.7"/>
    <x v="5"/>
    <x v="4"/>
    <x v="23"/>
    <x v="137"/>
    <x v="1"/>
    <x v="1"/>
    <n v="0.22935326051082283"/>
    <n v="-0.25435329828790432"/>
    <n v="0.10399668008577614"/>
  </r>
  <r>
    <n v="664"/>
    <d v="2011-01-30T00:00:00"/>
    <x v="0"/>
    <n v="0"/>
    <x v="0"/>
    <x v="23"/>
    <b v="0"/>
    <n v="0"/>
    <n v="2"/>
    <x v="0"/>
    <n v="0.21210000000000001"/>
    <n v="0.65"/>
    <x v="3"/>
    <x v="2"/>
    <x v="20"/>
    <x v="137"/>
    <x v="1"/>
    <x v="1"/>
    <n v="0.22935326051082283"/>
    <n v="-0.25435329828790432"/>
    <n v="0.10399668008577614"/>
  </r>
  <r>
    <n v="665"/>
    <d v="2011-01-31T00:00:00"/>
    <x v="0"/>
    <n v="0"/>
    <x v="0"/>
    <x v="0"/>
    <b v="0"/>
    <n v="1"/>
    <n v="2"/>
    <x v="0"/>
    <n v="0.2273"/>
    <n v="0.65"/>
    <x v="6"/>
    <x v="5"/>
    <x v="8"/>
    <x v="85"/>
    <x v="0"/>
    <x v="1"/>
    <n v="0.22935326051082283"/>
    <n v="-0.25435329828790432"/>
    <n v="0.10399668008577614"/>
  </r>
  <r>
    <n v="666"/>
    <d v="2011-01-31T00:00:00"/>
    <x v="0"/>
    <n v="0"/>
    <x v="0"/>
    <x v="1"/>
    <b v="0"/>
    <n v="1"/>
    <n v="1"/>
    <x v="1"/>
    <n v="0.21210000000000001"/>
    <n v="0.64"/>
    <x v="2"/>
    <x v="4"/>
    <x v="34"/>
    <x v="85"/>
    <x v="0"/>
    <x v="0"/>
    <n v="0.22935326051082283"/>
    <n v="-0.25435329828790432"/>
    <n v="0.10399668008577614"/>
  </r>
  <r>
    <n v="667"/>
    <d v="2011-01-31T00:00:00"/>
    <x v="0"/>
    <n v="0"/>
    <x v="0"/>
    <x v="2"/>
    <b v="0"/>
    <n v="1"/>
    <n v="1"/>
    <x v="1"/>
    <n v="0.2273"/>
    <n v="0.64"/>
    <x v="5"/>
    <x v="3"/>
    <x v="4"/>
    <x v="4"/>
    <x v="1"/>
    <x v="0"/>
    <n v="0.22935326051082283"/>
    <n v="-0.25435329828790432"/>
    <n v="0.10399668008577614"/>
  </r>
  <r>
    <n v="668"/>
    <d v="2011-01-31T00:00:00"/>
    <x v="0"/>
    <n v="0"/>
    <x v="0"/>
    <x v="3"/>
    <b v="0"/>
    <n v="1"/>
    <n v="1"/>
    <x v="1"/>
    <n v="0.2273"/>
    <n v="0.64"/>
    <x v="5"/>
    <x v="3"/>
    <x v="6"/>
    <x v="5"/>
    <x v="1"/>
    <x v="0"/>
    <n v="0.22935326051082283"/>
    <n v="-0.25435329828790432"/>
    <n v="0.10399668008577614"/>
  </r>
  <r>
    <n v="669"/>
    <d v="2011-01-31T00:00:00"/>
    <x v="0"/>
    <n v="0"/>
    <x v="0"/>
    <x v="4"/>
    <b v="0"/>
    <n v="1"/>
    <n v="1"/>
    <x v="2"/>
    <n v="0.19700000000000001"/>
    <n v="0.59"/>
    <x v="6"/>
    <x v="3"/>
    <x v="6"/>
    <x v="5"/>
    <x v="1"/>
    <x v="0"/>
    <n v="0.22935326051082283"/>
    <n v="-0.25435329828790432"/>
    <n v="0.10399668008577614"/>
  </r>
  <r>
    <n v="670"/>
    <d v="2011-01-31T00:00:00"/>
    <x v="0"/>
    <n v="0"/>
    <x v="0"/>
    <x v="5"/>
    <b v="0"/>
    <n v="1"/>
    <n v="1"/>
    <x v="15"/>
    <n v="0.16669999999999999"/>
    <n v="0.64"/>
    <x v="3"/>
    <x v="3"/>
    <x v="21"/>
    <x v="7"/>
    <x v="1"/>
    <x v="0"/>
    <n v="0.22935326051082283"/>
    <n v="-0.25435329828790432"/>
    <n v="0.10399668008577614"/>
  </r>
  <r>
    <n v="671"/>
    <d v="2011-01-31T00:00:00"/>
    <x v="0"/>
    <n v="0"/>
    <x v="0"/>
    <x v="6"/>
    <b v="0"/>
    <n v="1"/>
    <n v="1"/>
    <x v="13"/>
    <n v="0.13639999999999999"/>
    <n v="0.69"/>
    <x v="9"/>
    <x v="3"/>
    <x v="53"/>
    <x v="18"/>
    <x v="1"/>
    <x v="0"/>
    <n v="0.22935326051082283"/>
    <n v="-0.25435329828790432"/>
    <n v="0.10399668008577614"/>
  </r>
  <r>
    <n v="672"/>
    <d v="2011-01-31T00:00:00"/>
    <x v="0"/>
    <n v="0"/>
    <x v="0"/>
    <x v="7"/>
    <b v="0"/>
    <n v="1"/>
    <n v="2"/>
    <x v="13"/>
    <n v="0.13639999999999999"/>
    <n v="0.64"/>
    <x v="3"/>
    <x v="5"/>
    <x v="13"/>
    <x v="44"/>
    <x v="0"/>
    <x v="1"/>
    <n v="0.22935326051082283"/>
    <n v="-0.25435329828790432"/>
    <n v="0.10399668008577614"/>
  </r>
  <r>
    <n v="673"/>
    <d v="2011-01-31T00:00:00"/>
    <x v="0"/>
    <n v="0"/>
    <x v="0"/>
    <x v="8"/>
    <b v="0"/>
    <n v="1"/>
    <n v="2"/>
    <x v="13"/>
    <n v="0.13639999999999999"/>
    <n v="0.59"/>
    <x v="3"/>
    <x v="0"/>
    <x v="154"/>
    <x v="147"/>
    <x v="0"/>
    <x v="1"/>
    <n v="0.22935326051082283"/>
    <n v="-0.25435329828790432"/>
    <n v="0.10399668008577614"/>
  </r>
  <r>
    <n v="674"/>
    <d v="2011-01-31T00:00:00"/>
    <x v="0"/>
    <n v="0"/>
    <x v="0"/>
    <x v="9"/>
    <b v="0"/>
    <n v="1"/>
    <n v="2"/>
    <x v="13"/>
    <n v="0.13639999999999999"/>
    <n v="0.59"/>
    <x v="4"/>
    <x v="3"/>
    <x v="155"/>
    <x v="59"/>
    <x v="1"/>
    <x v="1"/>
    <n v="0.22935326051082283"/>
    <n v="-0.25435329828790432"/>
    <n v="0.10399668008577614"/>
  </r>
  <r>
    <n v="675"/>
    <d v="2011-01-31T00:00:00"/>
    <x v="0"/>
    <n v="0"/>
    <x v="0"/>
    <x v="10"/>
    <b v="0"/>
    <n v="1"/>
    <n v="2"/>
    <x v="13"/>
    <n v="0.1515"/>
    <n v="0.59"/>
    <x v="5"/>
    <x v="5"/>
    <x v="56"/>
    <x v="83"/>
    <x v="1"/>
    <x v="1"/>
    <n v="0.22935326051082283"/>
    <n v="-0.25435329828790432"/>
    <n v="0.10399668008577614"/>
  </r>
  <r>
    <n v="676"/>
    <d v="2011-01-31T00:00:00"/>
    <x v="0"/>
    <n v="0"/>
    <x v="0"/>
    <x v="11"/>
    <b v="0"/>
    <n v="1"/>
    <n v="2"/>
    <x v="13"/>
    <n v="0.1515"/>
    <n v="0.59"/>
    <x v="5"/>
    <x v="4"/>
    <x v="24"/>
    <x v="61"/>
    <x v="1"/>
    <x v="1"/>
    <n v="0.22935326051082283"/>
    <n v="-0.25435329828790432"/>
    <n v="0.10399668008577614"/>
  </r>
  <r>
    <n v="677"/>
    <d v="2011-01-31T00:00:00"/>
    <x v="0"/>
    <n v="0"/>
    <x v="0"/>
    <x v="12"/>
    <b v="0"/>
    <n v="1"/>
    <n v="2"/>
    <x v="15"/>
    <n v="0.21210000000000001"/>
    <n v="0.55000000000000004"/>
    <x v="14"/>
    <x v="15"/>
    <x v="133"/>
    <x v="118"/>
    <x v="1"/>
    <x v="1"/>
    <n v="0.22935326051082283"/>
    <n v="-0.25435329828790432"/>
    <n v="0.10399668008577614"/>
  </r>
  <r>
    <n v="678"/>
    <d v="2011-01-31T00:00:00"/>
    <x v="0"/>
    <n v="0"/>
    <x v="0"/>
    <x v="13"/>
    <b v="0"/>
    <n v="1"/>
    <n v="2"/>
    <x v="13"/>
    <n v="0.2273"/>
    <n v="0.59"/>
    <x v="0"/>
    <x v="4"/>
    <x v="15"/>
    <x v="60"/>
    <x v="1"/>
    <x v="1"/>
    <n v="0.22935326051082283"/>
    <n v="-0.25435329828790432"/>
    <n v="0.10399668008577614"/>
  </r>
  <r>
    <n v="679"/>
    <d v="2011-01-31T00:00:00"/>
    <x v="0"/>
    <n v="0"/>
    <x v="0"/>
    <x v="14"/>
    <b v="0"/>
    <n v="1"/>
    <n v="2"/>
    <x v="15"/>
    <n v="0.19700000000000001"/>
    <n v="0.55000000000000004"/>
    <x v="7"/>
    <x v="5"/>
    <x v="66"/>
    <x v="80"/>
    <x v="0"/>
    <x v="1"/>
    <n v="0.22935326051082283"/>
    <n v="-0.25435329828790432"/>
    <n v="0.10399668008577614"/>
  </r>
  <r>
    <n v="680"/>
    <d v="2011-01-31T00:00:00"/>
    <x v="0"/>
    <n v="0"/>
    <x v="0"/>
    <x v="15"/>
    <b v="0"/>
    <n v="1"/>
    <n v="2"/>
    <x v="13"/>
    <n v="0.18179999999999999"/>
    <n v="0.59"/>
    <x v="7"/>
    <x v="0"/>
    <x v="40"/>
    <x v="40"/>
    <x v="0"/>
    <x v="1"/>
    <n v="0.22935326051082283"/>
    <n v="-0.25435329828790432"/>
    <n v="0.10399668008577614"/>
  </r>
  <r>
    <n v="681"/>
    <d v="2011-01-31T00:00:00"/>
    <x v="0"/>
    <n v="0"/>
    <x v="0"/>
    <x v="16"/>
    <b v="0"/>
    <n v="1"/>
    <n v="2"/>
    <x v="13"/>
    <n v="0.18179999999999999"/>
    <n v="0.56000000000000005"/>
    <x v="5"/>
    <x v="0"/>
    <x v="93"/>
    <x v="80"/>
    <x v="1"/>
    <x v="1"/>
    <n v="0.22935326051082283"/>
    <n v="-0.25435329828790432"/>
    <n v="0.10399668008577614"/>
  </r>
  <r>
    <n v="682"/>
    <d v="2011-01-31T00:00:00"/>
    <x v="0"/>
    <n v="0"/>
    <x v="0"/>
    <x v="17"/>
    <b v="0"/>
    <n v="1"/>
    <n v="2"/>
    <x v="13"/>
    <n v="0.1515"/>
    <n v="0.59"/>
    <x v="5"/>
    <x v="15"/>
    <x v="119"/>
    <x v="143"/>
    <x v="1"/>
    <x v="1"/>
    <n v="0.22935326051082283"/>
    <n v="-0.25435329828790432"/>
    <n v="0.10399668008577614"/>
  </r>
  <r>
    <n v="683"/>
    <d v="2011-01-31T00:00:00"/>
    <x v="0"/>
    <n v="0"/>
    <x v="0"/>
    <x v="18"/>
    <b v="0"/>
    <n v="1"/>
    <n v="2"/>
    <x v="13"/>
    <n v="0.1515"/>
    <n v="0.55000000000000004"/>
    <x v="6"/>
    <x v="0"/>
    <x v="37"/>
    <x v="167"/>
    <x v="1"/>
    <x v="1"/>
    <n v="0.22935326051082283"/>
    <n v="-0.25435329828790432"/>
    <n v="0.10399668008577614"/>
  </r>
  <r>
    <n v="684"/>
    <d v="2011-01-31T00:00:00"/>
    <x v="0"/>
    <n v="0"/>
    <x v="0"/>
    <x v="19"/>
    <b v="0"/>
    <n v="1"/>
    <n v="1"/>
    <x v="11"/>
    <n v="0.31819999999999998"/>
    <n v="0.61"/>
    <x v="14"/>
    <x v="0"/>
    <x v="123"/>
    <x v="168"/>
    <x v="1"/>
    <x v="0"/>
    <n v="0.22935326051082283"/>
    <n v="-0.25435329828790432"/>
    <n v="0.10399668008577614"/>
  </r>
  <r>
    <n v="685"/>
    <d v="2011-01-31T00:00:00"/>
    <x v="0"/>
    <n v="0"/>
    <x v="0"/>
    <x v="20"/>
    <b v="0"/>
    <n v="1"/>
    <n v="3"/>
    <x v="13"/>
    <n v="0.16669999999999999"/>
    <n v="0.59"/>
    <x v="8"/>
    <x v="3"/>
    <x v="78"/>
    <x v="53"/>
    <x v="1"/>
    <x v="2"/>
    <n v="0.22935326051082283"/>
    <n v="-0.25435329828790432"/>
    <n v="0.10399668008577614"/>
  </r>
  <r>
    <n v="686"/>
    <d v="2011-01-31T00:00:00"/>
    <x v="0"/>
    <n v="0"/>
    <x v="0"/>
    <x v="21"/>
    <b v="0"/>
    <n v="1"/>
    <n v="3"/>
    <x v="13"/>
    <n v="0.19700000000000001"/>
    <n v="0.59"/>
    <x v="1"/>
    <x v="0"/>
    <x v="42"/>
    <x v="10"/>
    <x v="0"/>
    <x v="2"/>
    <n v="0.22935326051082283"/>
    <n v="-0.25435329828790432"/>
    <n v="0.10399668008577614"/>
  </r>
  <r>
    <n v="687"/>
    <d v="2011-01-31T00:00:00"/>
    <x v="0"/>
    <n v="0"/>
    <x v="0"/>
    <x v="22"/>
    <b v="0"/>
    <n v="1"/>
    <n v="2"/>
    <x v="13"/>
    <n v="0.18179999999999999"/>
    <n v="0.59"/>
    <x v="14"/>
    <x v="3"/>
    <x v="60"/>
    <x v="19"/>
    <x v="0"/>
    <x v="1"/>
    <n v="0.22935326051082283"/>
    <n v="-0.25435329828790432"/>
    <n v="0.10399668008577614"/>
  </r>
  <r>
    <n v="688"/>
    <d v="2011-01-31T00:00:00"/>
    <x v="0"/>
    <n v="0"/>
    <x v="0"/>
    <x v="23"/>
    <b v="0"/>
    <n v="1"/>
    <n v="2"/>
    <x v="13"/>
    <n v="0.19700000000000001"/>
    <n v="0.64"/>
    <x v="1"/>
    <x v="4"/>
    <x v="89"/>
    <x v="22"/>
    <x v="1"/>
    <x v="1"/>
    <n v="0.22935326051082283"/>
    <n v="-0.25435329828790432"/>
    <n v="0.10399668008577614"/>
  </r>
  <r>
    <n v="689"/>
    <d v="2011-02-01T00:00:00"/>
    <x v="0"/>
    <n v="0"/>
    <x v="1"/>
    <x v="0"/>
    <b v="0"/>
    <n v="2"/>
    <n v="2"/>
    <x v="13"/>
    <n v="0.18179999999999999"/>
    <n v="0.64"/>
    <x v="14"/>
    <x v="4"/>
    <x v="8"/>
    <x v="7"/>
    <x v="1"/>
    <x v="1"/>
    <n v="0.22935326051082283"/>
    <n v="-0.25435329828790432"/>
    <n v="0.10399668008577614"/>
  </r>
  <r>
    <n v="690"/>
    <d v="2011-02-01T00:00:00"/>
    <x v="0"/>
    <n v="0"/>
    <x v="1"/>
    <x v="1"/>
    <b v="0"/>
    <n v="2"/>
    <n v="2"/>
    <x v="13"/>
    <n v="0.18179999999999999"/>
    <n v="0.69"/>
    <x v="14"/>
    <x v="3"/>
    <x v="35"/>
    <x v="6"/>
    <x v="1"/>
    <x v="1"/>
    <n v="0.22935326051082283"/>
    <n v="-0.25435329828790432"/>
    <n v="0.10399668008577614"/>
  </r>
  <r>
    <n v="691"/>
    <d v="2011-02-01T00:00:00"/>
    <x v="0"/>
    <n v="0"/>
    <x v="1"/>
    <x v="2"/>
    <b v="0"/>
    <n v="2"/>
    <n v="2"/>
    <x v="13"/>
    <n v="0.2273"/>
    <n v="0.69"/>
    <x v="0"/>
    <x v="3"/>
    <x v="6"/>
    <x v="5"/>
    <x v="1"/>
    <x v="1"/>
    <n v="0.22935326051082283"/>
    <n v="-0.25435329828790432"/>
    <n v="0.10399668008577614"/>
  </r>
  <r>
    <n v="692"/>
    <d v="2011-02-01T00:00:00"/>
    <x v="0"/>
    <n v="0"/>
    <x v="1"/>
    <x v="3"/>
    <b v="0"/>
    <n v="2"/>
    <n v="2"/>
    <x v="13"/>
    <n v="0.2273"/>
    <n v="0.69"/>
    <x v="0"/>
    <x v="3"/>
    <x v="6"/>
    <x v="5"/>
    <x v="1"/>
    <x v="1"/>
    <n v="0.22935326051082283"/>
    <n v="-0.25435329828790432"/>
    <n v="0.10399668008577614"/>
  </r>
  <r>
    <n v="693"/>
    <d v="2011-02-01T00:00:00"/>
    <x v="0"/>
    <n v="0"/>
    <x v="1"/>
    <x v="5"/>
    <b v="0"/>
    <n v="2"/>
    <n v="3"/>
    <x v="14"/>
    <n v="0.21210000000000001"/>
    <n v="0.93"/>
    <x v="0"/>
    <x v="3"/>
    <x v="35"/>
    <x v="6"/>
    <x v="0"/>
    <x v="2"/>
    <n v="0.22935326051082283"/>
    <n v="-0.25435329828790432"/>
    <n v="0.10399668008577614"/>
  </r>
  <r>
    <n v="694"/>
    <d v="2011-02-01T00:00:00"/>
    <x v="0"/>
    <n v="0"/>
    <x v="1"/>
    <x v="6"/>
    <b v="0"/>
    <n v="2"/>
    <n v="3"/>
    <x v="14"/>
    <n v="0.21210000000000001"/>
    <n v="0.93"/>
    <x v="0"/>
    <x v="3"/>
    <x v="97"/>
    <x v="34"/>
    <x v="0"/>
    <x v="2"/>
    <n v="0.22935326051082283"/>
    <n v="-0.25435329828790432"/>
    <n v="0.10399668008577614"/>
  </r>
  <r>
    <n v="695"/>
    <d v="2011-02-01T00:00:00"/>
    <x v="0"/>
    <n v="0"/>
    <x v="1"/>
    <x v="7"/>
    <b v="0"/>
    <n v="2"/>
    <n v="3"/>
    <x v="13"/>
    <n v="0.2273"/>
    <n v="0.93"/>
    <x v="0"/>
    <x v="3"/>
    <x v="15"/>
    <x v="46"/>
    <x v="1"/>
    <x v="2"/>
    <n v="0.22935326051082283"/>
    <n v="-0.25435329828790432"/>
    <n v="0.10399668008577614"/>
  </r>
  <r>
    <n v="696"/>
    <d v="2011-02-01T00:00:00"/>
    <x v="0"/>
    <n v="0"/>
    <x v="1"/>
    <x v="8"/>
    <b v="0"/>
    <n v="2"/>
    <n v="3"/>
    <x v="13"/>
    <n v="0.2273"/>
    <n v="0.93"/>
    <x v="0"/>
    <x v="0"/>
    <x v="126"/>
    <x v="169"/>
    <x v="1"/>
    <x v="2"/>
    <n v="0.22935326051082283"/>
    <n v="-0.25435329828790432"/>
    <n v="0.10399668008577614"/>
  </r>
  <r>
    <n v="697"/>
    <d v="2011-02-01T00:00:00"/>
    <x v="0"/>
    <n v="0"/>
    <x v="1"/>
    <x v="9"/>
    <b v="0"/>
    <n v="2"/>
    <n v="2"/>
    <x v="13"/>
    <n v="0.2273"/>
    <n v="0.93"/>
    <x v="0"/>
    <x v="4"/>
    <x v="156"/>
    <x v="155"/>
    <x v="1"/>
    <x v="1"/>
    <n v="0.22935326051082283"/>
    <n v="-0.25435329828790432"/>
    <n v="0.10399668008577614"/>
  </r>
  <r>
    <n v="698"/>
    <d v="2011-02-01T00:00:00"/>
    <x v="0"/>
    <n v="0"/>
    <x v="1"/>
    <x v="10"/>
    <b v="0"/>
    <n v="2"/>
    <n v="2"/>
    <x v="13"/>
    <n v="0.2273"/>
    <n v="0.93"/>
    <x v="0"/>
    <x v="3"/>
    <x v="12"/>
    <x v="105"/>
    <x v="1"/>
    <x v="1"/>
    <n v="0.22935326051082283"/>
    <n v="-0.25435329828790432"/>
    <n v="0.10399668008577614"/>
  </r>
  <r>
    <n v="699"/>
    <d v="2011-02-01T00:00:00"/>
    <x v="0"/>
    <n v="0"/>
    <x v="1"/>
    <x v="11"/>
    <b v="0"/>
    <n v="2"/>
    <n v="2"/>
    <x v="15"/>
    <n v="0.2424"/>
    <n v="0.86"/>
    <x v="0"/>
    <x v="4"/>
    <x v="47"/>
    <x v="41"/>
    <x v="1"/>
    <x v="1"/>
    <n v="0.22935326051082283"/>
    <n v="-0.25435329828790432"/>
    <n v="0.10399668008577614"/>
  </r>
  <r>
    <n v="700"/>
    <d v="2011-02-01T00:00:00"/>
    <x v="0"/>
    <n v="0"/>
    <x v="1"/>
    <x v="12"/>
    <b v="0"/>
    <n v="2"/>
    <n v="2"/>
    <x v="2"/>
    <n v="0.2576"/>
    <n v="0.86"/>
    <x v="0"/>
    <x v="4"/>
    <x v="42"/>
    <x v="97"/>
    <x v="0"/>
    <x v="1"/>
    <n v="0.22935326051082283"/>
    <n v="-0.25435329828790432"/>
    <n v="0.10399668008577614"/>
  </r>
  <r>
    <n v="701"/>
    <d v="2011-02-01T00:00:00"/>
    <x v="0"/>
    <n v="0"/>
    <x v="1"/>
    <x v="13"/>
    <b v="0"/>
    <n v="2"/>
    <n v="2"/>
    <x v="2"/>
    <n v="0.2576"/>
    <n v="0.86"/>
    <x v="0"/>
    <x v="0"/>
    <x v="47"/>
    <x v="46"/>
    <x v="0"/>
    <x v="1"/>
    <n v="0.22935326051082283"/>
    <n v="-0.25435329828790432"/>
    <n v="0.10399668008577614"/>
  </r>
  <r>
    <n v="702"/>
    <d v="2011-02-01T00:00:00"/>
    <x v="0"/>
    <n v="0"/>
    <x v="1"/>
    <x v="14"/>
    <b v="0"/>
    <n v="2"/>
    <n v="2"/>
    <x v="1"/>
    <n v="0.2576"/>
    <n v="0.8"/>
    <x v="1"/>
    <x v="2"/>
    <x v="47"/>
    <x v="60"/>
    <x v="1"/>
    <x v="1"/>
    <n v="0.22935326051082283"/>
    <n v="-0.25435329828790432"/>
    <n v="0.10399668008577614"/>
  </r>
  <r>
    <n v="703"/>
    <d v="2011-02-01T00:00:00"/>
    <x v="0"/>
    <n v="0"/>
    <x v="1"/>
    <x v="15"/>
    <b v="0"/>
    <n v="2"/>
    <n v="2"/>
    <x v="0"/>
    <n v="0.28789999999999999"/>
    <n v="0.75"/>
    <x v="0"/>
    <x v="18"/>
    <x v="108"/>
    <x v="46"/>
    <x v="1"/>
    <x v="1"/>
    <n v="0.22935326051082283"/>
    <n v="-0.25435329828790432"/>
    <n v="0.10399668008577614"/>
  </r>
  <r>
    <n v="704"/>
    <d v="2011-02-01T00:00:00"/>
    <x v="0"/>
    <n v="0"/>
    <x v="1"/>
    <x v="16"/>
    <b v="0"/>
    <n v="2"/>
    <n v="2"/>
    <x v="0"/>
    <n v="0.2424"/>
    <n v="0.75"/>
    <x v="7"/>
    <x v="0"/>
    <x v="124"/>
    <x v="37"/>
    <x v="1"/>
    <x v="1"/>
    <n v="0.22935326051082283"/>
    <n v="-0.25435329828790432"/>
    <n v="0.10399668008577614"/>
  </r>
  <r>
    <n v="705"/>
    <d v="2011-02-01T00:00:00"/>
    <x v="0"/>
    <n v="0"/>
    <x v="1"/>
    <x v="17"/>
    <b v="0"/>
    <n v="2"/>
    <n v="2"/>
    <x v="0"/>
    <n v="0.28789999999999999"/>
    <n v="0.75"/>
    <x v="0"/>
    <x v="17"/>
    <x v="157"/>
    <x v="170"/>
    <x v="1"/>
    <x v="1"/>
    <n v="0.22935326051082283"/>
    <n v="-0.25435329828790432"/>
    <n v="0.10399668008577614"/>
  </r>
  <r>
    <n v="706"/>
    <d v="2011-02-01T00:00:00"/>
    <x v="0"/>
    <n v="0"/>
    <x v="1"/>
    <x v="18"/>
    <b v="0"/>
    <n v="2"/>
    <n v="2"/>
    <x v="0"/>
    <n v="0.2576"/>
    <n v="0.81"/>
    <x v="14"/>
    <x v="0"/>
    <x v="158"/>
    <x v="171"/>
    <x v="1"/>
    <x v="1"/>
    <n v="0.22935326051082283"/>
    <n v="-0.25435329828790432"/>
    <n v="0.10399668008577614"/>
  </r>
  <r>
    <n v="707"/>
    <d v="2011-02-01T00:00:00"/>
    <x v="0"/>
    <n v="0"/>
    <x v="1"/>
    <x v="19"/>
    <b v="0"/>
    <n v="2"/>
    <n v="2"/>
    <x v="0"/>
    <n v="0.2424"/>
    <n v="0.81"/>
    <x v="7"/>
    <x v="0"/>
    <x v="159"/>
    <x v="159"/>
    <x v="0"/>
    <x v="1"/>
    <n v="0.22935326051082283"/>
    <n v="-0.25435329828790432"/>
    <n v="0.10399668008577614"/>
  </r>
  <r>
    <n v="708"/>
    <d v="2011-02-01T00:00:00"/>
    <x v="0"/>
    <n v="0"/>
    <x v="1"/>
    <x v="20"/>
    <b v="0"/>
    <n v="2"/>
    <n v="2"/>
    <x v="1"/>
    <n v="0.2273"/>
    <n v="0.87"/>
    <x v="7"/>
    <x v="2"/>
    <x v="94"/>
    <x v="30"/>
    <x v="0"/>
    <x v="1"/>
    <n v="0.22935326051082283"/>
    <n v="-0.25435329828790432"/>
    <n v="0.10399668008577614"/>
  </r>
  <r>
    <n v="709"/>
    <d v="2011-02-01T00:00:00"/>
    <x v="0"/>
    <n v="0"/>
    <x v="1"/>
    <x v="21"/>
    <b v="0"/>
    <n v="2"/>
    <n v="2"/>
    <x v="1"/>
    <n v="0.2273"/>
    <n v="0.87"/>
    <x v="7"/>
    <x v="3"/>
    <x v="27"/>
    <x v="37"/>
    <x v="1"/>
    <x v="1"/>
    <n v="0.22935326051082283"/>
    <n v="-0.25435329828790432"/>
    <n v="0.10399668008577614"/>
  </r>
  <r>
    <n v="710"/>
    <d v="2011-02-01T00:00:00"/>
    <x v="0"/>
    <n v="0"/>
    <x v="1"/>
    <x v="22"/>
    <b v="0"/>
    <n v="2"/>
    <n v="2"/>
    <x v="1"/>
    <n v="0.2576"/>
    <n v="0.87"/>
    <x v="1"/>
    <x v="4"/>
    <x v="60"/>
    <x v="9"/>
    <x v="1"/>
    <x v="1"/>
    <n v="0.22935326051082283"/>
    <n v="-0.25435329828790432"/>
    <n v="0.10399668008577614"/>
  </r>
  <r>
    <n v="711"/>
    <d v="2011-02-01T00:00:00"/>
    <x v="0"/>
    <n v="0"/>
    <x v="1"/>
    <x v="23"/>
    <b v="0"/>
    <n v="2"/>
    <n v="3"/>
    <x v="2"/>
    <n v="0.19700000000000001"/>
    <n v="0.93"/>
    <x v="5"/>
    <x v="5"/>
    <x v="89"/>
    <x v="0"/>
    <x v="1"/>
    <x v="2"/>
    <n v="0.22935326051082283"/>
    <n v="-0.25435329828790432"/>
    <n v="0.10399668008577614"/>
  </r>
  <r>
    <n v="712"/>
    <d v="2011-02-02T00:00:00"/>
    <x v="0"/>
    <n v="0"/>
    <x v="1"/>
    <x v="0"/>
    <b v="0"/>
    <n v="3"/>
    <n v="3"/>
    <x v="1"/>
    <n v="0.2424"/>
    <n v="0.93"/>
    <x v="14"/>
    <x v="3"/>
    <x v="6"/>
    <x v="5"/>
    <x v="1"/>
    <x v="2"/>
    <n v="0.22935326051082283"/>
    <n v="-0.25435329828790432"/>
    <n v="0.10399668008577614"/>
  </r>
  <r>
    <n v="713"/>
    <d v="2011-02-02T00:00:00"/>
    <x v="0"/>
    <n v="0"/>
    <x v="1"/>
    <x v="1"/>
    <b v="0"/>
    <n v="3"/>
    <n v="3"/>
    <x v="1"/>
    <n v="0.2273"/>
    <n v="0.93"/>
    <x v="5"/>
    <x v="3"/>
    <x v="35"/>
    <x v="6"/>
    <x v="1"/>
    <x v="2"/>
    <n v="0.22935326051082283"/>
    <n v="-0.25435329828790432"/>
    <n v="0.10399668008577614"/>
  </r>
  <r>
    <n v="714"/>
    <d v="2011-02-02T00:00:00"/>
    <x v="0"/>
    <n v="0"/>
    <x v="1"/>
    <x v="2"/>
    <b v="0"/>
    <n v="3"/>
    <n v="3"/>
    <x v="1"/>
    <n v="0.2273"/>
    <n v="0.93"/>
    <x v="7"/>
    <x v="17"/>
    <x v="5"/>
    <x v="48"/>
    <x v="0"/>
    <x v="2"/>
    <n v="0.22935326051082283"/>
    <n v="-0.25435329828790432"/>
    <n v="0.10399668008577614"/>
  </r>
  <r>
    <n v="715"/>
    <d v="2011-02-02T00:00:00"/>
    <x v="0"/>
    <n v="0"/>
    <x v="1"/>
    <x v="3"/>
    <b v="0"/>
    <n v="3"/>
    <n v="3"/>
    <x v="1"/>
    <n v="0.2273"/>
    <n v="0.93"/>
    <x v="7"/>
    <x v="3"/>
    <x v="4"/>
    <x v="4"/>
    <x v="0"/>
    <x v="2"/>
    <n v="0.22935326051082283"/>
    <n v="-0.25435329828790432"/>
    <n v="0.10399668008577614"/>
  </r>
  <r>
    <n v="716"/>
    <d v="2011-02-02T00:00:00"/>
    <x v="0"/>
    <n v="0"/>
    <x v="1"/>
    <x v="4"/>
    <b v="0"/>
    <n v="3"/>
    <n v="3"/>
    <x v="1"/>
    <n v="0.21210000000000001"/>
    <n v="0.93"/>
    <x v="3"/>
    <x v="3"/>
    <x v="4"/>
    <x v="4"/>
    <x v="1"/>
    <x v="2"/>
    <n v="0.22935326051082283"/>
    <n v="-0.25435329828790432"/>
    <n v="0.10399668008577614"/>
  </r>
  <r>
    <n v="717"/>
    <d v="2011-02-02T00:00:00"/>
    <x v="0"/>
    <n v="0"/>
    <x v="1"/>
    <x v="5"/>
    <b v="0"/>
    <n v="3"/>
    <n v="3"/>
    <x v="1"/>
    <n v="0.2424"/>
    <n v="0.93"/>
    <x v="14"/>
    <x v="3"/>
    <x v="35"/>
    <x v="6"/>
    <x v="1"/>
    <x v="2"/>
    <n v="0.22935326051082283"/>
    <n v="-0.25435329828790432"/>
    <n v="0.10399668008577614"/>
  </r>
  <r>
    <n v="718"/>
    <d v="2011-02-02T00:00:00"/>
    <x v="0"/>
    <n v="0"/>
    <x v="1"/>
    <x v="6"/>
    <b v="0"/>
    <n v="3"/>
    <n v="3"/>
    <x v="1"/>
    <n v="0.2424"/>
    <n v="0.93"/>
    <x v="14"/>
    <x v="5"/>
    <x v="19"/>
    <x v="109"/>
    <x v="1"/>
    <x v="2"/>
    <n v="0.22935326051082283"/>
    <n v="-0.25435329828790432"/>
    <n v="0.10399668008577614"/>
  </r>
  <r>
    <n v="719"/>
    <d v="2011-02-02T00:00:00"/>
    <x v="0"/>
    <n v="0"/>
    <x v="1"/>
    <x v="7"/>
    <b v="0"/>
    <n v="3"/>
    <n v="3"/>
    <x v="1"/>
    <n v="0.21210000000000001"/>
    <n v="0.93"/>
    <x v="6"/>
    <x v="5"/>
    <x v="41"/>
    <x v="99"/>
    <x v="1"/>
    <x v="2"/>
    <n v="0.22935326051082283"/>
    <n v="-0.25435329828790432"/>
    <n v="0.10399668008577614"/>
  </r>
  <r>
    <n v="720"/>
    <d v="2011-02-02T00:00:00"/>
    <x v="0"/>
    <n v="0"/>
    <x v="1"/>
    <x v="8"/>
    <b v="0"/>
    <n v="3"/>
    <n v="3"/>
    <x v="1"/>
    <n v="0.21210000000000001"/>
    <n v="0.93"/>
    <x v="6"/>
    <x v="5"/>
    <x v="105"/>
    <x v="107"/>
    <x v="1"/>
    <x v="2"/>
    <n v="0.22935326051082283"/>
    <n v="-0.25435329828790432"/>
    <n v="0.10399668008577614"/>
  </r>
  <r>
    <n v="721"/>
    <d v="2011-02-02T00:00:00"/>
    <x v="0"/>
    <n v="0"/>
    <x v="1"/>
    <x v="9"/>
    <b v="0"/>
    <n v="3"/>
    <n v="2"/>
    <x v="0"/>
    <n v="0.2576"/>
    <n v="0.93"/>
    <x v="1"/>
    <x v="17"/>
    <x v="138"/>
    <x v="92"/>
    <x v="0"/>
    <x v="1"/>
    <n v="0.22935326051082283"/>
    <n v="-0.25435329828790432"/>
    <n v="0.10399668008577614"/>
  </r>
  <r>
    <n v="722"/>
    <d v="2011-02-02T00:00:00"/>
    <x v="0"/>
    <n v="0"/>
    <x v="1"/>
    <x v="10"/>
    <b v="0"/>
    <n v="3"/>
    <n v="2"/>
    <x v="1"/>
    <n v="0.2727"/>
    <n v="1"/>
    <x v="0"/>
    <x v="4"/>
    <x v="79"/>
    <x v="42"/>
    <x v="0"/>
    <x v="1"/>
    <n v="0.22935326051082283"/>
    <n v="-0.25435329828790432"/>
    <n v="0.10399668008577614"/>
  </r>
  <r>
    <n v="723"/>
    <d v="2011-02-02T00:00:00"/>
    <x v="0"/>
    <n v="0"/>
    <x v="1"/>
    <x v="11"/>
    <b v="0"/>
    <n v="3"/>
    <n v="2"/>
    <x v="0"/>
    <n v="0.2273"/>
    <n v="0.93"/>
    <x v="5"/>
    <x v="2"/>
    <x v="12"/>
    <x v="46"/>
    <x v="1"/>
    <x v="1"/>
    <n v="0.22935326051082283"/>
    <n v="-0.25435329828790432"/>
    <n v="0.10399668008577614"/>
  </r>
  <r>
    <n v="724"/>
    <d v="2011-02-02T00:00:00"/>
    <x v="0"/>
    <n v="0"/>
    <x v="1"/>
    <x v="12"/>
    <b v="0"/>
    <n v="3"/>
    <n v="2"/>
    <x v="0"/>
    <n v="0.2273"/>
    <n v="0.93"/>
    <x v="6"/>
    <x v="0"/>
    <x v="124"/>
    <x v="37"/>
    <x v="1"/>
    <x v="1"/>
    <n v="0.22935326051082283"/>
    <n v="-0.25435329828790432"/>
    <n v="0.10399668008577614"/>
  </r>
  <r>
    <n v="725"/>
    <d v="2011-02-02T00:00:00"/>
    <x v="0"/>
    <n v="0"/>
    <x v="1"/>
    <x v="13"/>
    <b v="0"/>
    <n v="3"/>
    <n v="1"/>
    <x v="10"/>
    <n v="0.33329999999999999"/>
    <n v="0.93"/>
    <x v="8"/>
    <x v="5"/>
    <x v="64"/>
    <x v="28"/>
    <x v="1"/>
    <x v="0"/>
    <n v="0.22935326051082283"/>
    <n v="-0.25435329828790432"/>
    <n v="0.10399668008577614"/>
  </r>
  <r>
    <n v="726"/>
    <d v="2011-02-02T00:00:00"/>
    <x v="0"/>
    <n v="0"/>
    <x v="1"/>
    <x v="14"/>
    <b v="0"/>
    <n v="3"/>
    <n v="1"/>
    <x v="4"/>
    <n v="0.39389999999999997"/>
    <n v="0.82"/>
    <x v="13"/>
    <x v="4"/>
    <x v="124"/>
    <x v="55"/>
    <x v="1"/>
    <x v="0"/>
    <n v="0.22935326051082283"/>
    <n v="-0.25435329828790432"/>
    <n v="0.10399668008577614"/>
  </r>
  <r>
    <n v="727"/>
    <d v="2011-02-02T00:00:00"/>
    <x v="0"/>
    <n v="0"/>
    <x v="1"/>
    <x v="15"/>
    <b v="0"/>
    <n v="3"/>
    <n v="1"/>
    <x v="4"/>
    <n v="0.39389999999999997"/>
    <n v="0.76"/>
    <x v="9"/>
    <x v="22"/>
    <x v="43"/>
    <x v="31"/>
    <x v="1"/>
    <x v="0"/>
    <n v="0.22935326051082283"/>
    <n v="-0.25435329828790432"/>
    <n v="0.10399668008577614"/>
  </r>
  <r>
    <n v="728"/>
    <d v="2011-02-02T00:00:00"/>
    <x v="0"/>
    <n v="0"/>
    <x v="1"/>
    <x v="16"/>
    <b v="0"/>
    <n v="3"/>
    <n v="1"/>
    <x v="5"/>
    <n v="0.33329999999999999"/>
    <n v="0.71"/>
    <x v="4"/>
    <x v="1"/>
    <x v="73"/>
    <x v="153"/>
    <x v="0"/>
    <x v="0"/>
    <n v="0.22935326051082283"/>
    <n v="-0.25435329828790432"/>
    <n v="0.10399668008577614"/>
  </r>
  <r>
    <n v="729"/>
    <d v="2011-02-02T00:00:00"/>
    <x v="0"/>
    <n v="0"/>
    <x v="1"/>
    <x v="17"/>
    <b v="0"/>
    <n v="3"/>
    <n v="1"/>
    <x v="5"/>
    <n v="0.31819999999999998"/>
    <n v="0.53"/>
    <x v="18"/>
    <x v="18"/>
    <x v="160"/>
    <x v="71"/>
    <x v="0"/>
    <x v="0"/>
    <n v="0.22935326051082283"/>
    <n v="-0.25435329828790432"/>
    <n v="0.10399668008577614"/>
  </r>
  <r>
    <n v="730"/>
    <d v="2011-02-02T00:00:00"/>
    <x v="0"/>
    <n v="0"/>
    <x v="1"/>
    <x v="18"/>
    <b v="0"/>
    <n v="3"/>
    <n v="1"/>
    <x v="10"/>
    <n v="0.28789999999999999"/>
    <n v="0.42"/>
    <x v="16"/>
    <x v="18"/>
    <x v="161"/>
    <x v="58"/>
    <x v="1"/>
    <x v="0"/>
    <n v="0.22935326051082283"/>
    <n v="-0.25435329828790432"/>
    <n v="0.10399668008577614"/>
  </r>
  <r>
    <n v="731"/>
    <d v="2011-02-02T00:00:00"/>
    <x v="0"/>
    <n v="0"/>
    <x v="1"/>
    <x v="19"/>
    <b v="0"/>
    <n v="3"/>
    <n v="1"/>
    <x v="17"/>
    <n v="0.2424"/>
    <n v="0.45"/>
    <x v="15"/>
    <x v="0"/>
    <x v="152"/>
    <x v="134"/>
    <x v="1"/>
    <x v="0"/>
    <n v="0.22935326051082283"/>
    <n v="-0.25435329828790432"/>
    <n v="0.10399668008577614"/>
  </r>
  <r>
    <n v="732"/>
    <d v="2011-02-02T00:00:00"/>
    <x v="0"/>
    <n v="0"/>
    <x v="1"/>
    <x v="20"/>
    <b v="0"/>
    <n v="3"/>
    <n v="1"/>
    <x v="0"/>
    <n v="0.19700000000000001"/>
    <n v="0.48"/>
    <x v="16"/>
    <x v="17"/>
    <x v="13"/>
    <x v="28"/>
    <x v="1"/>
    <x v="0"/>
    <n v="0.22935326051082283"/>
    <n v="-0.25435329828790432"/>
    <n v="0.10399668008577614"/>
  </r>
  <r>
    <n v="733"/>
    <d v="2011-02-02T00:00:00"/>
    <x v="0"/>
    <n v="0"/>
    <x v="1"/>
    <x v="21"/>
    <b v="0"/>
    <n v="3"/>
    <n v="1"/>
    <x v="1"/>
    <n v="0.19700000000000001"/>
    <n v="0.47"/>
    <x v="9"/>
    <x v="5"/>
    <x v="133"/>
    <x v="55"/>
    <x v="1"/>
    <x v="0"/>
    <n v="0.22935326051082283"/>
    <n v="-0.25435329828790432"/>
    <n v="0.10399668008577614"/>
  </r>
  <r>
    <n v="734"/>
    <d v="2011-02-02T00:00:00"/>
    <x v="0"/>
    <n v="0"/>
    <x v="1"/>
    <x v="22"/>
    <b v="0"/>
    <n v="3"/>
    <n v="1"/>
    <x v="1"/>
    <n v="0.21210000000000001"/>
    <n v="0.44"/>
    <x v="2"/>
    <x v="2"/>
    <x v="96"/>
    <x v="1"/>
    <x v="1"/>
    <x v="0"/>
    <n v="0.22935326051082283"/>
    <n v="-0.25435329828790432"/>
    <n v="0.10399668008577614"/>
  </r>
  <r>
    <n v="735"/>
    <d v="2011-02-02T00:00:00"/>
    <x v="0"/>
    <n v="0"/>
    <x v="1"/>
    <x v="23"/>
    <b v="0"/>
    <n v="3"/>
    <n v="1"/>
    <x v="2"/>
    <n v="0.16669999999999999"/>
    <n v="0.44"/>
    <x v="10"/>
    <x v="0"/>
    <x v="31"/>
    <x v="2"/>
    <x v="0"/>
    <x v="0"/>
    <n v="0.22935326051082283"/>
    <n v="-0.25435329828790432"/>
    <n v="0.10399668008577614"/>
  </r>
  <r>
    <n v="736"/>
    <d v="2011-02-03T00:00:00"/>
    <x v="0"/>
    <n v="0"/>
    <x v="1"/>
    <x v="0"/>
    <b v="0"/>
    <n v="4"/>
    <n v="1"/>
    <x v="2"/>
    <n v="0.16669999999999999"/>
    <n v="0.4"/>
    <x v="10"/>
    <x v="5"/>
    <x v="48"/>
    <x v="47"/>
    <x v="0"/>
    <x v="0"/>
    <n v="0.22935326051082283"/>
    <n v="-0.25435329828790432"/>
    <n v="0.10399668008577614"/>
  </r>
  <r>
    <n v="737"/>
    <d v="2011-02-03T00:00:00"/>
    <x v="0"/>
    <n v="0"/>
    <x v="1"/>
    <x v="1"/>
    <b v="0"/>
    <n v="4"/>
    <n v="1"/>
    <x v="2"/>
    <n v="0.1515"/>
    <n v="0.44"/>
    <x v="18"/>
    <x v="3"/>
    <x v="34"/>
    <x v="36"/>
    <x v="1"/>
    <x v="0"/>
    <n v="0.22935326051082283"/>
    <n v="-0.25435329828790432"/>
    <n v="0.10399668008577614"/>
  </r>
  <r>
    <n v="738"/>
    <d v="2011-02-03T00:00:00"/>
    <x v="0"/>
    <n v="0"/>
    <x v="1"/>
    <x v="2"/>
    <b v="0"/>
    <n v="4"/>
    <n v="1"/>
    <x v="15"/>
    <n v="0.16669999999999999"/>
    <n v="0.43"/>
    <x v="2"/>
    <x v="3"/>
    <x v="6"/>
    <x v="5"/>
    <x v="1"/>
    <x v="0"/>
    <n v="0.22935326051082283"/>
    <n v="-0.25435329828790432"/>
    <n v="0.10399668008577614"/>
  </r>
  <r>
    <n v="739"/>
    <d v="2011-02-03T00:00:00"/>
    <x v="0"/>
    <n v="0"/>
    <x v="1"/>
    <x v="3"/>
    <b v="0"/>
    <n v="4"/>
    <n v="1"/>
    <x v="15"/>
    <n v="0.16669999999999999"/>
    <n v="0.43"/>
    <x v="2"/>
    <x v="3"/>
    <x v="4"/>
    <x v="4"/>
    <x v="1"/>
    <x v="0"/>
    <n v="0.22935326051082283"/>
    <n v="-0.25435329828790432"/>
    <n v="0.10399668008577614"/>
  </r>
  <r>
    <n v="740"/>
    <d v="2011-02-03T00:00:00"/>
    <x v="0"/>
    <n v="0"/>
    <x v="1"/>
    <x v="5"/>
    <b v="0"/>
    <n v="4"/>
    <n v="1"/>
    <x v="13"/>
    <n v="0.13639999999999999"/>
    <n v="0.5"/>
    <x v="4"/>
    <x v="3"/>
    <x v="6"/>
    <x v="5"/>
    <x v="1"/>
    <x v="0"/>
    <n v="0.22935326051082283"/>
    <n v="-0.25435329828790432"/>
    <n v="0.10399668008577614"/>
  </r>
  <r>
    <n v="741"/>
    <d v="2011-02-03T00:00:00"/>
    <x v="0"/>
    <n v="0"/>
    <x v="1"/>
    <x v="6"/>
    <b v="0"/>
    <n v="4"/>
    <n v="1"/>
    <x v="13"/>
    <n v="0.13639999999999999"/>
    <n v="0.43"/>
    <x v="11"/>
    <x v="3"/>
    <x v="87"/>
    <x v="21"/>
    <x v="1"/>
    <x v="0"/>
    <n v="0.22935326051082283"/>
    <n v="-0.25435329828790432"/>
    <n v="0.10399668008577614"/>
  </r>
  <r>
    <n v="742"/>
    <d v="2011-02-03T00:00:00"/>
    <x v="0"/>
    <n v="0"/>
    <x v="1"/>
    <x v="7"/>
    <b v="0"/>
    <n v="4"/>
    <n v="1"/>
    <x v="14"/>
    <n v="0.1212"/>
    <n v="0.5"/>
    <x v="9"/>
    <x v="5"/>
    <x v="132"/>
    <x v="90"/>
    <x v="0"/>
    <x v="0"/>
    <n v="0.22935326051082283"/>
    <n v="-0.25435329828790432"/>
    <n v="0.10399668008577614"/>
  </r>
  <r>
    <n v="743"/>
    <d v="2011-02-03T00:00:00"/>
    <x v="0"/>
    <n v="0"/>
    <x v="1"/>
    <x v="8"/>
    <b v="0"/>
    <n v="4"/>
    <n v="1"/>
    <x v="14"/>
    <n v="0.1212"/>
    <n v="0.5"/>
    <x v="11"/>
    <x v="17"/>
    <x v="103"/>
    <x v="104"/>
    <x v="0"/>
    <x v="0"/>
    <n v="0.22935326051082283"/>
    <n v="-0.25435329828790432"/>
    <n v="0.10399668008577614"/>
  </r>
  <r>
    <n v="744"/>
    <d v="2011-02-03T00:00:00"/>
    <x v="0"/>
    <n v="0"/>
    <x v="1"/>
    <x v="9"/>
    <b v="0"/>
    <n v="4"/>
    <n v="1"/>
    <x v="13"/>
    <n v="0.13639999999999999"/>
    <n v="0.47"/>
    <x v="4"/>
    <x v="15"/>
    <x v="69"/>
    <x v="140"/>
    <x v="1"/>
    <x v="0"/>
    <n v="0.22935326051082283"/>
    <n v="-0.25435329828790432"/>
    <n v="0.10399668008577614"/>
  </r>
  <r>
    <n v="745"/>
    <d v="2011-02-03T00:00:00"/>
    <x v="0"/>
    <n v="0"/>
    <x v="1"/>
    <x v="10"/>
    <b v="0"/>
    <n v="4"/>
    <n v="1"/>
    <x v="15"/>
    <n v="0.1515"/>
    <n v="0.43"/>
    <x v="9"/>
    <x v="4"/>
    <x v="54"/>
    <x v="46"/>
    <x v="1"/>
    <x v="0"/>
    <n v="0.22935326051082283"/>
    <n v="-0.25435329828790432"/>
    <n v="0.10399668008577614"/>
  </r>
  <r>
    <n v="746"/>
    <d v="2011-02-03T00:00:00"/>
    <x v="0"/>
    <n v="0"/>
    <x v="1"/>
    <x v="11"/>
    <b v="0"/>
    <n v="4"/>
    <n v="1"/>
    <x v="15"/>
    <n v="0.13639999999999999"/>
    <n v="0.43"/>
    <x v="10"/>
    <x v="14"/>
    <x v="11"/>
    <x v="37"/>
    <x v="1"/>
    <x v="0"/>
    <n v="0.22935326051082283"/>
    <n v="-0.25435329828790432"/>
    <n v="0.10399668008577614"/>
  </r>
  <r>
    <n v="747"/>
    <d v="2011-02-03T00:00:00"/>
    <x v="0"/>
    <n v="0"/>
    <x v="1"/>
    <x v="12"/>
    <b v="0"/>
    <n v="4"/>
    <n v="1"/>
    <x v="2"/>
    <n v="0.18179999999999999"/>
    <n v="0.4"/>
    <x v="11"/>
    <x v="4"/>
    <x v="28"/>
    <x v="83"/>
    <x v="1"/>
    <x v="0"/>
    <n v="0.22935326051082283"/>
    <n v="-0.25435329828790432"/>
    <n v="0.10399668008577614"/>
  </r>
  <r>
    <n v="748"/>
    <d v="2011-02-03T00:00:00"/>
    <x v="0"/>
    <n v="0"/>
    <x v="1"/>
    <x v="13"/>
    <b v="0"/>
    <n v="4"/>
    <n v="1"/>
    <x v="2"/>
    <n v="0.16669999999999999"/>
    <n v="0.4"/>
    <x v="12"/>
    <x v="17"/>
    <x v="12"/>
    <x v="41"/>
    <x v="1"/>
    <x v="0"/>
    <n v="0.22935326051082283"/>
    <n v="-0.25435329828790432"/>
    <n v="0.10399668008577614"/>
  </r>
  <r>
    <n v="749"/>
    <d v="2011-02-03T00:00:00"/>
    <x v="0"/>
    <n v="0"/>
    <x v="1"/>
    <x v="14"/>
    <b v="0"/>
    <n v="4"/>
    <n v="1"/>
    <x v="1"/>
    <n v="0.19700000000000001"/>
    <n v="0.37"/>
    <x v="13"/>
    <x v="17"/>
    <x v="30"/>
    <x v="105"/>
    <x v="0"/>
    <x v="0"/>
    <n v="0.22935326051082283"/>
    <n v="-0.25435329828790432"/>
    <n v="0.10399668008577614"/>
  </r>
  <r>
    <n v="750"/>
    <d v="2011-02-03T00:00:00"/>
    <x v="0"/>
    <n v="0"/>
    <x v="1"/>
    <x v="15"/>
    <b v="0"/>
    <n v="4"/>
    <n v="1"/>
    <x v="1"/>
    <n v="0.19700000000000001"/>
    <n v="0.37"/>
    <x v="9"/>
    <x v="17"/>
    <x v="90"/>
    <x v="122"/>
    <x v="0"/>
    <x v="0"/>
    <n v="0.22935326051082283"/>
    <n v="-0.25435329828790432"/>
    <n v="0.10399668008577614"/>
  </r>
  <r>
    <n v="751"/>
    <d v="2011-02-03T00:00:00"/>
    <x v="0"/>
    <n v="0"/>
    <x v="1"/>
    <x v="16"/>
    <b v="0"/>
    <n v="4"/>
    <n v="1"/>
    <x v="1"/>
    <n v="0.21210000000000001"/>
    <n v="0.37"/>
    <x v="2"/>
    <x v="2"/>
    <x v="26"/>
    <x v="53"/>
    <x v="1"/>
    <x v="0"/>
    <n v="0.22935326051082283"/>
    <n v="-0.25435329828790432"/>
    <n v="0.10399668008577614"/>
  </r>
  <r>
    <n v="752"/>
    <d v="2011-02-03T00:00:00"/>
    <x v="0"/>
    <n v="0"/>
    <x v="1"/>
    <x v="17"/>
    <b v="0"/>
    <n v="4"/>
    <n v="1"/>
    <x v="2"/>
    <n v="0.19700000000000001"/>
    <n v="0.4"/>
    <x v="5"/>
    <x v="2"/>
    <x v="162"/>
    <x v="172"/>
    <x v="1"/>
    <x v="0"/>
    <n v="0.22935326051082283"/>
    <n v="-0.25435329828790432"/>
    <n v="0.10399668008577614"/>
  </r>
  <r>
    <n v="753"/>
    <d v="2011-02-03T00:00:00"/>
    <x v="0"/>
    <n v="0"/>
    <x v="1"/>
    <x v="18"/>
    <b v="0"/>
    <n v="4"/>
    <n v="1"/>
    <x v="2"/>
    <n v="0.21210000000000001"/>
    <n v="0.4"/>
    <x v="8"/>
    <x v="4"/>
    <x v="142"/>
    <x v="173"/>
    <x v="1"/>
    <x v="0"/>
    <n v="0.22935326051082283"/>
    <n v="-0.25435329828790432"/>
    <n v="0.10399668008577614"/>
  </r>
  <r>
    <n v="754"/>
    <d v="2011-02-03T00:00:00"/>
    <x v="0"/>
    <n v="0"/>
    <x v="1"/>
    <x v="19"/>
    <b v="0"/>
    <n v="4"/>
    <n v="1"/>
    <x v="2"/>
    <n v="0.2576"/>
    <n v="0.4"/>
    <x v="0"/>
    <x v="17"/>
    <x v="50"/>
    <x v="152"/>
    <x v="1"/>
    <x v="0"/>
    <n v="0.22935326051082283"/>
    <n v="-0.25435329828790432"/>
    <n v="0.10399668008577614"/>
  </r>
  <r>
    <n v="755"/>
    <d v="2011-02-03T00:00:00"/>
    <x v="0"/>
    <n v="0"/>
    <x v="1"/>
    <x v="20"/>
    <b v="0"/>
    <n v="4"/>
    <n v="1"/>
    <x v="2"/>
    <n v="0.2273"/>
    <n v="0.47"/>
    <x v="1"/>
    <x v="5"/>
    <x v="123"/>
    <x v="142"/>
    <x v="1"/>
    <x v="0"/>
    <n v="0.22935326051082283"/>
    <n v="-0.25435329828790432"/>
    <n v="0.10399668008577614"/>
  </r>
  <r>
    <n v="756"/>
    <d v="2011-02-03T00:00:00"/>
    <x v="0"/>
    <n v="0"/>
    <x v="1"/>
    <x v="21"/>
    <b v="0"/>
    <n v="4"/>
    <n v="1"/>
    <x v="15"/>
    <n v="0.21210000000000001"/>
    <n v="0.55000000000000004"/>
    <x v="14"/>
    <x v="5"/>
    <x v="42"/>
    <x v="60"/>
    <x v="0"/>
    <x v="0"/>
    <n v="0.22935326051082283"/>
    <n v="-0.25435329828790432"/>
    <n v="0.10399668008577614"/>
  </r>
  <r>
    <n v="757"/>
    <d v="2011-02-03T00:00:00"/>
    <x v="0"/>
    <n v="0"/>
    <x v="1"/>
    <x v="22"/>
    <b v="0"/>
    <n v="4"/>
    <n v="1"/>
    <x v="15"/>
    <n v="0.21210000000000001"/>
    <n v="0.51"/>
    <x v="1"/>
    <x v="4"/>
    <x v="87"/>
    <x v="102"/>
    <x v="0"/>
    <x v="0"/>
    <n v="0.22935326051082283"/>
    <n v="-0.25435329828790432"/>
    <n v="0.10399668008577614"/>
  </r>
  <r>
    <n v="758"/>
    <d v="2011-02-03T00:00:00"/>
    <x v="0"/>
    <n v="0"/>
    <x v="1"/>
    <x v="23"/>
    <b v="0"/>
    <n v="4"/>
    <n v="1"/>
    <x v="2"/>
    <n v="0.2273"/>
    <n v="0.47"/>
    <x v="14"/>
    <x v="17"/>
    <x v="60"/>
    <x v="103"/>
    <x v="1"/>
    <x v="0"/>
    <n v="0.22935326051082283"/>
    <n v="-0.25435329828790432"/>
    <n v="0.10399668008577614"/>
  </r>
  <r>
    <n v="759"/>
    <d v="2011-02-04T00:00:00"/>
    <x v="0"/>
    <n v="0"/>
    <x v="1"/>
    <x v="0"/>
    <b v="0"/>
    <n v="5"/>
    <n v="2"/>
    <x v="2"/>
    <n v="0.2576"/>
    <n v="0.44"/>
    <x v="0"/>
    <x v="0"/>
    <x v="3"/>
    <x v="3"/>
    <x v="1"/>
    <x v="1"/>
    <n v="0.22935326051082283"/>
    <n v="-0.25435329828790432"/>
    <n v="0.10399668008577614"/>
  </r>
  <r>
    <n v="760"/>
    <d v="2011-02-04T00:00:00"/>
    <x v="0"/>
    <n v="0"/>
    <x v="1"/>
    <x v="1"/>
    <b v="0"/>
    <n v="5"/>
    <n v="2"/>
    <x v="13"/>
    <n v="0.2273"/>
    <n v="0.59"/>
    <x v="0"/>
    <x v="3"/>
    <x v="7"/>
    <x v="85"/>
    <x v="1"/>
    <x v="1"/>
    <n v="0.22935326051082283"/>
    <n v="-0.25435329828790432"/>
    <n v="0.10399668008577614"/>
  </r>
  <r>
    <n v="761"/>
    <d v="2011-02-04T00:00:00"/>
    <x v="0"/>
    <n v="0"/>
    <x v="1"/>
    <x v="2"/>
    <b v="0"/>
    <n v="5"/>
    <n v="2"/>
    <x v="14"/>
    <n v="0.16669999999999999"/>
    <n v="0.63"/>
    <x v="14"/>
    <x v="3"/>
    <x v="4"/>
    <x v="4"/>
    <x v="1"/>
    <x v="1"/>
    <n v="0.22935326051082283"/>
    <n v="-0.25435329828790432"/>
    <n v="0.10399668008577614"/>
  </r>
  <r>
    <n v="762"/>
    <d v="2011-02-04T00:00:00"/>
    <x v="0"/>
    <n v="0"/>
    <x v="1"/>
    <x v="3"/>
    <b v="0"/>
    <n v="5"/>
    <n v="2"/>
    <x v="14"/>
    <n v="0.16669999999999999"/>
    <n v="0.63"/>
    <x v="14"/>
    <x v="3"/>
    <x v="4"/>
    <x v="4"/>
    <x v="1"/>
    <x v="1"/>
    <n v="0.22935326051082283"/>
    <n v="-0.25435329828790432"/>
    <n v="0.10399668008577614"/>
  </r>
  <r>
    <n v="763"/>
    <d v="2011-02-04T00:00:00"/>
    <x v="0"/>
    <n v="0"/>
    <x v="1"/>
    <x v="5"/>
    <b v="0"/>
    <n v="5"/>
    <n v="2"/>
    <x v="14"/>
    <n v="0.1515"/>
    <n v="0.63"/>
    <x v="7"/>
    <x v="3"/>
    <x v="7"/>
    <x v="85"/>
    <x v="0"/>
    <x v="1"/>
    <n v="0.22935326051082283"/>
    <n v="-0.25435329828790432"/>
    <n v="0.10399668008577614"/>
  </r>
  <r>
    <n v="764"/>
    <d v="2011-02-04T00:00:00"/>
    <x v="0"/>
    <n v="0"/>
    <x v="1"/>
    <x v="6"/>
    <b v="0"/>
    <n v="5"/>
    <n v="2"/>
    <x v="13"/>
    <n v="0.2273"/>
    <n v="0.55000000000000004"/>
    <x v="0"/>
    <x v="4"/>
    <x v="16"/>
    <x v="20"/>
    <x v="0"/>
    <x v="1"/>
    <n v="0.22935326051082283"/>
    <n v="-0.25435329828790432"/>
    <n v="0.10399668008577614"/>
  </r>
  <r>
    <n v="765"/>
    <d v="2011-02-04T00:00:00"/>
    <x v="0"/>
    <n v="0"/>
    <x v="1"/>
    <x v="7"/>
    <b v="0"/>
    <n v="5"/>
    <n v="1"/>
    <x v="14"/>
    <n v="0.21210000000000001"/>
    <n v="0.59"/>
    <x v="0"/>
    <x v="3"/>
    <x v="61"/>
    <x v="90"/>
    <x v="1"/>
    <x v="0"/>
    <n v="0.22935326051082283"/>
    <n v="-0.25435329828790432"/>
    <n v="0.10399668008577614"/>
  </r>
  <r>
    <n v="766"/>
    <d v="2011-02-04T00:00:00"/>
    <x v="0"/>
    <n v="0"/>
    <x v="1"/>
    <x v="8"/>
    <b v="0"/>
    <n v="5"/>
    <n v="1"/>
    <x v="14"/>
    <n v="0.1515"/>
    <n v="0.74"/>
    <x v="7"/>
    <x v="0"/>
    <x v="163"/>
    <x v="174"/>
    <x v="1"/>
    <x v="0"/>
    <n v="0.22935326051082283"/>
    <n v="-0.25435329828790432"/>
    <n v="0.10399668008577614"/>
  </r>
  <r>
    <n v="767"/>
    <d v="2011-02-04T00:00:00"/>
    <x v="0"/>
    <n v="0"/>
    <x v="1"/>
    <x v="9"/>
    <b v="0"/>
    <n v="5"/>
    <n v="2"/>
    <x v="13"/>
    <n v="0.18179999999999999"/>
    <n v="0.8"/>
    <x v="7"/>
    <x v="0"/>
    <x v="125"/>
    <x v="175"/>
    <x v="1"/>
    <x v="1"/>
    <n v="0.22935326051082283"/>
    <n v="-0.25435329828790432"/>
    <n v="0.10399668008577614"/>
  </r>
  <r>
    <n v="768"/>
    <d v="2011-02-04T00:00:00"/>
    <x v="0"/>
    <n v="0"/>
    <x v="1"/>
    <x v="10"/>
    <b v="0"/>
    <n v="5"/>
    <n v="2"/>
    <x v="2"/>
    <n v="0.21210000000000001"/>
    <n v="0.51"/>
    <x v="7"/>
    <x v="2"/>
    <x v="24"/>
    <x v="41"/>
    <x v="1"/>
    <x v="1"/>
    <n v="0.22935326051082283"/>
    <n v="-0.25435329828790432"/>
    <n v="0.10399668008577614"/>
  </r>
  <r>
    <n v="769"/>
    <d v="2011-02-04T00:00:00"/>
    <x v="0"/>
    <n v="0"/>
    <x v="1"/>
    <x v="11"/>
    <b v="0"/>
    <n v="5"/>
    <n v="1"/>
    <x v="1"/>
    <n v="0.2273"/>
    <n v="0.51"/>
    <x v="8"/>
    <x v="0"/>
    <x v="124"/>
    <x v="37"/>
    <x v="1"/>
    <x v="0"/>
    <n v="0.22935326051082283"/>
    <n v="-0.25435329828790432"/>
    <n v="0.10399668008577614"/>
  </r>
  <r>
    <n v="770"/>
    <d v="2011-02-04T00:00:00"/>
    <x v="0"/>
    <n v="0"/>
    <x v="1"/>
    <x v="12"/>
    <b v="0"/>
    <n v="5"/>
    <n v="2"/>
    <x v="0"/>
    <n v="0.2424"/>
    <n v="0.48"/>
    <x v="8"/>
    <x v="1"/>
    <x v="78"/>
    <x v="80"/>
    <x v="0"/>
    <x v="1"/>
    <n v="0.22935326051082283"/>
    <n v="-0.25435329828790432"/>
    <n v="0.10399668008577614"/>
  </r>
  <r>
    <n v="771"/>
    <d v="2011-02-04T00:00:00"/>
    <x v="0"/>
    <n v="0"/>
    <x v="1"/>
    <x v="13"/>
    <b v="0"/>
    <n v="5"/>
    <n v="2"/>
    <x v="12"/>
    <n v="0.2576"/>
    <n v="0.5"/>
    <x v="6"/>
    <x v="14"/>
    <x v="26"/>
    <x v="100"/>
    <x v="0"/>
    <x v="1"/>
    <n v="0.22935326051082283"/>
    <n v="-0.25435329828790432"/>
    <n v="0.10399668008577614"/>
  </r>
  <r>
    <n v="772"/>
    <d v="2011-02-04T00:00:00"/>
    <x v="0"/>
    <n v="0"/>
    <x v="1"/>
    <x v="14"/>
    <b v="0"/>
    <n v="5"/>
    <n v="2"/>
    <x v="17"/>
    <n v="0.2727"/>
    <n v="0.45"/>
    <x v="8"/>
    <x v="13"/>
    <x v="83"/>
    <x v="134"/>
    <x v="1"/>
    <x v="1"/>
    <n v="0.22935326051082283"/>
    <n v="-0.25435329828790432"/>
    <n v="0.10399668008577614"/>
  </r>
  <r>
    <n v="773"/>
    <d v="2011-02-04T00:00:00"/>
    <x v="0"/>
    <n v="0"/>
    <x v="1"/>
    <x v="15"/>
    <b v="0"/>
    <n v="5"/>
    <n v="2"/>
    <x v="17"/>
    <n v="0.2727"/>
    <n v="0.48"/>
    <x v="2"/>
    <x v="14"/>
    <x v="38"/>
    <x v="127"/>
    <x v="1"/>
    <x v="1"/>
    <n v="0.22935326051082283"/>
    <n v="-0.25435329828790432"/>
    <n v="0.10399668008577614"/>
  </r>
  <r>
    <n v="774"/>
    <d v="2011-02-04T00:00:00"/>
    <x v="0"/>
    <n v="0"/>
    <x v="1"/>
    <x v="16"/>
    <b v="0"/>
    <n v="5"/>
    <n v="2"/>
    <x v="11"/>
    <n v="0.28789999999999999"/>
    <n v="0.42"/>
    <x v="6"/>
    <x v="1"/>
    <x v="164"/>
    <x v="111"/>
    <x v="1"/>
    <x v="1"/>
    <n v="0.22935326051082283"/>
    <n v="-0.25435329828790432"/>
    <n v="0.10399668008577614"/>
  </r>
  <r>
    <n v="775"/>
    <d v="2011-02-04T00:00:00"/>
    <x v="0"/>
    <n v="0"/>
    <x v="1"/>
    <x v="17"/>
    <b v="0"/>
    <n v="5"/>
    <n v="2"/>
    <x v="12"/>
    <n v="0.2727"/>
    <n v="0.56000000000000005"/>
    <x v="7"/>
    <x v="22"/>
    <x v="165"/>
    <x v="176"/>
    <x v="1"/>
    <x v="1"/>
    <n v="0.22935326051082283"/>
    <n v="-0.25435329828790432"/>
    <n v="0.10399668008577614"/>
  </r>
  <r>
    <n v="776"/>
    <d v="2011-02-04T00:00:00"/>
    <x v="0"/>
    <n v="0"/>
    <x v="1"/>
    <x v="18"/>
    <b v="0"/>
    <n v="5"/>
    <n v="2"/>
    <x v="0"/>
    <n v="0.2576"/>
    <n v="0.6"/>
    <x v="14"/>
    <x v="0"/>
    <x v="166"/>
    <x v="107"/>
    <x v="1"/>
    <x v="1"/>
    <n v="0.22935326051082283"/>
    <n v="-0.25435329828790432"/>
    <n v="0.10399668008577614"/>
  </r>
  <r>
    <n v="777"/>
    <d v="2011-02-04T00:00:00"/>
    <x v="0"/>
    <n v="0"/>
    <x v="1"/>
    <x v="19"/>
    <b v="0"/>
    <n v="5"/>
    <n v="2"/>
    <x v="0"/>
    <n v="0.2424"/>
    <n v="0.65"/>
    <x v="7"/>
    <x v="5"/>
    <x v="46"/>
    <x v="153"/>
    <x v="0"/>
    <x v="1"/>
    <n v="0.22935326051082283"/>
    <n v="-0.25435329828790432"/>
    <n v="0.10399668008577614"/>
  </r>
  <r>
    <n v="778"/>
    <d v="2011-02-04T00:00:00"/>
    <x v="0"/>
    <n v="0"/>
    <x v="1"/>
    <x v="20"/>
    <b v="0"/>
    <n v="5"/>
    <n v="2"/>
    <x v="0"/>
    <n v="0.2424"/>
    <n v="0.65"/>
    <x v="8"/>
    <x v="4"/>
    <x v="94"/>
    <x v="68"/>
    <x v="0"/>
    <x v="1"/>
    <n v="0.22935326051082283"/>
    <n v="-0.25435329828790432"/>
    <n v="0.10399668008577614"/>
  </r>
  <r>
    <n v="779"/>
    <d v="2011-02-04T00:00:00"/>
    <x v="0"/>
    <n v="0"/>
    <x v="1"/>
    <x v="21"/>
    <b v="0"/>
    <n v="5"/>
    <n v="2"/>
    <x v="0"/>
    <n v="0.2424"/>
    <n v="0.7"/>
    <x v="8"/>
    <x v="4"/>
    <x v="40"/>
    <x v="74"/>
    <x v="1"/>
    <x v="1"/>
    <n v="0.22935326051082283"/>
    <n v="-0.25435329828790432"/>
    <n v="0.10399668008577614"/>
  </r>
  <r>
    <n v="780"/>
    <d v="2011-02-04T00:00:00"/>
    <x v="0"/>
    <n v="0"/>
    <x v="1"/>
    <x v="22"/>
    <b v="0"/>
    <n v="5"/>
    <n v="2"/>
    <x v="0"/>
    <n v="0.2424"/>
    <n v="0.65"/>
    <x v="8"/>
    <x v="5"/>
    <x v="108"/>
    <x v="66"/>
    <x v="1"/>
    <x v="1"/>
    <n v="0.22935326051082283"/>
    <n v="-0.25435329828790432"/>
    <n v="0.10399668008577614"/>
  </r>
  <r>
    <n v="781"/>
    <d v="2011-02-04T00:00:00"/>
    <x v="0"/>
    <n v="0"/>
    <x v="1"/>
    <x v="23"/>
    <b v="0"/>
    <n v="5"/>
    <n v="2"/>
    <x v="0"/>
    <n v="0.2424"/>
    <n v="0.7"/>
    <x v="7"/>
    <x v="5"/>
    <x v="10"/>
    <x v="35"/>
    <x v="1"/>
    <x v="1"/>
    <n v="0.22935326051082283"/>
    <n v="-0.25435329828790432"/>
    <n v="0.10399668008577614"/>
  </r>
  <r>
    <n v="782"/>
    <d v="2011-02-05T00:00:00"/>
    <x v="0"/>
    <n v="0"/>
    <x v="1"/>
    <x v="0"/>
    <b v="0"/>
    <n v="6"/>
    <n v="2"/>
    <x v="0"/>
    <n v="0.2424"/>
    <n v="0.7"/>
    <x v="8"/>
    <x v="0"/>
    <x v="49"/>
    <x v="21"/>
    <x v="1"/>
    <x v="1"/>
    <n v="0.22935326051082283"/>
    <n v="-0.25435329828790432"/>
    <n v="0.10399668008577614"/>
  </r>
  <r>
    <n v="783"/>
    <d v="2011-02-05T00:00:00"/>
    <x v="0"/>
    <n v="0"/>
    <x v="1"/>
    <x v="1"/>
    <b v="0"/>
    <n v="6"/>
    <n v="2"/>
    <x v="0"/>
    <n v="0.2424"/>
    <n v="0.65"/>
    <x v="8"/>
    <x v="5"/>
    <x v="19"/>
    <x v="109"/>
    <x v="1"/>
    <x v="1"/>
    <n v="0.22935326051082283"/>
    <n v="-0.25435329828790432"/>
    <n v="0.10399668008577614"/>
  </r>
  <r>
    <n v="784"/>
    <d v="2011-02-05T00:00:00"/>
    <x v="0"/>
    <n v="0"/>
    <x v="1"/>
    <x v="2"/>
    <b v="0"/>
    <n v="6"/>
    <n v="2"/>
    <x v="0"/>
    <n v="0.2424"/>
    <n v="0.75"/>
    <x v="8"/>
    <x v="2"/>
    <x v="98"/>
    <x v="22"/>
    <x v="0"/>
    <x v="1"/>
    <n v="0.22935326051082283"/>
    <n v="-0.25435329828790432"/>
    <n v="0.10399668008577614"/>
  </r>
  <r>
    <n v="785"/>
    <d v="2011-02-05T00:00:00"/>
    <x v="0"/>
    <n v="0"/>
    <x v="1"/>
    <x v="3"/>
    <b v="0"/>
    <n v="6"/>
    <n v="2"/>
    <x v="0"/>
    <n v="0.2424"/>
    <n v="0.75"/>
    <x v="8"/>
    <x v="5"/>
    <x v="3"/>
    <x v="62"/>
    <x v="0"/>
    <x v="1"/>
    <n v="0.22935326051082283"/>
    <n v="-0.25435329828790432"/>
    <n v="0.10399668008577614"/>
  </r>
  <r>
    <n v="786"/>
    <d v="2011-02-05T00:00:00"/>
    <x v="0"/>
    <n v="0"/>
    <x v="1"/>
    <x v="4"/>
    <b v="0"/>
    <n v="6"/>
    <n v="3"/>
    <x v="1"/>
    <n v="0.2273"/>
    <n v="0.93"/>
    <x v="7"/>
    <x v="3"/>
    <x v="21"/>
    <x v="7"/>
    <x v="1"/>
    <x v="2"/>
    <n v="0.22935326051082283"/>
    <n v="-0.25435329828790432"/>
    <n v="0.10399668008577614"/>
  </r>
  <r>
    <n v="787"/>
    <d v="2011-02-05T00:00:00"/>
    <x v="0"/>
    <n v="0"/>
    <x v="1"/>
    <x v="5"/>
    <b v="0"/>
    <n v="6"/>
    <n v="3"/>
    <x v="2"/>
    <n v="0.2273"/>
    <n v="1"/>
    <x v="1"/>
    <x v="3"/>
    <x v="33"/>
    <x v="23"/>
    <x v="1"/>
    <x v="2"/>
    <n v="0.22935326051082283"/>
    <n v="-0.25435329828790432"/>
    <n v="0.10399668008577614"/>
  </r>
  <r>
    <n v="788"/>
    <d v="2011-02-05T00:00:00"/>
    <x v="0"/>
    <n v="0"/>
    <x v="1"/>
    <x v="6"/>
    <b v="0"/>
    <n v="6"/>
    <n v="3"/>
    <x v="2"/>
    <n v="0.2576"/>
    <n v="1"/>
    <x v="0"/>
    <x v="3"/>
    <x v="22"/>
    <x v="48"/>
    <x v="1"/>
    <x v="2"/>
    <n v="0.22935326051082283"/>
    <n v="-0.25435329828790432"/>
    <n v="0.10399668008577614"/>
  </r>
  <r>
    <n v="789"/>
    <d v="2011-02-05T00:00:00"/>
    <x v="0"/>
    <n v="0"/>
    <x v="1"/>
    <x v="7"/>
    <b v="0"/>
    <n v="6"/>
    <n v="3"/>
    <x v="1"/>
    <n v="0.2576"/>
    <n v="0.93"/>
    <x v="1"/>
    <x v="3"/>
    <x v="22"/>
    <x v="48"/>
    <x v="1"/>
    <x v="2"/>
    <n v="0.22935326051082283"/>
    <n v="-0.25435329828790432"/>
    <n v="0.10399668008577614"/>
  </r>
  <r>
    <n v="790"/>
    <d v="2011-02-05T00:00:00"/>
    <x v="0"/>
    <n v="0"/>
    <x v="1"/>
    <x v="8"/>
    <b v="0"/>
    <n v="6"/>
    <n v="3"/>
    <x v="2"/>
    <n v="0.2273"/>
    <n v="1"/>
    <x v="1"/>
    <x v="3"/>
    <x v="3"/>
    <x v="98"/>
    <x v="1"/>
    <x v="2"/>
    <n v="0.22935326051082283"/>
    <n v="-0.25435329828790432"/>
    <n v="0.10399668008577614"/>
  </r>
  <r>
    <n v="791"/>
    <d v="2011-02-05T00:00:00"/>
    <x v="0"/>
    <n v="0"/>
    <x v="1"/>
    <x v="9"/>
    <b v="0"/>
    <n v="6"/>
    <n v="3"/>
    <x v="2"/>
    <n v="0.2273"/>
    <n v="1"/>
    <x v="1"/>
    <x v="0"/>
    <x v="19"/>
    <x v="25"/>
    <x v="0"/>
    <x v="2"/>
    <n v="0.22935326051082283"/>
    <n v="-0.25435329828790432"/>
    <n v="0.10399668008577614"/>
  </r>
  <r>
    <n v="792"/>
    <d v="2011-02-05T00:00:00"/>
    <x v="0"/>
    <n v="0"/>
    <x v="1"/>
    <x v="10"/>
    <b v="0"/>
    <n v="6"/>
    <n v="3"/>
    <x v="2"/>
    <n v="0.21210000000000001"/>
    <n v="1"/>
    <x v="7"/>
    <x v="0"/>
    <x v="17"/>
    <x v="19"/>
    <x v="0"/>
    <x v="2"/>
    <n v="0.22935326051082283"/>
    <n v="-0.25435329828790432"/>
    <n v="0.10399668008577614"/>
  </r>
  <r>
    <n v="793"/>
    <d v="2011-02-05T00:00:00"/>
    <x v="0"/>
    <n v="0"/>
    <x v="1"/>
    <x v="11"/>
    <b v="0"/>
    <n v="6"/>
    <n v="3"/>
    <x v="1"/>
    <n v="0.2273"/>
    <n v="1"/>
    <x v="7"/>
    <x v="5"/>
    <x v="24"/>
    <x v="105"/>
    <x v="1"/>
    <x v="2"/>
    <n v="0.22935326051082283"/>
    <n v="-0.25435329828790432"/>
    <n v="0.10399668008577614"/>
  </r>
  <r>
    <n v="794"/>
    <d v="2011-02-05T00:00:00"/>
    <x v="0"/>
    <n v="0"/>
    <x v="1"/>
    <x v="12"/>
    <b v="0"/>
    <n v="6"/>
    <n v="3"/>
    <x v="1"/>
    <n v="0.2273"/>
    <n v="1"/>
    <x v="8"/>
    <x v="22"/>
    <x v="76"/>
    <x v="46"/>
    <x v="1"/>
    <x v="2"/>
    <n v="0.22935326051082283"/>
    <n v="-0.25435329828790432"/>
    <n v="0.10399668008577614"/>
  </r>
  <r>
    <n v="795"/>
    <d v="2011-02-05T00:00:00"/>
    <x v="0"/>
    <n v="0"/>
    <x v="1"/>
    <x v="13"/>
    <b v="0"/>
    <n v="6"/>
    <n v="3"/>
    <x v="1"/>
    <n v="0.2273"/>
    <n v="1"/>
    <x v="8"/>
    <x v="22"/>
    <x v="133"/>
    <x v="44"/>
    <x v="1"/>
    <x v="2"/>
    <n v="0.22935326051082283"/>
    <n v="-0.25435329828790432"/>
    <n v="0.10399668008577614"/>
  </r>
  <r>
    <n v="796"/>
    <d v="2011-02-05T00:00:00"/>
    <x v="0"/>
    <n v="0"/>
    <x v="1"/>
    <x v="14"/>
    <b v="0"/>
    <n v="6"/>
    <n v="3"/>
    <x v="1"/>
    <n v="0.2727"/>
    <n v="1"/>
    <x v="0"/>
    <x v="2"/>
    <x v="54"/>
    <x v="97"/>
    <x v="1"/>
    <x v="2"/>
    <n v="0.22935326051082283"/>
    <n v="-0.25435329828790432"/>
    <n v="0.10399668008577614"/>
  </r>
  <r>
    <n v="797"/>
    <d v="2011-02-05T00:00:00"/>
    <x v="0"/>
    <n v="0"/>
    <x v="1"/>
    <x v="15"/>
    <b v="0"/>
    <n v="6"/>
    <n v="3"/>
    <x v="1"/>
    <n v="0.2727"/>
    <n v="1"/>
    <x v="0"/>
    <x v="16"/>
    <x v="47"/>
    <x v="122"/>
    <x v="1"/>
    <x v="2"/>
    <n v="0.22935326051082283"/>
    <n v="-0.25435329828790432"/>
    <n v="0.10399668008577614"/>
  </r>
  <r>
    <n v="798"/>
    <d v="2011-02-05T00:00:00"/>
    <x v="0"/>
    <n v="0"/>
    <x v="1"/>
    <x v="16"/>
    <b v="0"/>
    <n v="6"/>
    <n v="3"/>
    <x v="1"/>
    <n v="0.2273"/>
    <n v="1"/>
    <x v="7"/>
    <x v="1"/>
    <x v="36"/>
    <x v="68"/>
    <x v="0"/>
    <x v="2"/>
    <n v="0.22935326051082283"/>
    <n v="-0.25435329828790432"/>
    <n v="0.10399668008577614"/>
  </r>
  <r>
    <n v="799"/>
    <d v="2011-02-05T00:00:00"/>
    <x v="0"/>
    <n v="0"/>
    <x v="1"/>
    <x v="17"/>
    <b v="0"/>
    <n v="6"/>
    <n v="2"/>
    <x v="0"/>
    <n v="0.21210000000000001"/>
    <n v="1"/>
    <x v="3"/>
    <x v="24"/>
    <x v="27"/>
    <x v="53"/>
    <x v="0"/>
    <x v="1"/>
    <n v="0.22935326051082283"/>
    <n v="-0.25435329828790432"/>
    <n v="0.10399668008577614"/>
  </r>
  <r>
    <n v="800"/>
    <d v="2011-02-05T00:00:00"/>
    <x v="0"/>
    <n v="0"/>
    <x v="1"/>
    <x v="18"/>
    <b v="0"/>
    <n v="6"/>
    <n v="2"/>
    <x v="17"/>
    <n v="0.2424"/>
    <n v="0.93"/>
    <x v="10"/>
    <x v="4"/>
    <x v="38"/>
    <x v="56"/>
    <x v="1"/>
    <x v="1"/>
    <n v="0.22935326051082283"/>
    <n v="-0.25435329828790432"/>
    <n v="0.10399668008577614"/>
  </r>
  <r>
    <n v="801"/>
    <d v="2011-02-05T00:00:00"/>
    <x v="0"/>
    <n v="0"/>
    <x v="1"/>
    <x v="19"/>
    <b v="0"/>
    <n v="6"/>
    <n v="2"/>
    <x v="17"/>
    <n v="0.2424"/>
    <n v="0.93"/>
    <x v="10"/>
    <x v="15"/>
    <x v="78"/>
    <x v="11"/>
    <x v="1"/>
    <x v="1"/>
    <n v="0.22935326051082283"/>
    <n v="-0.25435329828790432"/>
    <n v="0.10399668008577614"/>
  </r>
  <r>
    <n v="802"/>
    <d v="2011-02-05T00:00:00"/>
    <x v="0"/>
    <n v="0"/>
    <x v="1"/>
    <x v="20"/>
    <b v="0"/>
    <n v="6"/>
    <n v="1"/>
    <x v="11"/>
    <n v="0.28789999999999999"/>
    <n v="0.87"/>
    <x v="2"/>
    <x v="2"/>
    <x v="27"/>
    <x v="83"/>
    <x v="1"/>
    <x v="0"/>
    <n v="0.22935326051082283"/>
    <n v="-0.25435329828790432"/>
    <n v="0.10399668008577614"/>
  </r>
  <r>
    <n v="803"/>
    <d v="2011-02-05T00:00:00"/>
    <x v="0"/>
    <n v="0"/>
    <x v="1"/>
    <x v="21"/>
    <b v="0"/>
    <n v="6"/>
    <n v="1"/>
    <x v="12"/>
    <n v="0.2576"/>
    <n v="1"/>
    <x v="5"/>
    <x v="0"/>
    <x v="42"/>
    <x v="10"/>
    <x v="1"/>
    <x v="0"/>
    <n v="0.22935326051082283"/>
    <n v="-0.25435329828790432"/>
    <n v="0.10399668008577614"/>
  </r>
  <r>
    <n v="804"/>
    <d v="2011-02-05T00:00:00"/>
    <x v="0"/>
    <n v="0"/>
    <x v="1"/>
    <x v="22"/>
    <b v="0"/>
    <n v="6"/>
    <n v="1"/>
    <x v="12"/>
    <n v="0.2727"/>
    <n v="0.93"/>
    <x v="7"/>
    <x v="4"/>
    <x v="30"/>
    <x v="79"/>
    <x v="1"/>
    <x v="0"/>
    <n v="0.22935326051082283"/>
    <n v="-0.25435329828790432"/>
    <n v="0.10399668008577614"/>
  </r>
  <r>
    <n v="805"/>
    <d v="2011-02-05T00:00:00"/>
    <x v="0"/>
    <n v="0"/>
    <x v="1"/>
    <x v="23"/>
    <b v="0"/>
    <n v="6"/>
    <n v="1"/>
    <x v="12"/>
    <n v="0.2576"/>
    <n v="0.93"/>
    <x v="6"/>
    <x v="18"/>
    <x v="15"/>
    <x v="29"/>
    <x v="0"/>
    <x v="0"/>
    <n v="0.22935326051082283"/>
    <n v="-0.25435329828790432"/>
    <n v="0.10399668008577614"/>
  </r>
  <r>
    <n v="806"/>
    <d v="2011-02-06T00:00:00"/>
    <x v="0"/>
    <n v="0"/>
    <x v="1"/>
    <x v="0"/>
    <b v="0"/>
    <n v="0"/>
    <n v="1"/>
    <x v="12"/>
    <n v="0.2576"/>
    <n v="0.7"/>
    <x v="5"/>
    <x v="4"/>
    <x v="53"/>
    <x v="21"/>
    <x v="0"/>
    <x v="0"/>
    <n v="0.22935326051082283"/>
    <n v="-0.25435329828790432"/>
    <n v="0.10399668008577614"/>
  </r>
  <r>
    <n v="807"/>
    <d v="2011-02-06T00:00:00"/>
    <x v="0"/>
    <n v="0"/>
    <x v="1"/>
    <x v="1"/>
    <b v="0"/>
    <n v="0"/>
    <n v="1"/>
    <x v="12"/>
    <n v="0.2273"/>
    <n v="0.65"/>
    <x v="12"/>
    <x v="17"/>
    <x v="71"/>
    <x v="40"/>
    <x v="1"/>
    <x v="0"/>
    <n v="0.22935326051082283"/>
    <n v="-0.25435329828790432"/>
    <n v="0.10399668008577614"/>
  </r>
  <r>
    <n v="808"/>
    <d v="2011-02-06T00:00:00"/>
    <x v="0"/>
    <n v="0"/>
    <x v="1"/>
    <x v="2"/>
    <b v="0"/>
    <n v="0"/>
    <n v="1"/>
    <x v="12"/>
    <n v="0.2273"/>
    <n v="0.6"/>
    <x v="9"/>
    <x v="3"/>
    <x v="32"/>
    <x v="25"/>
    <x v="1"/>
    <x v="0"/>
    <n v="0.22935326051082283"/>
    <n v="-0.25435329828790432"/>
    <n v="0.10399668008577614"/>
  </r>
  <r>
    <n v="809"/>
    <d v="2011-02-06T00:00:00"/>
    <x v="0"/>
    <n v="0"/>
    <x v="1"/>
    <x v="3"/>
    <b v="0"/>
    <n v="0"/>
    <n v="1"/>
    <x v="12"/>
    <n v="0.28789999999999999"/>
    <n v="0.6"/>
    <x v="1"/>
    <x v="0"/>
    <x v="3"/>
    <x v="3"/>
    <x v="1"/>
    <x v="0"/>
    <n v="0.22935326051082283"/>
    <n v="-0.25435329828790432"/>
    <n v="0.10399668008577614"/>
  </r>
  <r>
    <n v="810"/>
    <d v="2011-02-06T00:00:00"/>
    <x v="0"/>
    <n v="0"/>
    <x v="1"/>
    <x v="4"/>
    <b v="0"/>
    <n v="0"/>
    <n v="1"/>
    <x v="12"/>
    <n v="0.2273"/>
    <n v="0.6"/>
    <x v="11"/>
    <x v="3"/>
    <x v="6"/>
    <x v="5"/>
    <x v="1"/>
    <x v="0"/>
    <n v="0.22935326051082283"/>
    <n v="-0.25435329828790432"/>
    <n v="0.10399668008577614"/>
  </r>
  <r>
    <n v="811"/>
    <d v="2011-02-06T00:00:00"/>
    <x v="0"/>
    <n v="0"/>
    <x v="1"/>
    <x v="5"/>
    <b v="0"/>
    <n v="0"/>
    <n v="1"/>
    <x v="12"/>
    <n v="0.2576"/>
    <n v="0.6"/>
    <x v="6"/>
    <x v="3"/>
    <x v="4"/>
    <x v="4"/>
    <x v="1"/>
    <x v="0"/>
    <n v="0.22935326051082283"/>
    <n v="-0.25435329828790432"/>
    <n v="0.10399668008577614"/>
  </r>
  <r>
    <n v="812"/>
    <d v="2011-02-06T00:00:00"/>
    <x v="0"/>
    <n v="0"/>
    <x v="1"/>
    <x v="6"/>
    <b v="0"/>
    <n v="0"/>
    <n v="1"/>
    <x v="12"/>
    <n v="0.2576"/>
    <n v="0.6"/>
    <x v="6"/>
    <x v="3"/>
    <x v="4"/>
    <x v="4"/>
    <x v="0"/>
    <x v="0"/>
    <n v="0.22935326051082283"/>
    <n v="-0.25435329828790432"/>
    <n v="0.10399668008577614"/>
  </r>
  <r>
    <n v="813"/>
    <d v="2011-02-06T00:00:00"/>
    <x v="0"/>
    <n v="0"/>
    <x v="1"/>
    <x v="7"/>
    <b v="0"/>
    <n v="0"/>
    <n v="1"/>
    <x v="0"/>
    <n v="0.2424"/>
    <n v="0.65"/>
    <x v="8"/>
    <x v="3"/>
    <x v="21"/>
    <x v="7"/>
    <x v="0"/>
    <x v="0"/>
    <n v="0.22935326051082283"/>
    <n v="-0.25435329828790432"/>
    <n v="0.10399668008577614"/>
  </r>
  <r>
    <n v="814"/>
    <d v="2011-02-06T00:00:00"/>
    <x v="0"/>
    <n v="0"/>
    <x v="1"/>
    <x v="8"/>
    <b v="0"/>
    <n v="0"/>
    <n v="1"/>
    <x v="0"/>
    <n v="0.2576"/>
    <n v="0.65"/>
    <x v="14"/>
    <x v="4"/>
    <x v="144"/>
    <x v="84"/>
    <x v="1"/>
    <x v="0"/>
    <n v="0.22935326051082283"/>
    <n v="-0.25435329828790432"/>
    <n v="0.10399668008577614"/>
  </r>
  <r>
    <n v="815"/>
    <d v="2011-02-06T00:00:00"/>
    <x v="0"/>
    <n v="0"/>
    <x v="1"/>
    <x v="9"/>
    <b v="0"/>
    <n v="0"/>
    <n v="1"/>
    <x v="17"/>
    <n v="0.28789999999999999"/>
    <n v="0.56000000000000005"/>
    <x v="14"/>
    <x v="18"/>
    <x v="101"/>
    <x v="79"/>
    <x v="1"/>
    <x v="0"/>
    <n v="0.22935326051082283"/>
    <n v="-0.25435329828790432"/>
    <n v="0.10399668008577614"/>
  </r>
  <r>
    <n v="816"/>
    <d v="2011-02-06T00:00:00"/>
    <x v="0"/>
    <n v="0"/>
    <x v="1"/>
    <x v="10"/>
    <b v="0"/>
    <n v="0"/>
    <n v="1"/>
    <x v="11"/>
    <n v="0.28789999999999999"/>
    <n v="0.52"/>
    <x v="2"/>
    <x v="13"/>
    <x v="64"/>
    <x v="70"/>
    <x v="1"/>
    <x v="0"/>
    <n v="0.22935326051082283"/>
    <n v="-0.25435329828790432"/>
    <n v="0.10399668008577614"/>
  </r>
  <r>
    <n v="817"/>
    <d v="2011-02-06T00:00:00"/>
    <x v="0"/>
    <n v="0"/>
    <x v="1"/>
    <x v="11"/>
    <b v="0"/>
    <n v="0"/>
    <n v="1"/>
    <x v="3"/>
    <n v="0.30299999999999999"/>
    <n v="0.49"/>
    <x v="2"/>
    <x v="32"/>
    <x v="121"/>
    <x v="126"/>
    <x v="1"/>
    <x v="0"/>
    <n v="0.22935326051082283"/>
    <n v="-0.25435329828790432"/>
    <n v="0.10399668008577614"/>
  </r>
  <r>
    <n v="818"/>
    <d v="2011-02-06T00:00:00"/>
    <x v="0"/>
    <n v="0"/>
    <x v="1"/>
    <x v="12"/>
    <b v="0"/>
    <n v="0"/>
    <n v="1"/>
    <x v="10"/>
    <n v="0.33329999999999999"/>
    <n v="0.46"/>
    <x v="0"/>
    <x v="33"/>
    <x v="167"/>
    <x v="177"/>
    <x v="1"/>
    <x v="0"/>
    <n v="0.22935326051082283"/>
    <n v="-0.25435329828790432"/>
    <n v="0.10399668008577614"/>
  </r>
  <r>
    <n v="819"/>
    <d v="2011-02-06T00:00:00"/>
    <x v="0"/>
    <n v="0"/>
    <x v="1"/>
    <x v="13"/>
    <b v="0"/>
    <n v="0"/>
    <n v="1"/>
    <x v="10"/>
    <n v="0.36359999999999998"/>
    <n v="0.46"/>
    <x v="0"/>
    <x v="9"/>
    <x v="113"/>
    <x v="58"/>
    <x v="0"/>
    <x v="0"/>
    <n v="0.22935326051082283"/>
    <n v="-0.25435329828790432"/>
    <n v="0.10399668008577614"/>
  </r>
  <r>
    <n v="820"/>
    <d v="2011-02-06T00:00:00"/>
    <x v="0"/>
    <n v="0"/>
    <x v="1"/>
    <x v="14"/>
    <b v="0"/>
    <n v="0"/>
    <n v="1"/>
    <x v="10"/>
    <n v="0.34849999999999998"/>
    <n v="0.46"/>
    <x v="1"/>
    <x v="9"/>
    <x v="156"/>
    <x v="143"/>
    <x v="0"/>
    <x v="0"/>
    <n v="0.22935326051082283"/>
    <n v="-0.25435329828790432"/>
    <n v="0.10399668008577614"/>
  </r>
  <r>
    <n v="821"/>
    <d v="2011-02-06T00:00:00"/>
    <x v="0"/>
    <n v="0"/>
    <x v="1"/>
    <x v="15"/>
    <b v="0"/>
    <n v="0"/>
    <n v="1"/>
    <x v="10"/>
    <n v="0.34849999999999998"/>
    <n v="0.46"/>
    <x v="1"/>
    <x v="34"/>
    <x v="110"/>
    <x v="58"/>
    <x v="1"/>
    <x v="0"/>
    <n v="0.22935326051082283"/>
    <n v="-0.25435329828790432"/>
    <n v="0.10399668008577614"/>
  </r>
  <r>
    <n v="822"/>
    <d v="2011-02-06T00:00:00"/>
    <x v="0"/>
    <n v="0"/>
    <x v="1"/>
    <x v="16"/>
    <b v="0"/>
    <n v="0"/>
    <n v="1"/>
    <x v="10"/>
    <n v="0.34849999999999998"/>
    <n v="0.49"/>
    <x v="14"/>
    <x v="35"/>
    <x v="168"/>
    <x v="45"/>
    <x v="1"/>
    <x v="0"/>
    <n v="0.22935326051082283"/>
    <n v="-0.25435329828790432"/>
    <n v="0.10399668008577614"/>
  </r>
  <r>
    <n v="823"/>
    <d v="2011-02-06T00:00:00"/>
    <x v="0"/>
    <n v="0"/>
    <x v="1"/>
    <x v="17"/>
    <b v="0"/>
    <n v="0"/>
    <n v="1"/>
    <x v="10"/>
    <n v="0.36359999999999998"/>
    <n v="0.46"/>
    <x v="0"/>
    <x v="31"/>
    <x v="106"/>
    <x v="178"/>
    <x v="1"/>
    <x v="0"/>
    <n v="0.22935326051082283"/>
    <n v="-0.25435329828790432"/>
    <n v="0.10399668008577614"/>
  </r>
  <r>
    <n v="824"/>
    <d v="2011-02-06T00:00:00"/>
    <x v="0"/>
    <n v="0"/>
    <x v="1"/>
    <x v="18"/>
    <b v="0"/>
    <n v="0"/>
    <n v="1"/>
    <x v="11"/>
    <n v="0.30299999999999999"/>
    <n v="0.56000000000000005"/>
    <x v="8"/>
    <x v="23"/>
    <x v="65"/>
    <x v="53"/>
    <x v="1"/>
    <x v="0"/>
    <n v="0.22935326051082283"/>
    <n v="-0.25435329828790432"/>
    <n v="0.10399668008577614"/>
  </r>
  <r>
    <n v="825"/>
    <d v="2011-02-06T00:00:00"/>
    <x v="0"/>
    <n v="0"/>
    <x v="1"/>
    <x v="19"/>
    <b v="0"/>
    <n v="0"/>
    <n v="1"/>
    <x v="17"/>
    <n v="0.28789999999999999"/>
    <n v="0.61"/>
    <x v="7"/>
    <x v="5"/>
    <x v="32"/>
    <x v="137"/>
    <x v="1"/>
    <x v="0"/>
    <n v="0.22935326051082283"/>
    <n v="-0.25435329828790432"/>
    <n v="0.10399668008577614"/>
  </r>
  <r>
    <n v="826"/>
    <d v="2011-02-06T00:00:00"/>
    <x v="0"/>
    <n v="0"/>
    <x v="1"/>
    <x v="20"/>
    <b v="0"/>
    <n v="0"/>
    <n v="1"/>
    <x v="17"/>
    <n v="0.28789999999999999"/>
    <n v="0.61"/>
    <x v="14"/>
    <x v="2"/>
    <x v="144"/>
    <x v="132"/>
    <x v="0"/>
    <x v="0"/>
    <n v="0.22935326051082283"/>
    <n v="-0.25435329828790432"/>
    <n v="0.10399668008577614"/>
  </r>
  <r>
    <n v="827"/>
    <d v="2011-02-06T00:00:00"/>
    <x v="0"/>
    <n v="0"/>
    <x v="1"/>
    <x v="21"/>
    <b v="0"/>
    <n v="0"/>
    <n v="1"/>
    <x v="12"/>
    <n v="0.30299999999999999"/>
    <n v="0.6"/>
    <x v="0"/>
    <x v="2"/>
    <x v="97"/>
    <x v="110"/>
    <x v="0"/>
    <x v="0"/>
    <n v="0.22935326051082283"/>
    <n v="-0.25435329828790432"/>
    <n v="0.10399668008577614"/>
  </r>
  <r>
    <n v="828"/>
    <d v="2011-02-06T00:00:00"/>
    <x v="0"/>
    <n v="0"/>
    <x v="1"/>
    <x v="22"/>
    <b v="0"/>
    <n v="0"/>
    <n v="1"/>
    <x v="12"/>
    <n v="0.30299999999999999"/>
    <n v="0.6"/>
    <x v="0"/>
    <x v="2"/>
    <x v="77"/>
    <x v="69"/>
    <x v="1"/>
    <x v="0"/>
    <n v="0.22935326051082283"/>
    <n v="-0.25435329828790432"/>
    <n v="0.10399668008577614"/>
  </r>
  <r>
    <n v="829"/>
    <d v="2011-02-06T00:00:00"/>
    <x v="0"/>
    <n v="0"/>
    <x v="1"/>
    <x v="23"/>
    <b v="0"/>
    <n v="0"/>
    <n v="1"/>
    <x v="0"/>
    <n v="0.28789999999999999"/>
    <n v="0.65"/>
    <x v="0"/>
    <x v="17"/>
    <x v="16"/>
    <x v="33"/>
    <x v="1"/>
    <x v="0"/>
    <n v="0.22935326051082283"/>
    <n v="-0.25435329828790432"/>
    <n v="0.10399668008577614"/>
  </r>
  <r>
    <n v="830"/>
    <d v="2011-02-07T00:00:00"/>
    <x v="0"/>
    <n v="0"/>
    <x v="1"/>
    <x v="0"/>
    <b v="0"/>
    <n v="1"/>
    <n v="1"/>
    <x v="0"/>
    <n v="0.28789999999999999"/>
    <n v="0.65"/>
    <x v="0"/>
    <x v="5"/>
    <x v="88"/>
    <x v="93"/>
    <x v="1"/>
    <x v="0"/>
    <n v="0.22935326051082283"/>
    <n v="-0.25435329828790432"/>
    <n v="0.10399668008577614"/>
  </r>
  <r>
    <n v="831"/>
    <d v="2011-02-07T00:00:00"/>
    <x v="0"/>
    <n v="0"/>
    <x v="1"/>
    <x v="1"/>
    <b v="0"/>
    <n v="1"/>
    <n v="1"/>
    <x v="1"/>
    <n v="0.2727"/>
    <n v="0.75"/>
    <x v="0"/>
    <x v="5"/>
    <x v="22"/>
    <x v="36"/>
    <x v="1"/>
    <x v="0"/>
    <n v="0.22935326051082283"/>
    <n v="-0.25435329828790432"/>
    <n v="0.10399668008577614"/>
  </r>
  <r>
    <n v="832"/>
    <d v="2011-02-07T00:00:00"/>
    <x v="0"/>
    <n v="0"/>
    <x v="1"/>
    <x v="2"/>
    <b v="0"/>
    <n v="1"/>
    <n v="1"/>
    <x v="2"/>
    <n v="0.2576"/>
    <n v="0.8"/>
    <x v="0"/>
    <x v="3"/>
    <x v="35"/>
    <x v="6"/>
    <x v="1"/>
    <x v="0"/>
    <n v="0.22935326051082283"/>
    <n v="-0.25435329828790432"/>
    <n v="0.10399668008577614"/>
  </r>
  <r>
    <n v="833"/>
    <d v="2011-02-07T00:00:00"/>
    <x v="0"/>
    <n v="0"/>
    <x v="1"/>
    <x v="3"/>
    <b v="0"/>
    <n v="1"/>
    <n v="1"/>
    <x v="2"/>
    <n v="0.2576"/>
    <n v="0.86"/>
    <x v="0"/>
    <x v="3"/>
    <x v="4"/>
    <x v="4"/>
    <x v="0"/>
    <x v="0"/>
    <n v="0.22935326051082283"/>
    <n v="-0.25435329828790432"/>
    <n v="0.10399668008577614"/>
  </r>
  <r>
    <n v="834"/>
    <d v="2011-02-07T00:00:00"/>
    <x v="0"/>
    <n v="0"/>
    <x v="1"/>
    <x v="4"/>
    <b v="0"/>
    <n v="1"/>
    <n v="1"/>
    <x v="2"/>
    <n v="0.2576"/>
    <n v="0.86"/>
    <x v="0"/>
    <x v="5"/>
    <x v="4"/>
    <x v="5"/>
    <x v="0"/>
    <x v="0"/>
    <n v="0.22935326051082283"/>
    <n v="-0.25435329828790432"/>
    <n v="0.10399668008577614"/>
  </r>
  <r>
    <n v="835"/>
    <d v="2011-02-07T00:00:00"/>
    <x v="0"/>
    <n v="0"/>
    <x v="1"/>
    <x v="5"/>
    <b v="0"/>
    <n v="1"/>
    <n v="1"/>
    <x v="2"/>
    <n v="0.2576"/>
    <n v="0.86"/>
    <x v="0"/>
    <x v="5"/>
    <x v="33"/>
    <x v="98"/>
    <x v="1"/>
    <x v="0"/>
    <n v="0.22935326051082283"/>
    <n v="-0.25435329828790432"/>
    <n v="0.10399668008577614"/>
  </r>
  <r>
    <n v="836"/>
    <d v="2011-02-07T00:00:00"/>
    <x v="0"/>
    <n v="0"/>
    <x v="1"/>
    <x v="6"/>
    <b v="0"/>
    <n v="1"/>
    <n v="1"/>
    <x v="15"/>
    <n v="0.2424"/>
    <n v="0.93"/>
    <x v="0"/>
    <x v="5"/>
    <x v="31"/>
    <x v="33"/>
    <x v="1"/>
    <x v="0"/>
    <n v="0.22935326051082283"/>
    <n v="-0.25435329828790432"/>
    <n v="0.10399668008577614"/>
  </r>
  <r>
    <n v="837"/>
    <d v="2011-02-07T00:00:00"/>
    <x v="0"/>
    <n v="0"/>
    <x v="1"/>
    <x v="7"/>
    <b v="0"/>
    <n v="1"/>
    <n v="1"/>
    <x v="15"/>
    <n v="0.2424"/>
    <n v="0.86"/>
    <x v="0"/>
    <x v="15"/>
    <x v="121"/>
    <x v="76"/>
    <x v="1"/>
    <x v="0"/>
    <n v="0.22935326051082283"/>
    <n v="-0.25435329828790432"/>
    <n v="0.10399668008577614"/>
  </r>
  <r>
    <n v="838"/>
    <d v="2011-02-07T00:00:00"/>
    <x v="0"/>
    <n v="0"/>
    <x v="1"/>
    <x v="8"/>
    <b v="0"/>
    <n v="1"/>
    <n v="2"/>
    <x v="13"/>
    <n v="0.2273"/>
    <n v="1"/>
    <x v="0"/>
    <x v="18"/>
    <x v="169"/>
    <x v="179"/>
    <x v="1"/>
    <x v="1"/>
    <n v="0.22935326051082283"/>
    <n v="-0.25435329828790432"/>
    <n v="0.10399668008577614"/>
  </r>
  <r>
    <n v="839"/>
    <d v="2011-02-07T00:00:00"/>
    <x v="0"/>
    <n v="0"/>
    <x v="1"/>
    <x v="9"/>
    <b v="0"/>
    <n v="1"/>
    <n v="1"/>
    <x v="1"/>
    <n v="0.2727"/>
    <n v="0.8"/>
    <x v="0"/>
    <x v="0"/>
    <x v="168"/>
    <x v="130"/>
    <x v="1"/>
    <x v="0"/>
    <n v="0.22935326051082283"/>
    <n v="-0.25435329828790432"/>
    <n v="0.10399668008577614"/>
  </r>
  <r>
    <n v="840"/>
    <d v="2011-02-07T00:00:00"/>
    <x v="0"/>
    <n v="0"/>
    <x v="1"/>
    <x v="10"/>
    <b v="0"/>
    <n v="1"/>
    <n v="1"/>
    <x v="0"/>
    <n v="0.2576"/>
    <n v="0.75"/>
    <x v="14"/>
    <x v="15"/>
    <x v="47"/>
    <x v="97"/>
    <x v="0"/>
    <x v="0"/>
    <n v="0.22935326051082283"/>
    <n v="-0.25435329828790432"/>
    <n v="0.10399668008577614"/>
  </r>
  <r>
    <n v="841"/>
    <d v="2011-02-07T00:00:00"/>
    <x v="0"/>
    <n v="0"/>
    <x v="1"/>
    <x v="11"/>
    <b v="0"/>
    <n v="1"/>
    <n v="1"/>
    <x v="11"/>
    <n v="0.31819999999999998"/>
    <n v="0.65"/>
    <x v="1"/>
    <x v="16"/>
    <x v="49"/>
    <x v="105"/>
    <x v="0"/>
    <x v="0"/>
    <n v="0.22935326051082283"/>
    <n v="-0.25435329828790432"/>
    <n v="0.10399668008577614"/>
  </r>
  <r>
    <n v="842"/>
    <d v="2011-02-07T00:00:00"/>
    <x v="0"/>
    <n v="0"/>
    <x v="1"/>
    <x v="12"/>
    <b v="0"/>
    <n v="1"/>
    <n v="2"/>
    <x v="3"/>
    <n v="0.34849999999999998"/>
    <n v="0.62"/>
    <x v="0"/>
    <x v="18"/>
    <x v="79"/>
    <x v="180"/>
    <x v="1"/>
    <x v="1"/>
    <n v="0.22935326051082283"/>
    <n v="-0.25435329828790432"/>
    <n v="0.10399668008577614"/>
  </r>
  <r>
    <n v="843"/>
    <d v="2011-02-07T00:00:00"/>
    <x v="0"/>
    <n v="0"/>
    <x v="1"/>
    <x v="13"/>
    <b v="0"/>
    <n v="1"/>
    <n v="2"/>
    <x v="5"/>
    <n v="0.36359999999999998"/>
    <n v="0.56999999999999995"/>
    <x v="1"/>
    <x v="22"/>
    <x v="25"/>
    <x v="37"/>
    <x v="1"/>
    <x v="1"/>
    <n v="0.22935326051082283"/>
    <n v="-0.25435329828790432"/>
    <n v="0.10399668008577614"/>
  </r>
  <r>
    <n v="844"/>
    <d v="2011-02-07T00:00:00"/>
    <x v="0"/>
    <n v="0"/>
    <x v="1"/>
    <x v="14"/>
    <b v="0"/>
    <n v="1"/>
    <n v="2"/>
    <x v="5"/>
    <n v="0.36359999999999998"/>
    <n v="0.56999999999999995"/>
    <x v="1"/>
    <x v="1"/>
    <x v="15"/>
    <x v="122"/>
    <x v="1"/>
    <x v="1"/>
    <n v="0.22935326051082283"/>
    <n v="-0.25435329828790432"/>
    <n v="0.10399668008577614"/>
  </r>
  <r>
    <n v="845"/>
    <d v="2011-02-07T00:00:00"/>
    <x v="0"/>
    <n v="0"/>
    <x v="1"/>
    <x v="15"/>
    <b v="0"/>
    <n v="1"/>
    <n v="2"/>
    <x v="4"/>
    <n v="0.39389999999999997"/>
    <n v="0.54"/>
    <x v="1"/>
    <x v="17"/>
    <x v="24"/>
    <x v="89"/>
    <x v="1"/>
    <x v="1"/>
    <n v="0.22935326051082283"/>
    <n v="-0.25435329828790432"/>
    <n v="0.10399668008577614"/>
  </r>
  <r>
    <n v="846"/>
    <d v="2011-02-07T00:00:00"/>
    <x v="0"/>
    <n v="0"/>
    <x v="1"/>
    <x v="16"/>
    <b v="0"/>
    <n v="1"/>
    <n v="2"/>
    <x v="5"/>
    <n v="0.34849999999999998"/>
    <n v="0.56999999999999995"/>
    <x v="7"/>
    <x v="19"/>
    <x v="52"/>
    <x v="181"/>
    <x v="1"/>
    <x v="1"/>
    <n v="0.22935326051082283"/>
    <n v="-0.25435329828790432"/>
    <n v="0.10399668008577614"/>
  </r>
  <r>
    <n v="847"/>
    <d v="2011-02-07T00:00:00"/>
    <x v="0"/>
    <n v="0"/>
    <x v="1"/>
    <x v="17"/>
    <b v="0"/>
    <n v="1"/>
    <n v="2"/>
    <x v="3"/>
    <n v="0.31819999999999998"/>
    <n v="0.7"/>
    <x v="8"/>
    <x v="14"/>
    <x v="134"/>
    <x v="182"/>
    <x v="0"/>
    <x v="1"/>
    <n v="0.22935326051082283"/>
    <n v="-0.25435329828790432"/>
    <n v="0.10399668008577614"/>
  </r>
  <r>
    <n v="848"/>
    <d v="2011-02-07T00:00:00"/>
    <x v="0"/>
    <n v="0"/>
    <x v="1"/>
    <x v="18"/>
    <b v="0"/>
    <n v="1"/>
    <n v="2"/>
    <x v="10"/>
    <n v="0.33329999999999999"/>
    <n v="0.66"/>
    <x v="7"/>
    <x v="2"/>
    <x v="162"/>
    <x v="172"/>
    <x v="0"/>
    <x v="1"/>
    <n v="0.22935326051082283"/>
    <n v="-0.25435329828790432"/>
    <n v="0.10399668008577614"/>
  </r>
  <r>
    <n v="849"/>
    <d v="2011-02-07T00:00:00"/>
    <x v="0"/>
    <n v="0"/>
    <x v="1"/>
    <x v="19"/>
    <b v="0"/>
    <n v="1"/>
    <n v="2"/>
    <x v="3"/>
    <n v="0.34849999999999998"/>
    <n v="0.7"/>
    <x v="0"/>
    <x v="2"/>
    <x v="170"/>
    <x v="116"/>
    <x v="1"/>
    <x v="1"/>
    <n v="0.22935326051082283"/>
    <n v="-0.25435329828790432"/>
    <n v="0.10399668008577614"/>
  </r>
  <r>
    <n v="850"/>
    <d v="2011-02-07T00:00:00"/>
    <x v="0"/>
    <n v="0"/>
    <x v="1"/>
    <x v="20"/>
    <b v="0"/>
    <n v="1"/>
    <n v="2"/>
    <x v="3"/>
    <n v="0.33329999999999999"/>
    <n v="0.7"/>
    <x v="14"/>
    <x v="15"/>
    <x v="70"/>
    <x v="39"/>
    <x v="1"/>
    <x v="1"/>
    <n v="0.22935326051082283"/>
    <n v="-0.25435329828790432"/>
    <n v="0.10399668008577614"/>
  </r>
  <r>
    <n v="851"/>
    <d v="2011-02-07T00:00:00"/>
    <x v="0"/>
    <n v="0"/>
    <x v="1"/>
    <x v="21"/>
    <b v="0"/>
    <n v="1"/>
    <n v="1"/>
    <x v="3"/>
    <n v="0.34849999999999998"/>
    <n v="0.7"/>
    <x v="0"/>
    <x v="0"/>
    <x v="102"/>
    <x v="53"/>
    <x v="1"/>
    <x v="0"/>
    <n v="0.22935326051082283"/>
    <n v="-0.25435329828790432"/>
    <n v="0.10399668008577614"/>
  </r>
  <r>
    <n v="852"/>
    <d v="2011-02-07T00:00:00"/>
    <x v="0"/>
    <n v="0"/>
    <x v="1"/>
    <x v="22"/>
    <b v="0"/>
    <n v="1"/>
    <n v="1"/>
    <x v="17"/>
    <n v="0.30299999999999999"/>
    <n v="0.81"/>
    <x v="1"/>
    <x v="0"/>
    <x v="60"/>
    <x v="18"/>
    <x v="1"/>
    <x v="0"/>
    <n v="0.22935326051082283"/>
    <n v="-0.25435329828790432"/>
    <n v="0.10399668008577614"/>
  </r>
  <r>
    <n v="853"/>
    <d v="2011-02-07T00:00:00"/>
    <x v="0"/>
    <n v="0"/>
    <x v="1"/>
    <x v="23"/>
    <b v="0"/>
    <n v="1"/>
    <n v="2"/>
    <x v="11"/>
    <n v="0.33329999999999999"/>
    <n v="0.81"/>
    <x v="0"/>
    <x v="15"/>
    <x v="23"/>
    <x v="94"/>
    <x v="1"/>
    <x v="1"/>
    <n v="0.22935326051082283"/>
    <n v="-0.25435329828790432"/>
    <n v="0.10399668008577614"/>
  </r>
  <r>
    <n v="854"/>
    <d v="2011-02-08T00:00:00"/>
    <x v="0"/>
    <n v="0"/>
    <x v="1"/>
    <x v="0"/>
    <b v="0"/>
    <n v="2"/>
    <n v="2"/>
    <x v="17"/>
    <n v="0.31819999999999998"/>
    <n v="0.87"/>
    <x v="0"/>
    <x v="17"/>
    <x v="8"/>
    <x v="98"/>
    <x v="0"/>
    <x v="1"/>
    <n v="0.22935326051082283"/>
    <n v="-0.25435329828790432"/>
    <n v="0.10399668008577614"/>
  </r>
  <r>
    <n v="855"/>
    <d v="2011-02-08T00:00:00"/>
    <x v="0"/>
    <n v="0"/>
    <x v="1"/>
    <x v="1"/>
    <b v="0"/>
    <n v="2"/>
    <n v="2"/>
    <x v="17"/>
    <n v="0.31819999999999998"/>
    <n v="0.87"/>
    <x v="0"/>
    <x v="3"/>
    <x v="22"/>
    <x v="48"/>
    <x v="0"/>
    <x v="1"/>
    <n v="0.22935326051082283"/>
    <n v="-0.25435329828790432"/>
    <n v="0.10399668008577614"/>
  </r>
  <r>
    <n v="856"/>
    <d v="2011-02-08T00:00:00"/>
    <x v="0"/>
    <n v="0"/>
    <x v="1"/>
    <x v="2"/>
    <b v="0"/>
    <n v="2"/>
    <n v="2"/>
    <x v="12"/>
    <n v="0.2727"/>
    <n v="0.93"/>
    <x v="14"/>
    <x v="5"/>
    <x v="4"/>
    <x v="5"/>
    <x v="1"/>
    <x v="1"/>
    <n v="0.22935326051082283"/>
    <n v="-0.25435329828790432"/>
    <n v="0.10399668008577614"/>
  </r>
  <r>
    <n v="857"/>
    <d v="2011-02-08T00:00:00"/>
    <x v="0"/>
    <n v="0"/>
    <x v="1"/>
    <x v="3"/>
    <b v="0"/>
    <n v="2"/>
    <n v="3"/>
    <x v="17"/>
    <n v="0.2727"/>
    <n v="0.93"/>
    <x v="8"/>
    <x v="3"/>
    <x v="4"/>
    <x v="4"/>
    <x v="1"/>
    <x v="2"/>
    <n v="0.22935326051082283"/>
    <n v="-0.25435329828790432"/>
    <n v="0.10399668008577614"/>
  </r>
  <r>
    <n v="858"/>
    <d v="2011-02-08T00:00:00"/>
    <x v="0"/>
    <n v="0"/>
    <x v="1"/>
    <x v="4"/>
    <b v="0"/>
    <n v="2"/>
    <n v="1"/>
    <x v="12"/>
    <n v="0.2576"/>
    <n v="0.93"/>
    <x v="8"/>
    <x v="3"/>
    <x v="35"/>
    <x v="6"/>
    <x v="1"/>
    <x v="0"/>
    <n v="0.22935326051082283"/>
    <n v="-0.25435329828790432"/>
    <n v="0.10399668008577614"/>
  </r>
  <r>
    <n v="859"/>
    <d v="2011-02-08T00:00:00"/>
    <x v="0"/>
    <n v="0"/>
    <x v="1"/>
    <x v="5"/>
    <b v="0"/>
    <n v="2"/>
    <n v="1"/>
    <x v="12"/>
    <n v="0.2273"/>
    <n v="0.81"/>
    <x v="9"/>
    <x v="3"/>
    <x v="6"/>
    <x v="5"/>
    <x v="1"/>
    <x v="0"/>
    <n v="0.22935326051082283"/>
    <n v="-0.25435329828790432"/>
    <n v="0.10399668008577614"/>
  </r>
  <r>
    <n v="860"/>
    <d v="2011-02-08T00:00:00"/>
    <x v="0"/>
    <n v="0"/>
    <x v="1"/>
    <x v="6"/>
    <b v="0"/>
    <n v="2"/>
    <n v="1"/>
    <x v="12"/>
    <n v="0.2273"/>
    <n v="0.7"/>
    <x v="9"/>
    <x v="3"/>
    <x v="87"/>
    <x v="21"/>
    <x v="1"/>
    <x v="0"/>
    <n v="0.22935326051082283"/>
    <n v="-0.25435329828790432"/>
    <n v="0.10399668008577614"/>
  </r>
  <r>
    <n v="861"/>
    <d v="2011-02-08T00:00:00"/>
    <x v="0"/>
    <n v="0"/>
    <x v="1"/>
    <x v="7"/>
    <b v="0"/>
    <n v="2"/>
    <n v="1"/>
    <x v="0"/>
    <n v="0.19700000000000001"/>
    <n v="0.65"/>
    <x v="12"/>
    <x v="0"/>
    <x v="106"/>
    <x v="50"/>
    <x v="0"/>
    <x v="0"/>
    <n v="0.22935326051082283"/>
    <n v="-0.25435329828790432"/>
    <n v="0.10399668008577614"/>
  </r>
  <r>
    <n v="862"/>
    <d v="2011-02-08T00:00:00"/>
    <x v="0"/>
    <n v="0"/>
    <x v="1"/>
    <x v="8"/>
    <b v="0"/>
    <n v="2"/>
    <n v="1"/>
    <x v="0"/>
    <n v="0.19700000000000001"/>
    <n v="0.56000000000000005"/>
    <x v="15"/>
    <x v="18"/>
    <x v="171"/>
    <x v="183"/>
    <x v="0"/>
    <x v="0"/>
    <n v="0.22935326051082283"/>
    <n v="-0.25435329828790432"/>
    <n v="0.10399668008577614"/>
  </r>
  <r>
    <n v="863"/>
    <d v="2011-02-08T00:00:00"/>
    <x v="0"/>
    <n v="0"/>
    <x v="1"/>
    <x v="9"/>
    <b v="0"/>
    <n v="2"/>
    <n v="1"/>
    <x v="0"/>
    <n v="0.19700000000000001"/>
    <n v="0.52"/>
    <x v="15"/>
    <x v="18"/>
    <x v="172"/>
    <x v="169"/>
    <x v="1"/>
    <x v="0"/>
    <n v="0.22935326051082283"/>
    <n v="-0.25435329828790432"/>
    <n v="0.10399668008577614"/>
  </r>
  <r>
    <n v="864"/>
    <d v="2011-02-08T00:00:00"/>
    <x v="0"/>
    <n v="0"/>
    <x v="1"/>
    <x v="10"/>
    <b v="0"/>
    <n v="2"/>
    <n v="1"/>
    <x v="1"/>
    <n v="0.18179999999999999"/>
    <n v="0.47"/>
    <x v="16"/>
    <x v="17"/>
    <x v="100"/>
    <x v="61"/>
    <x v="1"/>
    <x v="0"/>
    <n v="0.22935326051082283"/>
    <n v="-0.25435329828790432"/>
    <n v="0.10399668008577614"/>
  </r>
  <r>
    <n v="865"/>
    <d v="2011-02-08T00:00:00"/>
    <x v="0"/>
    <n v="0"/>
    <x v="1"/>
    <x v="11"/>
    <b v="0"/>
    <n v="2"/>
    <n v="1"/>
    <x v="1"/>
    <n v="0.18179999999999999"/>
    <n v="0.47"/>
    <x v="17"/>
    <x v="5"/>
    <x v="47"/>
    <x v="89"/>
    <x v="1"/>
    <x v="0"/>
    <n v="0.22935326051082283"/>
    <n v="-0.25435329828790432"/>
    <n v="0.10399668008577614"/>
  </r>
  <r>
    <n v="866"/>
    <d v="2011-02-08T00:00:00"/>
    <x v="0"/>
    <n v="0"/>
    <x v="1"/>
    <x v="12"/>
    <b v="0"/>
    <n v="2"/>
    <n v="1"/>
    <x v="0"/>
    <n v="0.19700000000000001"/>
    <n v="0.38"/>
    <x v="15"/>
    <x v="4"/>
    <x v="36"/>
    <x v="32"/>
    <x v="1"/>
    <x v="0"/>
    <n v="0.22935326051082283"/>
    <n v="-0.25435329828790432"/>
    <n v="0.10399668008577614"/>
  </r>
  <r>
    <n v="867"/>
    <d v="2011-02-08T00:00:00"/>
    <x v="0"/>
    <n v="0"/>
    <x v="1"/>
    <x v="13"/>
    <b v="0"/>
    <n v="2"/>
    <n v="2"/>
    <x v="0"/>
    <n v="0.19700000000000001"/>
    <n v="0.32"/>
    <x v="10"/>
    <x v="4"/>
    <x v="41"/>
    <x v="89"/>
    <x v="1"/>
    <x v="1"/>
    <n v="0.22935326051082283"/>
    <n v="-0.25435329828790432"/>
    <n v="0.10399668008577614"/>
  </r>
  <r>
    <n v="868"/>
    <d v="2011-02-08T00:00:00"/>
    <x v="0"/>
    <n v="0"/>
    <x v="1"/>
    <x v="14"/>
    <b v="0"/>
    <n v="2"/>
    <n v="1"/>
    <x v="1"/>
    <n v="0.19700000000000001"/>
    <n v="0.37"/>
    <x v="12"/>
    <x v="0"/>
    <x v="124"/>
    <x v="37"/>
    <x v="0"/>
    <x v="0"/>
    <n v="0.22935326051082283"/>
    <n v="-0.25435329828790432"/>
    <n v="0.10399668008577614"/>
  </r>
  <r>
    <n v="869"/>
    <d v="2011-02-08T00:00:00"/>
    <x v="0"/>
    <n v="0"/>
    <x v="1"/>
    <x v="15"/>
    <b v="0"/>
    <n v="2"/>
    <n v="1"/>
    <x v="1"/>
    <n v="0.19700000000000001"/>
    <n v="0.35"/>
    <x v="13"/>
    <x v="15"/>
    <x v="108"/>
    <x v="41"/>
    <x v="0"/>
    <x v="0"/>
    <n v="0.22935326051082283"/>
    <n v="-0.25435329828790432"/>
    <n v="0.10399668008577614"/>
  </r>
  <r>
    <n v="870"/>
    <d v="2011-02-08T00:00:00"/>
    <x v="0"/>
    <n v="0"/>
    <x v="1"/>
    <x v="16"/>
    <b v="0"/>
    <n v="2"/>
    <n v="1"/>
    <x v="1"/>
    <n v="0.18179999999999999"/>
    <n v="0.35"/>
    <x v="18"/>
    <x v="17"/>
    <x v="55"/>
    <x v="56"/>
    <x v="1"/>
    <x v="0"/>
    <n v="0.22935326051082283"/>
    <n v="-0.25435329828790432"/>
    <n v="0.10399668008577614"/>
  </r>
  <r>
    <n v="871"/>
    <d v="2011-02-08T00:00:00"/>
    <x v="0"/>
    <n v="0"/>
    <x v="1"/>
    <x v="17"/>
    <b v="0"/>
    <n v="2"/>
    <n v="1"/>
    <x v="1"/>
    <n v="0.18179999999999999"/>
    <n v="0.32"/>
    <x v="19"/>
    <x v="17"/>
    <x v="157"/>
    <x v="170"/>
    <x v="1"/>
    <x v="0"/>
    <n v="0.22935326051082283"/>
    <n v="-0.25435329828790432"/>
    <n v="0.10399668008577614"/>
  </r>
  <r>
    <n v="872"/>
    <d v="2011-02-08T00:00:00"/>
    <x v="0"/>
    <n v="0"/>
    <x v="1"/>
    <x v="18"/>
    <b v="0"/>
    <n v="2"/>
    <n v="1"/>
    <x v="2"/>
    <n v="0.18179999999999999"/>
    <n v="0.32"/>
    <x v="13"/>
    <x v="5"/>
    <x v="137"/>
    <x v="148"/>
    <x v="1"/>
    <x v="0"/>
    <n v="0.22935326051082283"/>
    <n v="-0.25435329828790432"/>
    <n v="0.10399668008577614"/>
  </r>
  <r>
    <n v="873"/>
    <d v="2011-02-08T00:00:00"/>
    <x v="0"/>
    <n v="0"/>
    <x v="1"/>
    <x v="19"/>
    <b v="0"/>
    <n v="2"/>
    <n v="1"/>
    <x v="13"/>
    <n v="0.1212"/>
    <n v="0.4"/>
    <x v="17"/>
    <x v="5"/>
    <x v="129"/>
    <x v="129"/>
    <x v="1"/>
    <x v="0"/>
    <n v="0.22935326051082283"/>
    <n v="-0.25435329828790432"/>
    <n v="0.10399668008577614"/>
  </r>
  <r>
    <n v="874"/>
    <d v="2011-02-08T00:00:00"/>
    <x v="0"/>
    <n v="0"/>
    <x v="1"/>
    <x v="20"/>
    <b v="0"/>
    <n v="2"/>
    <n v="1"/>
    <x v="13"/>
    <n v="0.13639999999999999"/>
    <n v="0.4"/>
    <x v="9"/>
    <x v="0"/>
    <x v="42"/>
    <x v="10"/>
    <x v="1"/>
    <x v="0"/>
    <n v="0.22935326051082283"/>
    <n v="-0.25435329828790432"/>
    <n v="0.10399668008577614"/>
  </r>
  <r>
    <n v="875"/>
    <d v="2011-02-08T00:00:00"/>
    <x v="0"/>
    <n v="0"/>
    <x v="1"/>
    <x v="21"/>
    <b v="0"/>
    <n v="2"/>
    <n v="1"/>
    <x v="14"/>
    <n v="0.1061"/>
    <n v="0.33"/>
    <x v="17"/>
    <x v="1"/>
    <x v="24"/>
    <x v="60"/>
    <x v="0"/>
    <x v="0"/>
    <n v="0.22935326051082283"/>
    <n v="-0.25435329828790432"/>
    <n v="0.10399668008577614"/>
  </r>
  <r>
    <n v="876"/>
    <d v="2011-02-08T00:00:00"/>
    <x v="0"/>
    <n v="0"/>
    <x v="1"/>
    <x v="22"/>
    <b v="0"/>
    <n v="2"/>
    <n v="1"/>
    <x v="16"/>
    <n v="0.1061"/>
    <n v="0.33"/>
    <x v="11"/>
    <x v="3"/>
    <x v="31"/>
    <x v="115"/>
    <x v="0"/>
    <x v="0"/>
    <n v="0.22935326051082283"/>
    <n v="-0.25435329828790432"/>
    <n v="0.10399668008577614"/>
  </r>
  <r>
    <n v="877"/>
    <d v="2011-02-08T00:00:00"/>
    <x v="0"/>
    <n v="0"/>
    <x v="1"/>
    <x v="23"/>
    <b v="0"/>
    <n v="2"/>
    <n v="1"/>
    <x v="16"/>
    <n v="0.1061"/>
    <n v="0.33"/>
    <x v="9"/>
    <x v="0"/>
    <x v="33"/>
    <x v="47"/>
    <x v="1"/>
    <x v="0"/>
    <n v="0.22935326051082283"/>
    <n v="-0.25435329828790432"/>
    <n v="0.10399668008577614"/>
  </r>
  <r>
    <n v="878"/>
    <d v="2011-02-09T00:00:00"/>
    <x v="0"/>
    <n v="0"/>
    <x v="1"/>
    <x v="0"/>
    <b v="0"/>
    <n v="3"/>
    <n v="1"/>
    <x v="18"/>
    <n v="7.5800000000000006E-2"/>
    <n v="0.36"/>
    <x v="11"/>
    <x v="3"/>
    <x v="19"/>
    <x v="22"/>
    <x v="1"/>
    <x v="0"/>
    <n v="0.22935326051082283"/>
    <n v="-0.25435329828790432"/>
    <n v="0.10399668008577614"/>
  </r>
  <r>
    <n v="879"/>
    <d v="2011-02-09T00:00:00"/>
    <x v="0"/>
    <n v="0"/>
    <x v="1"/>
    <x v="1"/>
    <b v="0"/>
    <n v="3"/>
    <n v="1"/>
    <x v="18"/>
    <n v="0.1061"/>
    <n v="0.36"/>
    <x v="6"/>
    <x v="3"/>
    <x v="7"/>
    <x v="85"/>
    <x v="1"/>
    <x v="0"/>
    <n v="0.22935326051082283"/>
    <n v="-0.25435329828790432"/>
    <n v="0.10399668008577614"/>
  </r>
  <r>
    <n v="880"/>
    <d v="2011-02-09T00:00:00"/>
    <x v="0"/>
    <n v="0"/>
    <x v="1"/>
    <x v="2"/>
    <b v="0"/>
    <n v="3"/>
    <n v="1"/>
    <x v="19"/>
    <n v="7.5800000000000006E-2"/>
    <n v="0.38"/>
    <x v="3"/>
    <x v="5"/>
    <x v="6"/>
    <x v="6"/>
    <x v="1"/>
    <x v="0"/>
    <n v="0.22935326051082283"/>
    <n v="-0.25435329828790432"/>
    <n v="0.10399668008577614"/>
  </r>
  <r>
    <n v="881"/>
    <d v="2011-02-09T00:00:00"/>
    <x v="0"/>
    <n v="0"/>
    <x v="1"/>
    <x v="3"/>
    <b v="0"/>
    <n v="3"/>
    <n v="1"/>
    <x v="20"/>
    <n v="7.5800000000000006E-2"/>
    <n v="0.45"/>
    <x v="7"/>
    <x v="3"/>
    <x v="6"/>
    <x v="5"/>
    <x v="1"/>
    <x v="0"/>
    <n v="0.22935326051082283"/>
    <n v="-0.25435329828790432"/>
    <n v="0.10399668008577614"/>
  </r>
  <r>
    <n v="882"/>
    <d v="2011-02-09T00:00:00"/>
    <x v="0"/>
    <n v="0"/>
    <x v="1"/>
    <x v="5"/>
    <b v="0"/>
    <n v="3"/>
    <n v="1"/>
    <x v="20"/>
    <n v="0.1061"/>
    <n v="0.45"/>
    <x v="14"/>
    <x v="3"/>
    <x v="7"/>
    <x v="85"/>
    <x v="0"/>
    <x v="0"/>
    <n v="0.22935326051082283"/>
    <n v="-0.25435329828790432"/>
    <n v="0.10399668008577614"/>
  </r>
  <r>
    <n v="883"/>
    <d v="2011-02-09T00:00:00"/>
    <x v="0"/>
    <n v="0"/>
    <x v="1"/>
    <x v="6"/>
    <b v="0"/>
    <n v="3"/>
    <n v="1"/>
    <x v="20"/>
    <n v="0.1515"/>
    <n v="0.45"/>
    <x v="0"/>
    <x v="3"/>
    <x v="30"/>
    <x v="74"/>
    <x v="0"/>
    <x v="0"/>
    <n v="0.22935326051082283"/>
    <n v="-0.25435329828790432"/>
    <n v="0.10399668008577614"/>
  </r>
  <r>
    <n v="884"/>
    <d v="2011-02-09T00:00:00"/>
    <x v="0"/>
    <n v="0"/>
    <x v="1"/>
    <x v="7"/>
    <b v="0"/>
    <n v="3"/>
    <n v="1"/>
    <x v="20"/>
    <n v="0.1061"/>
    <n v="0.49"/>
    <x v="14"/>
    <x v="17"/>
    <x v="73"/>
    <x v="111"/>
    <x v="1"/>
    <x v="0"/>
    <n v="0.22935326051082283"/>
    <n v="-0.25435329828790432"/>
    <n v="0.10399668008577614"/>
  </r>
  <r>
    <n v="885"/>
    <d v="2011-02-09T00:00:00"/>
    <x v="0"/>
    <n v="0"/>
    <x v="1"/>
    <x v="8"/>
    <b v="0"/>
    <n v="3"/>
    <n v="1"/>
    <x v="18"/>
    <n v="0.13639999999999999"/>
    <n v="0.42"/>
    <x v="0"/>
    <x v="5"/>
    <x v="173"/>
    <x v="184"/>
    <x v="1"/>
    <x v="0"/>
    <n v="0.22935326051082283"/>
    <n v="-0.25435329828790432"/>
    <n v="0.10399668008577614"/>
  </r>
  <r>
    <n v="886"/>
    <d v="2011-02-09T00:00:00"/>
    <x v="0"/>
    <n v="0"/>
    <x v="1"/>
    <x v="9"/>
    <b v="0"/>
    <n v="3"/>
    <n v="1"/>
    <x v="16"/>
    <n v="0.13639999999999999"/>
    <n v="0.39"/>
    <x v="8"/>
    <x v="17"/>
    <x v="138"/>
    <x v="92"/>
    <x v="1"/>
    <x v="0"/>
    <n v="0.22935326051082283"/>
    <n v="-0.25435329828790432"/>
    <n v="0.10399668008577614"/>
  </r>
  <r>
    <n v="887"/>
    <d v="2011-02-09T00:00:00"/>
    <x v="0"/>
    <n v="0"/>
    <x v="1"/>
    <x v="10"/>
    <b v="0"/>
    <n v="3"/>
    <n v="1"/>
    <x v="14"/>
    <n v="0.18179999999999999"/>
    <n v="0.36"/>
    <x v="0"/>
    <x v="1"/>
    <x v="82"/>
    <x v="29"/>
    <x v="1"/>
    <x v="0"/>
    <n v="0.22935326051082283"/>
    <n v="-0.25435329828790432"/>
    <n v="0.10399668008577614"/>
  </r>
  <r>
    <n v="888"/>
    <d v="2011-02-09T00:00:00"/>
    <x v="0"/>
    <n v="0"/>
    <x v="1"/>
    <x v="11"/>
    <b v="0"/>
    <n v="3"/>
    <n v="2"/>
    <x v="14"/>
    <n v="0.1515"/>
    <n v="0.43"/>
    <x v="8"/>
    <x v="5"/>
    <x v="71"/>
    <x v="102"/>
    <x v="1"/>
    <x v="1"/>
    <n v="0.22935326051082283"/>
    <n v="-0.25435329828790432"/>
    <n v="0.10399668008577614"/>
  </r>
  <r>
    <n v="889"/>
    <d v="2011-02-09T00:00:00"/>
    <x v="0"/>
    <n v="0"/>
    <x v="1"/>
    <x v="12"/>
    <b v="0"/>
    <n v="3"/>
    <n v="2"/>
    <x v="15"/>
    <n v="0.18179999999999999"/>
    <n v="0.4"/>
    <x v="6"/>
    <x v="17"/>
    <x v="77"/>
    <x v="42"/>
    <x v="0"/>
    <x v="1"/>
    <n v="0.22935326051082283"/>
    <n v="-0.25435329828790432"/>
    <n v="0.10399668008577614"/>
  </r>
  <r>
    <n v="890"/>
    <d v="2011-02-09T00:00:00"/>
    <x v="0"/>
    <n v="0"/>
    <x v="1"/>
    <x v="13"/>
    <b v="0"/>
    <n v="3"/>
    <n v="1"/>
    <x v="15"/>
    <n v="0.16669999999999999"/>
    <n v="0.4"/>
    <x v="2"/>
    <x v="4"/>
    <x v="28"/>
    <x v="83"/>
    <x v="0"/>
    <x v="0"/>
    <n v="0.22935326051082283"/>
    <n v="-0.25435329828790432"/>
    <n v="0.10399668008577614"/>
  </r>
  <r>
    <n v="891"/>
    <d v="2011-02-09T00:00:00"/>
    <x v="0"/>
    <n v="0"/>
    <x v="1"/>
    <x v="14"/>
    <b v="0"/>
    <n v="3"/>
    <n v="1"/>
    <x v="2"/>
    <n v="0.18179999999999999"/>
    <n v="0.34"/>
    <x v="4"/>
    <x v="4"/>
    <x v="90"/>
    <x v="154"/>
    <x v="1"/>
    <x v="0"/>
    <n v="0.22935326051082283"/>
    <n v="-0.25435329828790432"/>
    <n v="0.10399668008577614"/>
  </r>
  <r>
    <n v="892"/>
    <d v="2011-02-09T00:00:00"/>
    <x v="0"/>
    <n v="0"/>
    <x v="1"/>
    <x v="15"/>
    <b v="0"/>
    <n v="3"/>
    <n v="2"/>
    <x v="2"/>
    <n v="0.18179999999999999"/>
    <n v="0.34"/>
    <x v="3"/>
    <x v="0"/>
    <x v="124"/>
    <x v="37"/>
    <x v="1"/>
    <x v="1"/>
    <n v="0.22935326051082283"/>
    <n v="-0.25435329828790432"/>
    <n v="0.10399668008577614"/>
  </r>
  <r>
    <n v="893"/>
    <d v="2011-02-09T00:00:00"/>
    <x v="0"/>
    <n v="0"/>
    <x v="1"/>
    <x v="16"/>
    <b v="0"/>
    <n v="3"/>
    <n v="2"/>
    <x v="2"/>
    <n v="0.19700000000000001"/>
    <n v="0.37"/>
    <x v="2"/>
    <x v="18"/>
    <x v="109"/>
    <x v="67"/>
    <x v="1"/>
    <x v="1"/>
    <n v="0.22935326051082283"/>
    <n v="-0.25435329828790432"/>
    <n v="0.10399668008577614"/>
  </r>
  <r>
    <n v="894"/>
    <d v="2011-02-09T00:00:00"/>
    <x v="0"/>
    <n v="0"/>
    <x v="1"/>
    <x v="17"/>
    <b v="0"/>
    <n v="3"/>
    <n v="2"/>
    <x v="2"/>
    <n v="0.19700000000000001"/>
    <n v="0.34"/>
    <x v="2"/>
    <x v="14"/>
    <x v="174"/>
    <x v="150"/>
    <x v="1"/>
    <x v="1"/>
    <n v="0.22935326051082283"/>
    <n v="-0.25435329828790432"/>
    <n v="0.10399668008577614"/>
  </r>
  <r>
    <n v="895"/>
    <d v="2011-02-09T00:00:00"/>
    <x v="0"/>
    <n v="0"/>
    <x v="1"/>
    <x v="18"/>
    <b v="0"/>
    <n v="3"/>
    <n v="2"/>
    <x v="15"/>
    <n v="0.16669999999999999"/>
    <n v="0.47"/>
    <x v="4"/>
    <x v="4"/>
    <x v="175"/>
    <x v="185"/>
    <x v="1"/>
    <x v="1"/>
    <n v="0.22935326051082283"/>
    <n v="-0.25435329828790432"/>
    <n v="0.10399668008577614"/>
  </r>
  <r>
    <n v="896"/>
    <d v="2011-02-09T00:00:00"/>
    <x v="0"/>
    <n v="0"/>
    <x v="1"/>
    <x v="19"/>
    <b v="0"/>
    <n v="3"/>
    <n v="3"/>
    <x v="14"/>
    <n v="0.1212"/>
    <n v="0.86"/>
    <x v="2"/>
    <x v="5"/>
    <x v="61"/>
    <x v="39"/>
    <x v="0"/>
    <x v="2"/>
    <n v="0.22935326051082283"/>
    <n v="-0.25435329828790432"/>
    <n v="0.10399668008577614"/>
  </r>
  <r>
    <n v="897"/>
    <d v="2011-02-09T00:00:00"/>
    <x v="0"/>
    <n v="0"/>
    <x v="1"/>
    <x v="20"/>
    <b v="0"/>
    <n v="3"/>
    <n v="3"/>
    <x v="14"/>
    <n v="0.1515"/>
    <n v="0.86"/>
    <x v="8"/>
    <x v="3"/>
    <x v="151"/>
    <x v="11"/>
    <x v="0"/>
    <x v="2"/>
    <n v="0.22935326051082283"/>
    <n v="-0.25435329828790432"/>
    <n v="0.10399668008577614"/>
  </r>
  <r>
    <n v="898"/>
    <d v="2011-02-09T00:00:00"/>
    <x v="0"/>
    <n v="0"/>
    <x v="1"/>
    <x v="21"/>
    <b v="0"/>
    <n v="3"/>
    <n v="2"/>
    <x v="14"/>
    <n v="0.1515"/>
    <n v="0.86"/>
    <x v="8"/>
    <x v="3"/>
    <x v="93"/>
    <x v="56"/>
    <x v="1"/>
    <x v="1"/>
    <n v="0.22935326051082283"/>
    <n v="-0.25435329828790432"/>
    <n v="0.10399668008577614"/>
  </r>
  <r>
    <n v="899"/>
    <d v="2011-02-09T00:00:00"/>
    <x v="0"/>
    <n v="0"/>
    <x v="1"/>
    <x v="22"/>
    <b v="0"/>
    <n v="3"/>
    <n v="3"/>
    <x v="13"/>
    <n v="0.16669999999999999"/>
    <n v="0.8"/>
    <x v="8"/>
    <x v="17"/>
    <x v="76"/>
    <x v="66"/>
    <x v="1"/>
    <x v="2"/>
    <n v="0.22935326051082283"/>
    <n v="-0.25435329828790432"/>
    <n v="0.10399668008577614"/>
  </r>
  <r>
    <n v="900"/>
    <d v="2011-02-09T00:00:00"/>
    <x v="0"/>
    <n v="0"/>
    <x v="1"/>
    <x v="23"/>
    <b v="0"/>
    <n v="3"/>
    <n v="3"/>
    <x v="13"/>
    <n v="0.1515"/>
    <n v="0.8"/>
    <x v="5"/>
    <x v="3"/>
    <x v="53"/>
    <x v="18"/>
    <x v="1"/>
    <x v="2"/>
    <n v="0.22935326051082283"/>
    <n v="-0.25435329828790432"/>
    <n v="0.10399668008577614"/>
  </r>
  <r>
    <n v="901"/>
    <d v="2011-02-10T00:00:00"/>
    <x v="0"/>
    <n v="0"/>
    <x v="1"/>
    <x v="0"/>
    <b v="0"/>
    <n v="4"/>
    <n v="3"/>
    <x v="14"/>
    <n v="0.13639999999999999"/>
    <n v="0.86"/>
    <x v="5"/>
    <x v="3"/>
    <x v="20"/>
    <x v="0"/>
    <x v="1"/>
    <x v="2"/>
    <n v="0.22935326051082283"/>
    <n v="-0.25435329828790432"/>
    <n v="0.10399668008577614"/>
  </r>
  <r>
    <n v="902"/>
    <d v="2011-02-10T00:00:00"/>
    <x v="0"/>
    <n v="0"/>
    <x v="1"/>
    <x v="1"/>
    <b v="0"/>
    <n v="4"/>
    <n v="3"/>
    <x v="14"/>
    <n v="0.1515"/>
    <n v="0.8"/>
    <x v="7"/>
    <x v="3"/>
    <x v="7"/>
    <x v="85"/>
    <x v="1"/>
    <x v="2"/>
    <n v="0.22935326051082283"/>
    <n v="-0.25435329828790432"/>
    <n v="0.10399668008577614"/>
  </r>
  <r>
    <n v="903"/>
    <d v="2011-02-10T00:00:00"/>
    <x v="0"/>
    <n v="0"/>
    <x v="1"/>
    <x v="2"/>
    <b v="0"/>
    <n v="4"/>
    <n v="3"/>
    <x v="14"/>
    <n v="0.1515"/>
    <n v="0.8"/>
    <x v="7"/>
    <x v="3"/>
    <x v="35"/>
    <x v="6"/>
    <x v="0"/>
    <x v="2"/>
    <n v="0.22935326051082283"/>
    <n v="-0.25435329828790432"/>
    <n v="0.10399668008577614"/>
  </r>
  <r>
    <n v="904"/>
    <d v="2011-02-10T00:00:00"/>
    <x v="0"/>
    <n v="0"/>
    <x v="1"/>
    <x v="4"/>
    <b v="0"/>
    <n v="4"/>
    <n v="2"/>
    <x v="14"/>
    <n v="0.13639999999999999"/>
    <n v="0.59"/>
    <x v="6"/>
    <x v="3"/>
    <x v="4"/>
    <x v="4"/>
    <x v="0"/>
    <x v="1"/>
    <n v="0.22935326051082283"/>
    <n v="-0.25435329828790432"/>
    <n v="0.10399668008577614"/>
  </r>
  <r>
    <n v="905"/>
    <d v="2011-02-10T00:00:00"/>
    <x v="0"/>
    <n v="0"/>
    <x v="1"/>
    <x v="5"/>
    <b v="0"/>
    <n v="4"/>
    <n v="2"/>
    <x v="16"/>
    <n v="0.1212"/>
    <n v="0.5"/>
    <x v="6"/>
    <x v="3"/>
    <x v="8"/>
    <x v="24"/>
    <x v="1"/>
    <x v="1"/>
    <n v="0.22935326051082283"/>
    <n v="-0.25435329828790432"/>
    <n v="0.10399668008577614"/>
  </r>
  <r>
    <n v="906"/>
    <d v="2011-02-10T00:00:00"/>
    <x v="0"/>
    <n v="0"/>
    <x v="1"/>
    <x v="6"/>
    <b v="0"/>
    <n v="4"/>
    <n v="2"/>
    <x v="16"/>
    <n v="0.1212"/>
    <n v="0.54"/>
    <x v="3"/>
    <x v="3"/>
    <x v="16"/>
    <x v="132"/>
    <x v="1"/>
    <x v="1"/>
    <n v="0.22935326051082283"/>
    <n v="-0.25435329828790432"/>
    <n v="0.10399668008577614"/>
  </r>
  <r>
    <n v="907"/>
    <d v="2011-02-10T00:00:00"/>
    <x v="0"/>
    <n v="0"/>
    <x v="1"/>
    <x v="7"/>
    <b v="0"/>
    <n v="4"/>
    <n v="1"/>
    <x v="18"/>
    <n v="7.5800000000000006E-2"/>
    <n v="0.5"/>
    <x v="12"/>
    <x v="3"/>
    <x v="176"/>
    <x v="111"/>
    <x v="1"/>
    <x v="0"/>
    <n v="0.22935326051082283"/>
    <n v="-0.25435329828790432"/>
    <n v="0.10399668008577614"/>
  </r>
  <r>
    <n v="908"/>
    <d v="2011-02-10T00:00:00"/>
    <x v="0"/>
    <n v="0"/>
    <x v="1"/>
    <x v="8"/>
    <b v="0"/>
    <n v="4"/>
    <n v="1"/>
    <x v="18"/>
    <n v="7.5800000000000006E-2"/>
    <n v="0.49"/>
    <x v="9"/>
    <x v="2"/>
    <x v="177"/>
    <x v="106"/>
    <x v="1"/>
    <x v="0"/>
    <n v="0.22935326051082283"/>
    <n v="-0.25435329828790432"/>
    <n v="0.10399668008577614"/>
  </r>
  <r>
    <n v="909"/>
    <d v="2011-02-10T00:00:00"/>
    <x v="0"/>
    <n v="0"/>
    <x v="1"/>
    <x v="9"/>
    <b v="0"/>
    <n v="4"/>
    <n v="1"/>
    <x v="16"/>
    <n v="0.1061"/>
    <n v="0.42"/>
    <x v="11"/>
    <x v="5"/>
    <x v="178"/>
    <x v="78"/>
    <x v="1"/>
    <x v="0"/>
    <n v="0.22935326051082283"/>
    <n v="-0.25435329828790432"/>
    <n v="0.10399668008577614"/>
  </r>
  <r>
    <n v="910"/>
    <d v="2011-02-10T00:00:00"/>
    <x v="0"/>
    <n v="0"/>
    <x v="1"/>
    <x v="10"/>
    <b v="0"/>
    <n v="4"/>
    <n v="1"/>
    <x v="16"/>
    <n v="0.1061"/>
    <n v="0.42"/>
    <x v="4"/>
    <x v="5"/>
    <x v="60"/>
    <x v="17"/>
    <x v="0"/>
    <x v="0"/>
    <n v="0.22935326051082283"/>
    <n v="-0.25435329828790432"/>
    <n v="0.10399668008577614"/>
  </r>
  <r>
    <n v="911"/>
    <d v="2011-02-10T00:00:00"/>
    <x v="0"/>
    <n v="0"/>
    <x v="1"/>
    <x v="11"/>
    <b v="0"/>
    <n v="4"/>
    <n v="1"/>
    <x v="14"/>
    <n v="0.1212"/>
    <n v="0.39"/>
    <x v="11"/>
    <x v="5"/>
    <x v="100"/>
    <x v="79"/>
    <x v="0"/>
    <x v="0"/>
    <n v="0.22935326051082283"/>
    <n v="-0.25435329828790432"/>
    <n v="0.10399668008577614"/>
  </r>
  <r>
    <n v="912"/>
    <d v="2011-02-10T00:00:00"/>
    <x v="0"/>
    <n v="0"/>
    <x v="1"/>
    <x v="12"/>
    <b v="0"/>
    <n v="4"/>
    <n v="1"/>
    <x v="13"/>
    <n v="0.13639999999999999"/>
    <n v="0.34"/>
    <x v="13"/>
    <x v="17"/>
    <x v="65"/>
    <x v="83"/>
    <x v="1"/>
    <x v="0"/>
    <n v="0.22935326051082283"/>
    <n v="-0.25435329828790432"/>
    <n v="0.10399668008577614"/>
  </r>
  <r>
    <n v="913"/>
    <d v="2011-02-10T00:00:00"/>
    <x v="0"/>
    <n v="0"/>
    <x v="1"/>
    <x v="13"/>
    <b v="0"/>
    <n v="4"/>
    <n v="1"/>
    <x v="15"/>
    <n v="0.16669999999999999"/>
    <n v="0.28999999999999998"/>
    <x v="4"/>
    <x v="0"/>
    <x v="79"/>
    <x v="69"/>
    <x v="1"/>
    <x v="0"/>
    <n v="0.22935326051082283"/>
    <n v="-0.25435329828790432"/>
    <n v="0.10399668008577614"/>
  </r>
  <r>
    <n v="914"/>
    <d v="2011-02-10T00:00:00"/>
    <x v="0"/>
    <n v="0"/>
    <x v="1"/>
    <x v="14"/>
    <b v="0"/>
    <n v="4"/>
    <n v="1"/>
    <x v="2"/>
    <n v="0.18179999999999999"/>
    <n v="0.27"/>
    <x v="3"/>
    <x v="15"/>
    <x v="76"/>
    <x v="61"/>
    <x v="1"/>
    <x v="0"/>
    <n v="0.22935326051082283"/>
    <n v="-0.25435329828790432"/>
    <n v="0.10399668008577614"/>
  </r>
  <r>
    <n v="915"/>
    <d v="2011-02-10T00:00:00"/>
    <x v="0"/>
    <n v="0"/>
    <x v="1"/>
    <x v="15"/>
    <b v="0"/>
    <n v="4"/>
    <n v="1"/>
    <x v="2"/>
    <n v="0.19700000000000001"/>
    <n v="0.25"/>
    <x v="2"/>
    <x v="3"/>
    <x v="54"/>
    <x v="89"/>
    <x v="1"/>
    <x v="0"/>
    <n v="0.22935326051082283"/>
    <n v="-0.25435329828790432"/>
    <n v="0.10399668008577614"/>
  </r>
  <r>
    <n v="916"/>
    <d v="2011-02-10T00:00:00"/>
    <x v="0"/>
    <n v="0"/>
    <x v="1"/>
    <x v="16"/>
    <b v="0"/>
    <n v="4"/>
    <n v="1"/>
    <x v="2"/>
    <n v="0.18179999999999999"/>
    <n v="0.27"/>
    <x v="4"/>
    <x v="17"/>
    <x v="83"/>
    <x v="138"/>
    <x v="1"/>
    <x v="0"/>
    <n v="0.22935326051082283"/>
    <n v="-0.25435329828790432"/>
    <n v="0.10399668008577614"/>
  </r>
  <r>
    <n v="917"/>
    <d v="2011-02-10T00:00:00"/>
    <x v="0"/>
    <n v="0"/>
    <x v="1"/>
    <x v="17"/>
    <b v="0"/>
    <n v="4"/>
    <n v="1"/>
    <x v="15"/>
    <n v="0.18179999999999999"/>
    <n v="0.26"/>
    <x v="5"/>
    <x v="15"/>
    <x v="136"/>
    <x v="186"/>
    <x v="0"/>
    <x v="0"/>
    <n v="0.22935326051082283"/>
    <n v="-0.25435329828790432"/>
    <n v="0.10399668008577614"/>
  </r>
  <r>
    <n v="918"/>
    <d v="2011-02-10T00:00:00"/>
    <x v="0"/>
    <n v="0"/>
    <x v="1"/>
    <x v="18"/>
    <b v="0"/>
    <n v="4"/>
    <n v="1"/>
    <x v="13"/>
    <n v="0.18179999999999999"/>
    <n v="0.28000000000000003"/>
    <x v="7"/>
    <x v="0"/>
    <x v="174"/>
    <x v="187"/>
    <x v="0"/>
    <x v="0"/>
    <n v="0.22935326051082283"/>
    <n v="-0.25435329828790432"/>
    <n v="0.10399668008577614"/>
  </r>
  <r>
    <n v="919"/>
    <d v="2011-02-10T00:00:00"/>
    <x v="0"/>
    <n v="0"/>
    <x v="1"/>
    <x v="19"/>
    <b v="0"/>
    <n v="4"/>
    <n v="1"/>
    <x v="14"/>
    <n v="0.16669999999999999"/>
    <n v="0.28000000000000003"/>
    <x v="14"/>
    <x v="4"/>
    <x v="59"/>
    <x v="59"/>
    <x v="1"/>
    <x v="0"/>
    <n v="0.22935326051082283"/>
    <n v="-0.25435329828790432"/>
    <n v="0.10399668008577614"/>
  </r>
  <r>
    <n v="920"/>
    <d v="2011-02-10T00:00:00"/>
    <x v="0"/>
    <n v="0"/>
    <x v="1"/>
    <x v="20"/>
    <b v="0"/>
    <n v="4"/>
    <n v="1"/>
    <x v="14"/>
    <n v="0.18179999999999999"/>
    <n v="0.31"/>
    <x v="1"/>
    <x v="17"/>
    <x v="139"/>
    <x v="54"/>
    <x v="1"/>
    <x v="0"/>
    <n v="0.22935326051082283"/>
    <n v="-0.25435329828790432"/>
    <n v="0.10399668008577614"/>
  </r>
  <r>
    <n v="921"/>
    <d v="2011-02-10T00:00:00"/>
    <x v="0"/>
    <n v="0"/>
    <x v="1"/>
    <x v="21"/>
    <b v="0"/>
    <n v="4"/>
    <n v="1"/>
    <x v="14"/>
    <n v="0.21210000000000001"/>
    <n v="0.39"/>
    <x v="0"/>
    <x v="4"/>
    <x v="14"/>
    <x v="44"/>
    <x v="1"/>
    <x v="0"/>
    <n v="0.22935326051082283"/>
    <n v="-0.25435329828790432"/>
    <n v="0.10399668008577614"/>
  </r>
  <r>
    <n v="922"/>
    <d v="2011-02-10T00:00:00"/>
    <x v="0"/>
    <n v="0"/>
    <x v="1"/>
    <x v="22"/>
    <b v="0"/>
    <n v="4"/>
    <n v="1"/>
    <x v="16"/>
    <n v="0.19700000000000001"/>
    <n v="0.39"/>
    <x v="0"/>
    <x v="17"/>
    <x v="12"/>
    <x v="41"/>
    <x v="1"/>
    <x v="0"/>
    <n v="0.22935326051082283"/>
    <n v="-0.25435329828790432"/>
    <n v="0.10399668008577614"/>
  </r>
  <r>
    <n v="923"/>
    <d v="2011-02-10T00:00:00"/>
    <x v="0"/>
    <n v="0"/>
    <x v="1"/>
    <x v="23"/>
    <b v="0"/>
    <n v="4"/>
    <n v="1"/>
    <x v="16"/>
    <n v="0.1515"/>
    <n v="0.42"/>
    <x v="14"/>
    <x v="5"/>
    <x v="39"/>
    <x v="19"/>
    <x v="1"/>
    <x v="0"/>
    <n v="0.22935326051082283"/>
    <n v="-0.25435329828790432"/>
    <n v="0.10399668008577614"/>
  </r>
  <r>
    <n v="924"/>
    <d v="2011-02-11T00:00:00"/>
    <x v="0"/>
    <n v="0"/>
    <x v="1"/>
    <x v="0"/>
    <b v="0"/>
    <n v="5"/>
    <n v="1"/>
    <x v="18"/>
    <n v="0.13639999999999999"/>
    <n v="0.49"/>
    <x v="14"/>
    <x v="4"/>
    <x v="98"/>
    <x v="8"/>
    <x v="0"/>
    <x v="0"/>
    <n v="0.22935326051082283"/>
    <n v="-0.25435329828790432"/>
    <n v="0.10399668008577614"/>
  </r>
  <r>
    <n v="925"/>
    <d v="2011-02-11T00:00:00"/>
    <x v="0"/>
    <n v="0"/>
    <x v="1"/>
    <x v="1"/>
    <b v="0"/>
    <n v="5"/>
    <n v="1"/>
    <x v="18"/>
    <n v="0.13639999999999999"/>
    <n v="0.54"/>
    <x v="1"/>
    <x v="5"/>
    <x v="8"/>
    <x v="85"/>
    <x v="0"/>
    <x v="0"/>
    <n v="0.22935326051082283"/>
    <n v="-0.25435329828790432"/>
    <n v="0.10399668008577614"/>
  </r>
  <r>
    <n v="926"/>
    <d v="2011-02-11T00:00:00"/>
    <x v="0"/>
    <n v="0"/>
    <x v="1"/>
    <x v="2"/>
    <b v="0"/>
    <n v="5"/>
    <n v="1"/>
    <x v="18"/>
    <n v="0.13639999999999999"/>
    <n v="0.54"/>
    <x v="1"/>
    <x v="3"/>
    <x v="35"/>
    <x v="6"/>
    <x v="1"/>
    <x v="0"/>
    <n v="0.22935326051082283"/>
    <n v="-0.25435329828790432"/>
    <n v="0.10399668008577614"/>
  </r>
  <r>
    <n v="927"/>
    <d v="2011-02-11T00:00:00"/>
    <x v="0"/>
    <n v="0"/>
    <x v="1"/>
    <x v="5"/>
    <b v="0"/>
    <n v="5"/>
    <n v="1"/>
    <x v="19"/>
    <n v="0.1212"/>
    <n v="0.63"/>
    <x v="1"/>
    <x v="3"/>
    <x v="22"/>
    <x v="48"/>
    <x v="1"/>
    <x v="0"/>
    <n v="0.22935326051082283"/>
    <n v="-0.25435329828790432"/>
    <n v="0.10399668008577614"/>
  </r>
  <r>
    <n v="928"/>
    <d v="2011-02-11T00:00:00"/>
    <x v="0"/>
    <n v="0"/>
    <x v="1"/>
    <x v="6"/>
    <b v="0"/>
    <n v="5"/>
    <n v="1"/>
    <x v="18"/>
    <n v="0.18179999999999999"/>
    <n v="0.68"/>
    <x v="0"/>
    <x v="5"/>
    <x v="140"/>
    <x v="108"/>
    <x v="1"/>
    <x v="0"/>
    <n v="0.22935326051082283"/>
    <n v="-0.25435329828790432"/>
    <n v="0.10399668008577614"/>
  </r>
  <r>
    <n v="929"/>
    <d v="2011-02-11T00:00:00"/>
    <x v="0"/>
    <n v="0"/>
    <x v="1"/>
    <x v="7"/>
    <b v="0"/>
    <n v="5"/>
    <n v="1"/>
    <x v="19"/>
    <n v="0.16669999999999999"/>
    <n v="0.73"/>
    <x v="0"/>
    <x v="5"/>
    <x v="26"/>
    <x v="30"/>
    <x v="1"/>
    <x v="0"/>
    <n v="0.22935326051082283"/>
    <n v="-0.25435329828790432"/>
    <n v="0.10399668008577614"/>
  </r>
  <r>
    <n v="930"/>
    <d v="2011-02-11T00:00:00"/>
    <x v="0"/>
    <n v="0"/>
    <x v="1"/>
    <x v="8"/>
    <b v="0"/>
    <n v="5"/>
    <n v="1"/>
    <x v="18"/>
    <n v="0.1212"/>
    <n v="0.74"/>
    <x v="8"/>
    <x v="17"/>
    <x v="179"/>
    <x v="182"/>
    <x v="1"/>
    <x v="0"/>
    <n v="0.22935326051082283"/>
    <n v="-0.25435329828790432"/>
    <n v="0.10399668008577614"/>
  </r>
  <r>
    <n v="931"/>
    <d v="2011-02-11T00:00:00"/>
    <x v="0"/>
    <n v="0"/>
    <x v="1"/>
    <x v="9"/>
    <b v="0"/>
    <n v="5"/>
    <n v="1"/>
    <x v="16"/>
    <n v="0.1212"/>
    <n v="0.74"/>
    <x v="6"/>
    <x v="1"/>
    <x v="126"/>
    <x v="188"/>
    <x v="0"/>
    <x v="0"/>
    <n v="0.22935326051082283"/>
    <n v="-0.25435329828790432"/>
    <n v="0.10399668008577614"/>
  </r>
  <r>
    <n v="932"/>
    <d v="2011-02-11T00:00:00"/>
    <x v="0"/>
    <n v="0"/>
    <x v="1"/>
    <x v="10"/>
    <b v="0"/>
    <n v="5"/>
    <n v="1"/>
    <x v="14"/>
    <n v="0.13639999999999999"/>
    <n v="0.69"/>
    <x v="5"/>
    <x v="2"/>
    <x v="87"/>
    <x v="40"/>
    <x v="0"/>
    <x v="0"/>
    <n v="0.22935326051082283"/>
    <n v="-0.25435329828790432"/>
    <n v="0.10399668008577614"/>
  </r>
  <r>
    <n v="933"/>
    <d v="2011-02-11T00:00:00"/>
    <x v="0"/>
    <n v="0"/>
    <x v="1"/>
    <x v="11"/>
    <b v="0"/>
    <n v="5"/>
    <n v="1"/>
    <x v="1"/>
    <n v="0.2273"/>
    <n v="0.47"/>
    <x v="7"/>
    <x v="6"/>
    <x v="15"/>
    <x v="37"/>
    <x v="1"/>
    <x v="0"/>
    <n v="0.22935326051082283"/>
    <n v="-0.25435329828790432"/>
    <n v="0.10399668008577614"/>
  </r>
  <r>
    <n v="934"/>
    <d v="2011-02-11T00:00:00"/>
    <x v="0"/>
    <n v="0"/>
    <x v="1"/>
    <x v="12"/>
    <b v="0"/>
    <n v="5"/>
    <n v="1"/>
    <x v="1"/>
    <n v="0.2273"/>
    <n v="0.47"/>
    <x v="7"/>
    <x v="18"/>
    <x v="27"/>
    <x v="68"/>
    <x v="1"/>
    <x v="0"/>
    <n v="0.22935326051082283"/>
    <n v="-0.25435329828790432"/>
    <n v="0.10399668008577614"/>
  </r>
  <r>
    <n v="935"/>
    <d v="2011-02-11T00:00:00"/>
    <x v="0"/>
    <n v="0"/>
    <x v="1"/>
    <x v="13"/>
    <b v="0"/>
    <n v="5"/>
    <n v="1"/>
    <x v="0"/>
    <n v="0.2273"/>
    <n v="0.35"/>
    <x v="5"/>
    <x v="27"/>
    <x v="121"/>
    <x v="14"/>
    <x v="1"/>
    <x v="0"/>
    <n v="0.22935326051082283"/>
    <n v="-0.25435329828790432"/>
    <n v="0.10399668008577614"/>
  </r>
  <r>
    <n v="936"/>
    <d v="2011-02-11T00:00:00"/>
    <x v="0"/>
    <n v="0"/>
    <x v="1"/>
    <x v="14"/>
    <b v="0"/>
    <n v="5"/>
    <n v="1"/>
    <x v="11"/>
    <n v="0.28789999999999999"/>
    <n v="0.26"/>
    <x v="2"/>
    <x v="26"/>
    <x v="28"/>
    <x v="11"/>
    <x v="1"/>
    <x v="0"/>
    <n v="0.22935326051082283"/>
    <n v="-0.25435329828790432"/>
    <n v="0.10399668008577614"/>
  </r>
  <r>
    <n v="937"/>
    <d v="2011-02-11T00:00:00"/>
    <x v="0"/>
    <n v="0"/>
    <x v="1"/>
    <x v="15"/>
    <b v="0"/>
    <n v="5"/>
    <n v="1"/>
    <x v="3"/>
    <n v="0.31819999999999998"/>
    <n v="0.21"/>
    <x v="8"/>
    <x v="6"/>
    <x v="133"/>
    <x v="30"/>
    <x v="1"/>
    <x v="0"/>
    <n v="0.22935326051082283"/>
    <n v="-0.25435329828790432"/>
    <n v="0.10399668008577614"/>
  </r>
  <r>
    <n v="938"/>
    <d v="2011-02-11T00:00:00"/>
    <x v="0"/>
    <n v="0"/>
    <x v="1"/>
    <x v="16"/>
    <b v="0"/>
    <n v="5"/>
    <n v="1"/>
    <x v="11"/>
    <n v="0.28789999999999999"/>
    <n v="0.28000000000000003"/>
    <x v="5"/>
    <x v="24"/>
    <x v="180"/>
    <x v="139"/>
    <x v="0"/>
    <x v="0"/>
    <n v="0.22935326051082283"/>
    <n v="-0.25435329828790432"/>
    <n v="0.10399668008577614"/>
  </r>
  <r>
    <n v="939"/>
    <d v="2011-02-11T00:00:00"/>
    <x v="0"/>
    <n v="0"/>
    <x v="1"/>
    <x v="17"/>
    <b v="0"/>
    <n v="5"/>
    <n v="1"/>
    <x v="11"/>
    <n v="0.33329999999999999"/>
    <n v="0.24"/>
    <x v="0"/>
    <x v="25"/>
    <x v="181"/>
    <x v="189"/>
    <x v="0"/>
    <x v="0"/>
    <n v="0.22935326051082283"/>
    <n v="-0.25435329828790432"/>
    <n v="0.10399668008577614"/>
  </r>
  <r>
    <n v="940"/>
    <d v="2011-02-11T00:00:00"/>
    <x v="0"/>
    <n v="0"/>
    <x v="1"/>
    <x v="18"/>
    <b v="0"/>
    <n v="5"/>
    <n v="1"/>
    <x v="17"/>
    <n v="0.31819999999999998"/>
    <n v="0.28000000000000003"/>
    <x v="0"/>
    <x v="14"/>
    <x v="158"/>
    <x v="177"/>
    <x v="1"/>
    <x v="0"/>
    <n v="0.22935326051082283"/>
    <n v="-0.25435329828790432"/>
    <n v="0.10399668008577614"/>
  </r>
  <r>
    <n v="941"/>
    <d v="2011-02-11T00:00:00"/>
    <x v="0"/>
    <n v="0"/>
    <x v="1"/>
    <x v="19"/>
    <b v="0"/>
    <n v="5"/>
    <n v="1"/>
    <x v="12"/>
    <n v="0.30299999999999999"/>
    <n v="0.33"/>
    <x v="0"/>
    <x v="18"/>
    <x v="111"/>
    <x v="129"/>
    <x v="1"/>
    <x v="0"/>
    <n v="0.22935326051082283"/>
    <n v="-0.25435329828790432"/>
    <n v="0.10399668008577614"/>
  </r>
  <r>
    <n v="942"/>
    <d v="2011-02-11T00:00:00"/>
    <x v="0"/>
    <n v="0"/>
    <x v="1"/>
    <x v="20"/>
    <b v="0"/>
    <n v="5"/>
    <n v="1"/>
    <x v="1"/>
    <n v="0.2273"/>
    <n v="0.55000000000000004"/>
    <x v="7"/>
    <x v="4"/>
    <x v="124"/>
    <x v="55"/>
    <x v="1"/>
    <x v="0"/>
    <n v="0.22935326051082283"/>
    <n v="-0.25435329828790432"/>
    <n v="0.10399668008577614"/>
  </r>
  <r>
    <n v="943"/>
    <d v="2011-02-11T00:00:00"/>
    <x v="0"/>
    <n v="0"/>
    <x v="1"/>
    <x v="21"/>
    <b v="0"/>
    <n v="5"/>
    <n v="1"/>
    <x v="2"/>
    <n v="0.21210000000000001"/>
    <n v="0.59"/>
    <x v="7"/>
    <x v="5"/>
    <x v="24"/>
    <x v="105"/>
    <x v="1"/>
    <x v="0"/>
    <n v="0.22935326051082283"/>
    <n v="-0.25435329828790432"/>
    <n v="0.10399668008577614"/>
  </r>
  <r>
    <n v="944"/>
    <d v="2011-02-11T00:00:00"/>
    <x v="0"/>
    <n v="0"/>
    <x v="1"/>
    <x v="22"/>
    <b v="0"/>
    <n v="5"/>
    <n v="1"/>
    <x v="2"/>
    <n v="0.2273"/>
    <n v="0.64"/>
    <x v="1"/>
    <x v="4"/>
    <x v="40"/>
    <x v="74"/>
    <x v="1"/>
    <x v="0"/>
    <n v="0.22935326051082283"/>
    <n v="-0.25435329828790432"/>
    <n v="0.10399668008577614"/>
  </r>
  <r>
    <n v="945"/>
    <d v="2011-02-11T00:00:00"/>
    <x v="0"/>
    <n v="0"/>
    <x v="1"/>
    <x v="23"/>
    <b v="0"/>
    <n v="5"/>
    <n v="1"/>
    <x v="15"/>
    <n v="0.2424"/>
    <n v="0.69"/>
    <x v="0"/>
    <x v="2"/>
    <x v="41"/>
    <x v="26"/>
    <x v="0"/>
    <x v="0"/>
    <n v="0.22935326051082283"/>
    <n v="-0.25435329828790432"/>
    <n v="0.10399668008577614"/>
  </r>
  <r>
    <n v="946"/>
    <d v="2011-02-12T00:00:00"/>
    <x v="0"/>
    <n v="0"/>
    <x v="1"/>
    <x v="0"/>
    <b v="0"/>
    <n v="6"/>
    <n v="1"/>
    <x v="13"/>
    <n v="0.19700000000000001"/>
    <n v="0.69"/>
    <x v="1"/>
    <x v="0"/>
    <x v="2"/>
    <x v="33"/>
    <x v="0"/>
    <x v="0"/>
    <n v="0.22935326051082283"/>
    <n v="-0.25435329828790432"/>
    <n v="0.10399668008577614"/>
  </r>
  <r>
    <n v="947"/>
    <d v="2011-02-12T00:00:00"/>
    <x v="0"/>
    <n v="0"/>
    <x v="1"/>
    <x v="1"/>
    <b v="0"/>
    <n v="6"/>
    <n v="1"/>
    <x v="14"/>
    <n v="0.21210000000000001"/>
    <n v="0.86"/>
    <x v="0"/>
    <x v="4"/>
    <x v="97"/>
    <x v="108"/>
    <x v="1"/>
    <x v="0"/>
    <n v="0.22935326051082283"/>
    <n v="-0.25435329828790432"/>
    <n v="0.10399668008577614"/>
  </r>
  <r>
    <n v="948"/>
    <d v="2011-02-12T00:00:00"/>
    <x v="0"/>
    <n v="0"/>
    <x v="1"/>
    <x v="2"/>
    <b v="0"/>
    <n v="6"/>
    <n v="1"/>
    <x v="14"/>
    <n v="0.21210000000000001"/>
    <n v="0.8"/>
    <x v="0"/>
    <x v="4"/>
    <x v="0"/>
    <x v="93"/>
    <x v="1"/>
    <x v="0"/>
    <n v="0.22935326051082283"/>
    <n v="-0.25435329828790432"/>
    <n v="0.10399668008577614"/>
  </r>
  <r>
    <n v="949"/>
    <d v="2011-02-12T00:00:00"/>
    <x v="0"/>
    <n v="0"/>
    <x v="1"/>
    <x v="3"/>
    <b v="0"/>
    <n v="6"/>
    <n v="1"/>
    <x v="16"/>
    <n v="0.19700000000000001"/>
    <n v="0.8"/>
    <x v="0"/>
    <x v="0"/>
    <x v="7"/>
    <x v="98"/>
    <x v="1"/>
    <x v="0"/>
    <n v="0.22935326051082283"/>
    <n v="-0.25435329828790432"/>
    <n v="0.10399668008577614"/>
  </r>
  <r>
    <n v="950"/>
    <d v="2011-02-12T00:00:00"/>
    <x v="0"/>
    <n v="0"/>
    <x v="1"/>
    <x v="4"/>
    <b v="0"/>
    <n v="6"/>
    <n v="1"/>
    <x v="16"/>
    <n v="0.16669999999999999"/>
    <n v="0.74"/>
    <x v="1"/>
    <x v="3"/>
    <x v="22"/>
    <x v="48"/>
    <x v="1"/>
    <x v="0"/>
    <n v="0.22935326051082283"/>
    <n v="-0.25435329828790432"/>
    <n v="0.10399668008577614"/>
  </r>
  <r>
    <n v="951"/>
    <d v="2011-02-12T00:00:00"/>
    <x v="0"/>
    <n v="0"/>
    <x v="1"/>
    <x v="5"/>
    <b v="0"/>
    <n v="6"/>
    <n v="1"/>
    <x v="16"/>
    <n v="0.16669999999999999"/>
    <n v="0.74"/>
    <x v="1"/>
    <x v="3"/>
    <x v="4"/>
    <x v="4"/>
    <x v="1"/>
    <x v="0"/>
    <n v="0.22935326051082283"/>
    <n v="-0.25435329828790432"/>
    <n v="0.10399668008577614"/>
  </r>
  <r>
    <n v="952"/>
    <d v="2011-02-12T00:00:00"/>
    <x v="0"/>
    <n v="0"/>
    <x v="1"/>
    <x v="6"/>
    <b v="0"/>
    <n v="6"/>
    <n v="1"/>
    <x v="16"/>
    <n v="0.13639999999999999"/>
    <n v="0.93"/>
    <x v="5"/>
    <x v="5"/>
    <x v="4"/>
    <x v="5"/>
    <x v="0"/>
    <x v="0"/>
    <n v="0.22935326051082283"/>
    <n v="-0.25435329828790432"/>
    <n v="0.10399668008577614"/>
  </r>
  <r>
    <n v="953"/>
    <d v="2011-02-12T00:00:00"/>
    <x v="0"/>
    <n v="0"/>
    <x v="1"/>
    <x v="7"/>
    <b v="0"/>
    <n v="6"/>
    <n v="1"/>
    <x v="16"/>
    <n v="0.1515"/>
    <n v="0.8"/>
    <x v="14"/>
    <x v="4"/>
    <x v="33"/>
    <x v="62"/>
    <x v="0"/>
    <x v="0"/>
    <n v="0.22935326051082283"/>
    <n v="-0.25435329828790432"/>
    <n v="0.10399668008577614"/>
  </r>
  <r>
    <n v="954"/>
    <d v="2011-02-12T00:00:00"/>
    <x v="0"/>
    <n v="0"/>
    <x v="1"/>
    <x v="8"/>
    <b v="0"/>
    <n v="6"/>
    <n v="1"/>
    <x v="14"/>
    <n v="0.1515"/>
    <n v="0.86"/>
    <x v="7"/>
    <x v="4"/>
    <x v="95"/>
    <x v="33"/>
    <x v="1"/>
    <x v="0"/>
    <n v="0.22935326051082283"/>
    <n v="-0.25435329828790432"/>
    <n v="0.10399668008577614"/>
  </r>
  <r>
    <n v="955"/>
    <d v="2011-02-12T00:00:00"/>
    <x v="0"/>
    <n v="0"/>
    <x v="1"/>
    <x v="9"/>
    <b v="0"/>
    <n v="6"/>
    <n v="1"/>
    <x v="13"/>
    <n v="0.18179999999999999"/>
    <n v="0.64"/>
    <x v="7"/>
    <x v="2"/>
    <x v="101"/>
    <x v="74"/>
    <x v="1"/>
    <x v="0"/>
    <n v="0.22935326051082283"/>
    <n v="-0.25435329828790432"/>
    <n v="0.10399668008577614"/>
  </r>
  <r>
    <n v="956"/>
    <d v="2011-02-12T00:00:00"/>
    <x v="0"/>
    <n v="0"/>
    <x v="1"/>
    <x v="10"/>
    <b v="0"/>
    <n v="6"/>
    <n v="1"/>
    <x v="1"/>
    <n v="0.21210000000000001"/>
    <n v="0.41"/>
    <x v="2"/>
    <x v="23"/>
    <x v="13"/>
    <x v="11"/>
    <x v="1"/>
    <x v="0"/>
    <n v="0.22935326051082283"/>
    <n v="-0.25435329828790432"/>
    <n v="0.10399668008577614"/>
  </r>
  <r>
    <n v="957"/>
    <d v="2011-02-12T00:00:00"/>
    <x v="0"/>
    <n v="0"/>
    <x v="1"/>
    <x v="11"/>
    <b v="0"/>
    <n v="6"/>
    <n v="1"/>
    <x v="11"/>
    <n v="0.2727"/>
    <n v="0.28000000000000003"/>
    <x v="9"/>
    <x v="36"/>
    <x v="151"/>
    <x v="181"/>
    <x v="1"/>
    <x v="0"/>
    <n v="0.22935326051082283"/>
    <n v="-0.25435329828790432"/>
    <n v="0.10399668008577614"/>
  </r>
  <r>
    <n v="958"/>
    <d v="2011-02-12T00:00:00"/>
    <x v="0"/>
    <n v="0"/>
    <x v="1"/>
    <x v="12"/>
    <b v="0"/>
    <n v="6"/>
    <n v="1"/>
    <x v="11"/>
    <n v="0.2727"/>
    <n v="0.39"/>
    <x v="17"/>
    <x v="37"/>
    <x v="139"/>
    <x v="151"/>
    <x v="1"/>
    <x v="0"/>
    <n v="0.22935326051082283"/>
    <n v="-0.25435329828790432"/>
    <n v="0.10399668008577614"/>
  </r>
  <r>
    <n v="959"/>
    <d v="2011-02-12T00:00:00"/>
    <x v="0"/>
    <n v="0"/>
    <x v="1"/>
    <x v="13"/>
    <b v="0"/>
    <n v="6"/>
    <n v="1"/>
    <x v="11"/>
    <n v="0.2727"/>
    <n v="0.39"/>
    <x v="12"/>
    <x v="38"/>
    <x v="145"/>
    <x v="169"/>
    <x v="0"/>
    <x v="0"/>
    <n v="0.22935326051082283"/>
    <n v="-0.25435329828790432"/>
    <n v="0.10399668008577614"/>
  </r>
  <r>
    <n v="960"/>
    <d v="2011-02-12T00:00:00"/>
    <x v="0"/>
    <n v="0"/>
    <x v="1"/>
    <x v="14"/>
    <b v="0"/>
    <n v="6"/>
    <n v="1"/>
    <x v="10"/>
    <n v="0.31819999999999998"/>
    <n v="0.31"/>
    <x v="3"/>
    <x v="36"/>
    <x v="92"/>
    <x v="151"/>
    <x v="0"/>
    <x v="0"/>
    <n v="0.22935326051082283"/>
    <n v="-0.25435329828790432"/>
    <n v="0.10399668008577614"/>
  </r>
  <r>
    <n v="961"/>
    <d v="2011-02-12T00:00:00"/>
    <x v="0"/>
    <n v="0"/>
    <x v="1"/>
    <x v="15"/>
    <b v="0"/>
    <n v="6"/>
    <n v="1"/>
    <x v="10"/>
    <n v="0.30299999999999999"/>
    <n v="0.28999999999999998"/>
    <x v="12"/>
    <x v="9"/>
    <x v="69"/>
    <x v="177"/>
    <x v="1"/>
    <x v="0"/>
    <n v="0.22935326051082283"/>
    <n v="-0.25435329828790432"/>
    <n v="0.10399668008577614"/>
  </r>
  <r>
    <n v="962"/>
    <d v="2011-02-12T00:00:00"/>
    <x v="0"/>
    <n v="0"/>
    <x v="1"/>
    <x v="16"/>
    <b v="0"/>
    <n v="6"/>
    <n v="1"/>
    <x v="10"/>
    <n v="0.30299999999999999"/>
    <n v="0.28999999999999998"/>
    <x v="12"/>
    <x v="35"/>
    <x v="145"/>
    <x v="190"/>
    <x v="1"/>
    <x v="0"/>
    <n v="0.22935326051082283"/>
    <n v="-0.25435329828790432"/>
    <n v="0.10399668008577614"/>
  </r>
  <r>
    <n v="963"/>
    <d v="2011-02-12T00:00:00"/>
    <x v="0"/>
    <n v="0"/>
    <x v="1"/>
    <x v="17"/>
    <b v="0"/>
    <n v="6"/>
    <n v="1"/>
    <x v="3"/>
    <n v="0.28789999999999999"/>
    <n v="0.31"/>
    <x v="18"/>
    <x v="31"/>
    <x v="182"/>
    <x v="120"/>
    <x v="1"/>
    <x v="0"/>
    <n v="0.22935326051082283"/>
    <n v="-0.25435329828790432"/>
    <n v="0.10399668008577614"/>
  </r>
  <r>
    <n v="964"/>
    <d v="2011-02-12T00:00:00"/>
    <x v="0"/>
    <n v="0"/>
    <x v="1"/>
    <x v="18"/>
    <b v="0"/>
    <n v="6"/>
    <n v="1"/>
    <x v="17"/>
    <n v="0.2576"/>
    <n v="0.38"/>
    <x v="9"/>
    <x v="17"/>
    <x v="91"/>
    <x v="37"/>
    <x v="1"/>
    <x v="0"/>
    <n v="0.22935326051082283"/>
    <n v="-0.25435329828790432"/>
    <n v="0.10399668008577614"/>
  </r>
  <r>
    <n v="965"/>
    <d v="2011-02-12T00:00:00"/>
    <x v="0"/>
    <n v="0"/>
    <x v="1"/>
    <x v="19"/>
    <b v="0"/>
    <n v="6"/>
    <n v="1"/>
    <x v="17"/>
    <n v="0.2727"/>
    <n v="0.38"/>
    <x v="8"/>
    <x v="4"/>
    <x v="87"/>
    <x v="102"/>
    <x v="1"/>
    <x v="0"/>
    <n v="0.22935326051082283"/>
    <n v="-0.25435329828790432"/>
    <n v="0.10399668008577614"/>
  </r>
  <r>
    <n v="966"/>
    <d v="2011-02-12T00:00:00"/>
    <x v="0"/>
    <n v="0"/>
    <x v="1"/>
    <x v="20"/>
    <b v="0"/>
    <n v="6"/>
    <n v="1"/>
    <x v="12"/>
    <n v="0.2576"/>
    <n v="0.41"/>
    <x v="6"/>
    <x v="5"/>
    <x v="87"/>
    <x v="1"/>
    <x v="0"/>
    <x v="0"/>
    <n v="0.22935326051082283"/>
    <n v="-0.25435329828790432"/>
    <n v="0.10399668008577614"/>
  </r>
  <r>
    <n v="967"/>
    <d v="2011-02-12T00:00:00"/>
    <x v="0"/>
    <n v="0"/>
    <x v="1"/>
    <x v="21"/>
    <b v="0"/>
    <n v="6"/>
    <n v="1"/>
    <x v="12"/>
    <n v="0.30299999999999999"/>
    <n v="0.41"/>
    <x v="0"/>
    <x v="14"/>
    <x v="76"/>
    <x v="41"/>
    <x v="0"/>
    <x v="0"/>
    <n v="0.22935326051082283"/>
    <n v="-0.25435329828790432"/>
    <n v="0.10399668008577614"/>
  </r>
  <r>
    <n v="968"/>
    <d v="2011-02-12T00:00:00"/>
    <x v="0"/>
    <n v="0"/>
    <x v="1"/>
    <x v="22"/>
    <b v="0"/>
    <n v="6"/>
    <n v="1"/>
    <x v="0"/>
    <n v="0.2576"/>
    <n v="0.44"/>
    <x v="1"/>
    <x v="15"/>
    <x v="87"/>
    <x v="79"/>
    <x v="1"/>
    <x v="0"/>
    <n v="0.22935326051082283"/>
    <n v="-0.25435329828790432"/>
    <n v="0.10399668008577614"/>
  </r>
  <r>
    <n v="969"/>
    <d v="2011-02-12T00:00:00"/>
    <x v="0"/>
    <n v="0"/>
    <x v="1"/>
    <x v="23"/>
    <b v="0"/>
    <n v="6"/>
    <n v="1"/>
    <x v="1"/>
    <n v="0.2273"/>
    <n v="0.51"/>
    <x v="7"/>
    <x v="5"/>
    <x v="17"/>
    <x v="2"/>
    <x v="1"/>
    <x v="0"/>
    <n v="0.22935326051082283"/>
    <n v="-0.25435329828790432"/>
    <n v="0.10399668008577614"/>
  </r>
  <r>
    <n v="970"/>
    <d v="2011-02-13T00:00:00"/>
    <x v="0"/>
    <n v="0"/>
    <x v="1"/>
    <x v="0"/>
    <b v="0"/>
    <n v="0"/>
    <n v="1"/>
    <x v="2"/>
    <n v="0.2273"/>
    <n v="0.64"/>
    <x v="14"/>
    <x v="2"/>
    <x v="60"/>
    <x v="21"/>
    <x v="1"/>
    <x v="0"/>
    <n v="0.22935326051082283"/>
    <n v="-0.25435329828790432"/>
    <n v="0.10399668008577614"/>
  </r>
  <r>
    <n v="971"/>
    <d v="2011-02-13T00:00:00"/>
    <x v="0"/>
    <n v="0"/>
    <x v="1"/>
    <x v="1"/>
    <b v="0"/>
    <n v="0"/>
    <n v="1"/>
    <x v="2"/>
    <n v="0.2273"/>
    <n v="0.59"/>
    <x v="1"/>
    <x v="5"/>
    <x v="140"/>
    <x v="108"/>
    <x v="1"/>
    <x v="0"/>
    <n v="0.22935326051082283"/>
    <n v="-0.25435329828790432"/>
    <n v="0.10399668008577614"/>
  </r>
  <r>
    <n v="972"/>
    <d v="2011-02-13T00:00:00"/>
    <x v="0"/>
    <n v="0"/>
    <x v="1"/>
    <x v="2"/>
    <b v="0"/>
    <n v="0"/>
    <n v="2"/>
    <x v="2"/>
    <n v="0.2273"/>
    <n v="0.75"/>
    <x v="1"/>
    <x v="5"/>
    <x v="23"/>
    <x v="25"/>
    <x v="1"/>
    <x v="1"/>
    <n v="0.22935326051082283"/>
    <n v="-0.25435329828790432"/>
    <n v="0.10399668008577614"/>
  </r>
  <r>
    <n v="973"/>
    <d v="2011-02-13T00:00:00"/>
    <x v="0"/>
    <n v="0"/>
    <x v="1"/>
    <x v="3"/>
    <b v="0"/>
    <n v="0"/>
    <n v="2"/>
    <x v="2"/>
    <n v="0.2273"/>
    <n v="0.69"/>
    <x v="14"/>
    <x v="17"/>
    <x v="21"/>
    <x v="47"/>
    <x v="0"/>
    <x v="1"/>
    <n v="0.22935326051082283"/>
    <n v="-0.25435329828790432"/>
    <n v="0.10399668008577614"/>
  </r>
  <r>
    <n v="974"/>
    <d v="2011-02-13T00:00:00"/>
    <x v="0"/>
    <n v="0"/>
    <x v="1"/>
    <x v="4"/>
    <b v="0"/>
    <n v="0"/>
    <n v="2"/>
    <x v="2"/>
    <n v="0.21210000000000001"/>
    <n v="0.69"/>
    <x v="8"/>
    <x v="3"/>
    <x v="6"/>
    <x v="5"/>
    <x v="0"/>
    <x v="1"/>
    <n v="0.22935326051082283"/>
    <n v="-0.25435329828790432"/>
    <n v="0.10399668008577614"/>
  </r>
  <r>
    <n v="975"/>
    <d v="2011-02-13T00:00:00"/>
    <x v="0"/>
    <n v="0"/>
    <x v="1"/>
    <x v="6"/>
    <b v="0"/>
    <n v="0"/>
    <n v="2"/>
    <x v="2"/>
    <n v="0.21210000000000001"/>
    <n v="0.69"/>
    <x v="7"/>
    <x v="4"/>
    <x v="35"/>
    <x v="36"/>
    <x v="1"/>
    <x v="1"/>
    <n v="0.22935326051082283"/>
    <n v="-0.25435329828790432"/>
    <n v="0.10399668008577614"/>
  </r>
  <r>
    <n v="976"/>
    <d v="2011-02-13T00:00:00"/>
    <x v="0"/>
    <n v="0"/>
    <x v="1"/>
    <x v="7"/>
    <b v="0"/>
    <n v="0"/>
    <n v="2"/>
    <x v="1"/>
    <n v="0.2727"/>
    <n v="0.55000000000000004"/>
    <x v="0"/>
    <x v="3"/>
    <x v="35"/>
    <x v="6"/>
    <x v="1"/>
    <x v="1"/>
    <n v="0.22935326051082283"/>
    <n v="-0.25435329828790432"/>
    <n v="0.10399668008577614"/>
  </r>
  <r>
    <n v="977"/>
    <d v="2011-02-13T00:00:00"/>
    <x v="0"/>
    <n v="0"/>
    <x v="1"/>
    <x v="8"/>
    <b v="0"/>
    <n v="0"/>
    <n v="2"/>
    <x v="1"/>
    <n v="0.2273"/>
    <n v="0.64"/>
    <x v="5"/>
    <x v="5"/>
    <x v="48"/>
    <x v="47"/>
    <x v="1"/>
    <x v="1"/>
    <n v="0.22935326051082283"/>
    <n v="-0.25435329828790432"/>
    <n v="0.10399668008577614"/>
  </r>
  <r>
    <n v="978"/>
    <d v="2011-02-13T00:00:00"/>
    <x v="0"/>
    <n v="0"/>
    <x v="1"/>
    <x v="9"/>
    <b v="0"/>
    <n v="0"/>
    <n v="2"/>
    <x v="0"/>
    <n v="0.2273"/>
    <n v="0.6"/>
    <x v="6"/>
    <x v="6"/>
    <x v="96"/>
    <x v="105"/>
    <x v="1"/>
    <x v="1"/>
    <n v="0.22935326051082283"/>
    <n v="-0.25435329828790432"/>
    <n v="0.10399668008577614"/>
  </r>
  <r>
    <n v="979"/>
    <d v="2011-02-13T00:00:00"/>
    <x v="0"/>
    <n v="0"/>
    <x v="1"/>
    <x v="10"/>
    <b v="0"/>
    <n v="0"/>
    <n v="1"/>
    <x v="11"/>
    <n v="0.2727"/>
    <n v="0.45"/>
    <x v="9"/>
    <x v="21"/>
    <x v="132"/>
    <x v="136"/>
    <x v="1"/>
    <x v="0"/>
    <n v="0.22935326051082283"/>
    <n v="-0.25435329828790432"/>
    <n v="0.10399668008577614"/>
  </r>
  <r>
    <n v="980"/>
    <d v="2011-02-13T00:00:00"/>
    <x v="0"/>
    <n v="0"/>
    <x v="1"/>
    <x v="11"/>
    <b v="0"/>
    <n v="0"/>
    <n v="1"/>
    <x v="3"/>
    <n v="0.28789999999999999"/>
    <n v="0.39"/>
    <x v="10"/>
    <x v="7"/>
    <x v="132"/>
    <x v="59"/>
    <x v="0"/>
    <x v="0"/>
    <n v="0.22935326051082283"/>
    <n v="-0.25435329828790432"/>
    <n v="0.10399668008577614"/>
  </r>
  <r>
    <n v="981"/>
    <d v="2011-02-13T00:00:00"/>
    <x v="0"/>
    <n v="0"/>
    <x v="1"/>
    <x v="12"/>
    <b v="0"/>
    <n v="0"/>
    <n v="1"/>
    <x v="5"/>
    <n v="0.31819999999999998"/>
    <n v="0.32"/>
    <x v="17"/>
    <x v="39"/>
    <x v="111"/>
    <x v="148"/>
    <x v="0"/>
    <x v="0"/>
    <n v="0.22935326051082283"/>
    <n v="-0.25435329828790432"/>
    <n v="0.10399668008577614"/>
  </r>
  <r>
    <n v="982"/>
    <d v="2011-02-13T00:00:00"/>
    <x v="0"/>
    <n v="0"/>
    <x v="1"/>
    <x v="13"/>
    <b v="0"/>
    <n v="0"/>
    <n v="1"/>
    <x v="4"/>
    <n v="0.39389999999999997"/>
    <n v="0.28999999999999998"/>
    <x v="11"/>
    <x v="40"/>
    <x v="50"/>
    <x v="38"/>
    <x v="1"/>
    <x v="0"/>
    <n v="0.22935326051082283"/>
    <n v="-0.25435329828790432"/>
    <n v="0.10399668008577614"/>
  </r>
  <r>
    <n v="983"/>
    <d v="2011-02-13T00:00:00"/>
    <x v="0"/>
    <n v="0"/>
    <x v="1"/>
    <x v="14"/>
    <b v="0"/>
    <n v="0"/>
    <n v="2"/>
    <x v="9"/>
    <n v="0.40910000000000002"/>
    <n v="0.3"/>
    <x v="12"/>
    <x v="41"/>
    <x v="59"/>
    <x v="143"/>
    <x v="1"/>
    <x v="1"/>
    <n v="0.22935326051082283"/>
    <n v="-0.25435329828790432"/>
    <n v="0.10399668008577614"/>
  </r>
  <r>
    <n v="984"/>
    <d v="2011-02-13T00:00:00"/>
    <x v="0"/>
    <n v="0"/>
    <x v="1"/>
    <x v="15"/>
    <b v="0"/>
    <n v="0"/>
    <n v="2"/>
    <x v="9"/>
    <n v="0.40910000000000002"/>
    <n v="0.3"/>
    <x v="4"/>
    <x v="11"/>
    <x v="183"/>
    <x v="123"/>
    <x v="1"/>
    <x v="1"/>
    <n v="0.22935326051082283"/>
    <n v="-0.25435329828790432"/>
    <n v="0.10399668008577614"/>
  </r>
  <r>
    <n v="985"/>
    <d v="2011-02-13T00:00:00"/>
    <x v="0"/>
    <n v="0"/>
    <x v="1"/>
    <x v="16"/>
    <b v="0"/>
    <n v="0"/>
    <n v="2"/>
    <x v="6"/>
    <n v="0.42420000000000002"/>
    <n v="0.28000000000000003"/>
    <x v="9"/>
    <x v="32"/>
    <x v="184"/>
    <x v="87"/>
    <x v="1"/>
    <x v="1"/>
    <n v="0.22935326051082283"/>
    <n v="-0.25435329828790432"/>
    <n v="0.10399668008577614"/>
  </r>
  <r>
    <n v="986"/>
    <d v="2011-02-13T00:00:00"/>
    <x v="0"/>
    <n v="0"/>
    <x v="1"/>
    <x v="17"/>
    <b v="0"/>
    <n v="0"/>
    <n v="1"/>
    <x v="6"/>
    <n v="0.42420000000000002"/>
    <n v="0.28000000000000003"/>
    <x v="9"/>
    <x v="36"/>
    <x v="73"/>
    <x v="139"/>
    <x v="1"/>
    <x v="0"/>
    <n v="0.22935326051082283"/>
    <n v="-0.25435329828790432"/>
    <n v="0.10399668008577614"/>
  </r>
  <r>
    <n v="987"/>
    <d v="2011-02-13T00:00:00"/>
    <x v="0"/>
    <n v="0"/>
    <x v="1"/>
    <x v="18"/>
    <b v="0"/>
    <n v="0"/>
    <n v="1"/>
    <x v="9"/>
    <n v="0.40910000000000002"/>
    <n v="0.32"/>
    <x v="4"/>
    <x v="26"/>
    <x v="78"/>
    <x v="76"/>
    <x v="0"/>
    <x v="0"/>
    <n v="0.22935326051082283"/>
    <n v="-0.25435329828790432"/>
    <n v="0.10399668008577614"/>
  </r>
  <r>
    <n v="988"/>
    <d v="2011-02-13T00:00:00"/>
    <x v="0"/>
    <n v="0"/>
    <x v="1"/>
    <x v="19"/>
    <b v="0"/>
    <n v="0"/>
    <n v="1"/>
    <x v="9"/>
    <n v="0.40910000000000002"/>
    <n v="0.35"/>
    <x v="3"/>
    <x v="16"/>
    <x v="54"/>
    <x v="42"/>
    <x v="0"/>
    <x v="0"/>
    <n v="0.22935326051082283"/>
    <n v="-0.25435329828790432"/>
    <n v="0.10399668008577614"/>
  </r>
  <r>
    <n v="989"/>
    <d v="2011-02-13T00:00:00"/>
    <x v="0"/>
    <n v="0"/>
    <x v="1"/>
    <x v="20"/>
    <b v="0"/>
    <n v="0"/>
    <n v="1"/>
    <x v="9"/>
    <n v="0.40910000000000002"/>
    <n v="0.35"/>
    <x v="9"/>
    <x v="13"/>
    <x v="1"/>
    <x v="105"/>
    <x v="1"/>
    <x v="0"/>
    <n v="0.22935326051082283"/>
    <n v="-0.25435329828790432"/>
    <n v="0.10399668008577614"/>
  </r>
  <r>
    <n v="990"/>
    <d v="2011-02-13T00:00:00"/>
    <x v="0"/>
    <n v="0"/>
    <x v="1"/>
    <x v="21"/>
    <b v="0"/>
    <n v="0"/>
    <n v="1"/>
    <x v="9"/>
    <n v="0.40910000000000002"/>
    <n v="0.35"/>
    <x v="11"/>
    <x v="15"/>
    <x v="108"/>
    <x v="41"/>
    <x v="1"/>
    <x v="0"/>
    <n v="0.22935326051082283"/>
    <n v="-0.25435329828790432"/>
    <n v="0.10399668008577614"/>
  </r>
  <r>
    <n v="991"/>
    <d v="2011-02-13T00:00:00"/>
    <x v="0"/>
    <n v="0"/>
    <x v="1"/>
    <x v="22"/>
    <b v="0"/>
    <n v="0"/>
    <n v="1"/>
    <x v="9"/>
    <n v="0.40910000000000002"/>
    <n v="0.35"/>
    <x v="4"/>
    <x v="2"/>
    <x v="17"/>
    <x v="9"/>
    <x v="1"/>
    <x v="0"/>
    <n v="0.22935326051082283"/>
    <n v="-0.25435329828790432"/>
    <n v="0.10399668008577614"/>
  </r>
  <r>
    <n v="992"/>
    <d v="2011-02-13T00:00:00"/>
    <x v="0"/>
    <n v="0"/>
    <x v="1"/>
    <x v="23"/>
    <b v="0"/>
    <n v="0"/>
    <n v="1"/>
    <x v="9"/>
    <n v="0.40910000000000002"/>
    <n v="0.35"/>
    <x v="11"/>
    <x v="0"/>
    <x v="2"/>
    <x v="33"/>
    <x v="1"/>
    <x v="0"/>
    <n v="0.22935326051082283"/>
    <n v="-0.25435329828790432"/>
    <n v="0.10399668008577614"/>
  </r>
  <r>
    <n v="993"/>
    <d v="2011-02-14T00:00:00"/>
    <x v="0"/>
    <n v="0"/>
    <x v="1"/>
    <x v="0"/>
    <b v="0"/>
    <n v="1"/>
    <n v="1"/>
    <x v="4"/>
    <n v="0.39389999999999997"/>
    <n v="0.37"/>
    <x v="11"/>
    <x v="0"/>
    <x v="21"/>
    <x v="62"/>
    <x v="1"/>
    <x v="0"/>
    <n v="0.22935326051082283"/>
    <n v="-0.25435329828790432"/>
    <n v="0.10399668008577614"/>
  </r>
  <r>
    <n v="994"/>
    <d v="2011-02-14T00:00:00"/>
    <x v="0"/>
    <n v="0"/>
    <x v="1"/>
    <x v="1"/>
    <b v="0"/>
    <n v="1"/>
    <n v="1"/>
    <x v="4"/>
    <n v="0.39389999999999997"/>
    <n v="0.37"/>
    <x v="11"/>
    <x v="5"/>
    <x v="8"/>
    <x v="85"/>
    <x v="0"/>
    <x v="0"/>
    <n v="0.22935326051082283"/>
    <n v="-0.25435329828790432"/>
    <n v="0.10399668008577614"/>
  </r>
  <r>
    <n v="995"/>
    <d v="2011-02-14T00:00:00"/>
    <x v="0"/>
    <n v="0"/>
    <x v="1"/>
    <x v="2"/>
    <b v="0"/>
    <n v="1"/>
    <n v="1"/>
    <x v="5"/>
    <n v="0.33329999999999999"/>
    <n v="0.4"/>
    <x v="4"/>
    <x v="3"/>
    <x v="6"/>
    <x v="5"/>
    <x v="0"/>
    <x v="0"/>
    <n v="0.22935326051082283"/>
    <n v="-0.25435329828790432"/>
    <n v="0.10399668008577614"/>
  </r>
  <r>
    <n v="996"/>
    <d v="2011-02-14T00:00:00"/>
    <x v="0"/>
    <n v="0"/>
    <x v="1"/>
    <x v="3"/>
    <b v="0"/>
    <n v="1"/>
    <n v="1"/>
    <x v="10"/>
    <n v="0.31819999999999998"/>
    <n v="0.46"/>
    <x v="6"/>
    <x v="5"/>
    <x v="4"/>
    <x v="5"/>
    <x v="1"/>
    <x v="0"/>
    <n v="0.22935326051082283"/>
    <n v="-0.25435329828790432"/>
    <n v="0.10399668008577614"/>
  </r>
  <r>
    <n v="997"/>
    <d v="2011-02-14T00:00:00"/>
    <x v="0"/>
    <n v="0"/>
    <x v="1"/>
    <x v="4"/>
    <b v="0"/>
    <n v="1"/>
    <n v="1"/>
    <x v="3"/>
    <n v="0.30299999999999999"/>
    <n v="0.53"/>
    <x v="3"/>
    <x v="3"/>
    <x v="6"/>
    <x v="5"/>
    <x v="1"/>
    <x v="0"/>
    <n v="0.22935326051082283"/>
    <n v="-0.25435329828790432"/>
    <n v="0.10399668008577614"/>
  </r>
  <r>
    <n v="998"/>
    <d v="2011-02-14T00:00:00"/>
    <x v="0"/>
    <n v="0"/>
    <x v="1"/>
    <x v="5"/>
    <b v="0"/>
    <n v="1"/>
    <n v="1"/>
    <x v="3"/>
    <n v="0.30299999999999999"/>
    <n v="0.53"/>
    <x v="3"/>
    <x v="3"/>
    <x v="35"/>
    <x v="6"/>
    <x v="1"/>
    <x v="0"/>
    <n v="0.22935326051082283"/>
    <n v="-0.25435329828790432"/>
    <n v="0.10399668008577614"/>
  </r>
  <r>
    <n v="999"/>
    <d v="2011-02-14T00:00:00"/>
    <x v="0"/>
    <n v="0"/>
    <x v="1"/>
    <x v="6"/>
    <b v="0"/>
    <n v="1"/>
    <n v="1"/>
    <x v="10"/>
    <n v="0.30299999999999999"/>
    <n v="0.46"/>
    <x v="4"/>
    <x v="5"/>
    <x v="18"/>
    <x v="132"/>
    <x v="1"/>
    <x v="0"/>
    <n v="0.22935326051082283"/>
    <n v="-0.25435329828790432"/>
    <n v="0.10399668008577614"/>
  </r>
  <r>
    <n v="1000"/>
    <d v="2011-02-14T00:00:00"/>
    <x v="0"/>
    <n v="0"/>
    <x v="1"/>
    <x v="7"/>
    <b v="0"/>
    <n v="1"/>
    <n v="1"/>
    <x v="10"/>
    <n v="0.30299999999999999"/>
    <n v="0.46"/>
    <x v="4"/>
    <x v="4"/>
    <x v="185"/>
    <x v="95"/>
    <x v="1"/>
    <x v="0"/>
    <n v="0.22935326051082283"/>
    <n v="-0.25435329828790432"/>
    <n v="0.103996680085776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3:B5" firstHeaderRow="1" firstDataRow="1" firstDataCol="1"/>
  <pivotFields count="21">
    <pivotField showAll="0"/>
    <pivotField numFmtId="14" showAll="0"/>
    <pivotField axis="axisRow" showAll="0">
      <items count="2">
        <item x="0"/>
        <item t="default"/>
      </items>
    </pivotField>
    <pivotField showAll="0"/>
    <pivotField showAll="0">
      <items count="3">
        <item h="1" x="0"/>
        <item x="1"/>
        <item t="default"/>
      </items>
    </pivotField>
    <pivotField showAll="0"/>
    <pivotField showAll="0"/>
    <pivotField showAll="0"/>
    <pivotField showAll="0"/>
    <pivotField showAll="0">
      <items count="25">
        <item x="22"/>
        <item x="21"/>
        <item x="20"/>
        <item x="19"/>
        <item x="18"/>
        <item x="16"/>
        <item x="14"/>
        <item x="13"/>
        <item x="15"/>
        <item x="2"/>
        <item x="1"/>
        <item x="0"/>
        <item x="12"/>
        <item x="17"/>
        <item x="11"/>
        <item x="3"/>
        <item x="10"/>
        <item x="5"/>
        <item x="4"/>
        <item x="9"/>
        <item x="6"/>
        <item x="8"/>
        <item x="7"/>
        <item x="23"/>
        <item t="default"/>
      </items>
    </pivotField>
    <pivotField showAll="0"/>
    <pivotField showAll="0"/>
    <pivotField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items count="3">
        <item x="1"/>
        <item x="0"/>
        <item t="default"/>
      </items>
    </pivotField>
    <pivotField showAll="0">
      <items count="5">
        <item x="0"/>
        <item x="3"/>
        <item x="2"/>
        <item x="1"/>
        <item t="default"/>
      </items>
    </pivotField>
    <pivotField showAll="0"/>
    <pivotField showAll="0"/>
    <pivotField showAll="0"/>
  </pivotFields>
  <rowFields count="1">
    <field x="2"/>
  </rowFields>
  <rowItems count="2">
    <i>
      <x/>
    </i>
    <i t="grand">
      <x/>
    </i>
  </rowItems>
  <colItems count="1">
    <i/>
  </colItems>
  <dataFields count="1">
    <dataField name="Sum of cnt" fld="15"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9">
  <location ref="A3:B28" firstHeaderRow="1" firstDataRow="1" firstDataCol="1"/>
  <pivotFields count="21">
    <pivotField showAll="0"/>
    <pivotField numFmtId="14" showAll="0"/>
    <pivotField showAll="0">
      <items count="2">
        <item x="0"/>
        <item t="default"/>
      </items>
    </pivotField>
    <pivotField showAll="0"/>
    <pivotField showAll="0">
      <items count="3">
        <item h="1" x="0"/>
        <item x="1"/>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items count="5">
        <item x="0"/>
        <item x="3"/>
        <item x="2"/>
        <item x="1"/>
        <item t="default"/>
      </items>
    </pivotField>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cnt" fld="15" subtotal="average"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A3:B7" firstHeaderRow="1" firstDataRow="1" firstDataCol="1"/>
  <pivotFields count="21">
    <pivotField showAll="0"/>
    <pivotField numFmtId="14" showAll="0"/>
    <pivotField showAll="0">
      <items count="2">
        <item x="0"/>
        <item t="default"/>
      </items>
    </pivotField>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axis="axisRow" showAll="0">
      <items count="5">
        <item x="0"/>
        <item x="3"/>
        <item x="2"/>
        <item x="1"/>
        <item t="default"/>
      </items>
    </pivotField>
    <pivotField showAll="0"/>
    <pivotField showAll="0"/>
    <pivotField showAll="0"/>
  </pivotFields>
  <rowFields count="1">
    <field x="17"/>
  </rowFields>
  <rowItems count="4">
    <i>
      <x/>
    </i>
    <i>
      <x v="2"/>
    </i>
    <i>
      <x v="3"/>
    </i>
    <i t="grand">
      <x/>
    </i>
  </rowItems>
  <colItems count="1">
    <i/>
  </colItems>
  <dataFields count="1">
    <dataField name="Sum of cnt" fld="15"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3"/>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7" count="1" selected="0">
            <x v="0"/>
          </reference>
        </references>
      </pivotArea>
    </chartFormat>
    <chartFormat chart="2" format="7">
      <pivotArea type="data" outline="0" fieldPosition="0">
        <references count="2">
          <reference field="4294967294" count="1" selected="0">
            <x v="0"/>
          </reference>
          <reference field="17" count="1" selected="0">
            <x v="2"/>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3:B6" firstHeaderRow="1" firstDataRow="1" firstDataCol="1"/>
  <pivotFields count="21">
    <pivotField showAll="0"/>
    <pivotField numFmtId="14" showAll="0"/>
    <pivotField showAll="0">
      <items count="2">
        <item x="0"/>
        <item t="default"/>
      </items>
    </pivotField>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 showAll="0">
      <items count="5">
        <item x="0"/>
        <item x="3"/>
        <item x="2"/>
        <item x="1"/>
        <item t="default"/>
      </items>
    </pivotField>
    <pivotField showAll="0"/>
    <pivotField showAll="0"/>
    <pivotField showAll="0"/>
  </pivotFields>
  <rowFields count="1">
    <field x="16"/>
  </rowFields>
  <rowItems count="3">
    <i>
      <x/>
    </i>
    <i>
      <x v="1"/>
    </i>
    <i t="grand">
      <x/>
    </i>
  </rowItems>
  <colItems count="1">
    <i/>
  </colItems>
  <dataFields count="1">
    <dataField name="Average of cnt" fld="15" subtotal="average" baseField="16"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A3:C5" firstHeaderRow="0" firstDataRow="1" firstDataCol="1"/>
  <pivotFields count="21">
    <pivotField showAll="0"/>
    <pivotField numFmtId="14" showAll="0"/>
    <pivotField showAll="0">
      <items count="2">
        <item x="0"/>
        <item t="default"/>
      </items>
    </pivotField>
    <pivotField showAll="0"/>
    <pivotField axis="axisRow" showAll="0">
      <items count="3">
        <item h="1" x="0"/>
        <item x="1"/>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items count="3">
        <item x="1"/>
        <item x="0"/>
        <item t="default"/>
      </items>
    </pivotField>
    <pivotField showAll="0">
      <items count="5">
        <item x="0"/>
        <item x="3"/>
        <item x="2"/>
        <item x="1"/>
        <item t="default"/>
      </items>
    </pivotField>
    <pivotField showAll="0"/>
    <pivotField showAll="0"/>
    <pivotField showAll="0"/>
  </pivotFields>
  <rowFields count="1">
    <field x="4"/>
  </rowFields>
  <rowItems count="2">
    <i>
      <x v="1"/>
    </i>
    <i t="grand">
      <x/>
    </i>
  </rowItems>
  <colFields count="1">
    <field x="-2"/>
  </colFields>
  <colItems count="2">
    <i>
      <x/>
    </i>
    <i i="1">
      <x v="1"/>
    </i>
  </colItems>
  <dataFields count="2">
    <dataField name="Sum of casual" fld="13" baseField="4" baseItem="0"/>
    <dataField name="Sum of registered" fld="14" baseField="4"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A3:B23" firstHeaderRow="1" firstDataRow="1" firstDataCol="1"/>
  <pivotFields count="21">
    <pivotField showAll="0"/>
    <pivotField numFmtId="14" showAll="0"/>
    <pivotField showAll="0">
      <items count="2">
        <item x="0"/>
        <item t="default"/>
      </items>
    </pivotField>
    <pivotField showAll="0"/>
    <pivotField showAll="0">
      <items count="3">
        <item h="1" x="0"/>
        <item x="1"/>
        <item t="default"/>
      </items>
    </pivotField>
    <pivotField showAll="0"/>
    <pivotField showAll="0"/>
    <pivotField showAll="0"/>
    <pivotField showAll="0"/>
    <pivotField axis="axisRow" showAll="0">
      <items count="25">
        <item x="22"/>
        <item x="21"/>
        <item x="20"/>
        <item x="19"/>
        <item x="18"/>
        <item x="16"/>
        <item x="14"/>
        <item x="13"/>
        <item x="15"/>
        <item x="2"/>
        <item x="1"/>
        <item x="0"/>
        <item x="12"/>
        <item x="17"/>
        <item x="11"/>
        <item x="3"/>
        <item x="10"/>
        <item x="5"/>
        <item x="4"/>
        <item x="9"/>
        <item x="6"/>
        <item x="8"/>
        <item x="7"/>
        <item x="23"/>
        <item t="default"/>
      </items>
    </pivotField>
    <pivotField showAll="0"/>
    <pivotField showAll="0"/>
    <pivotField showAll="0"/>
    <pivotField showAll="0"/>
    <pivotField showAll="0"/>
    <pivotField dataField="1" showAll="0"/>
    <pivotField showAll="0">
      <items count="3">
        <item x="1"/>
        <item x="0"/>
        <item t="default"/>
      </items>
    </pivotField>
    <pivotField showAll="0">
      <items count="5">
        <item x="0"/>
        <item x="3"/>
        <item x="2"/>
        <item x="1"/>
        <item t="default"/>
      </items>
    </pivotField>
    <pivotField showAll="0"/>
    <pivotField showAll="0"/>
    <pivotField showAll="0"/>
  </pivotFields>
  <rowFields count="1">
    <field x="9"/>
  </rowFields>
  <rowItems count="20">
    <i>
      <x v="2"/>
    </i>
    <i>
      <x v="3"/>
    </i>
    <i>
      <x v="4"/>
    </i>
    <i>
      <x v="5"/>
    </i>
    <i>
      <x v="6"/>
    </i>
    <i>
      <x v="7"/>
    </i>
    <i>
      <x v="8"/>
    </i>
    <i>
      <x v="9"/>
    </i>
    <i>
      <x v="10"/>
    </i>
    <i>
      <x v="11"/>
    </i>
    <i>
      <x v="12"/>
    </i>
    <i>
      <x v="13"/>
    </i>
    <i>
      <x v="14"/>
    </i>
    <i>
      <x v="15"/>
    </i>
    <i>
      <x v="16"/>
    </i>
    <i>
      <x v="17"/>
    </i>
    <i>
      <x v="18"/>
    </i>
    <i>
      <x v="19"/>
    </i>
    <i>
      <x v="20"/>
    </i>
    <i t="grand">
      <x/>
    </i>
  </rowItems>
  <colItems count="1">
    <i/>
  </colItems>
  <dataFields count="1">
    <dataField name="Sum of cnt" fld="15" baseField="0" baseItem="0"/>
  </dataFields>
  <chartFormats count="2">
    <chartFormat chart="0"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2" xr10:uid="{00000000-0013-0000-FFFF-FFFF01000000}" sourceName="weekday 2">
  <pivotTables>
    <pivotTable tabId="6" name="PivotTable5"/>
    <pivotTable tabId="2" name="PivotTable1"/>
    <pivotTable tabId="10" name="PivotTable1"/>
    <pivotTable tabId="5" name="PivotTable4"/>
    <pivotTable tabId="3" name="PivotTable2"/>
    <pivotTable tabId="4" name="PivotTable3"/>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_2" xr10:uid="{00000000-0013-0000-FFFF-FFFF02000000}" sourceName="weathersit 2">
  <pivotTables>
    <pivotTable tabId="6" name="PivotTable5"/>
    <pivotTable tabId="2" name="PivotTable1"/>
    <pivotTable tabId="10" name="PivotTable1"/>
    <pivotTable tabId="5" name="PivotTable4"/>
    <pivotTable tabId="3" name="PivotTable2"/>
    <pivotTable tabId="4" name="PivotTable3"/>
  </pivotTables>
  <data>
    <tabular pivotCacheId="1">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3000000}" sourceName="season">
  <pivotTables>
    <pivotTable tabId="6" name="PivotTable5"/>
    <pivotTable tabId="2" name="PivotTable1"/>
    <pivotTable tabId="10" name="PivotTable1"/>
    <pivotTable tabId="5" name="PivotTable4"/>
    <pivotTable tabId="3" name="PivotTable2"/>
    <pivotTable tabId="4" name="PivotTable3"/>
  </pivotTables>
  <data>
    <tabular pivotCacheId="1">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 xr10:uid="{00000000-0013-0000-FFFF-FFFF04000000}" sourceName="mnth">
  <pivotTables>
    <pivotTable tabId="6" name="PivotTable5"/>
    <pivotTable tabId="2" name="PivotTable1"/>
    <pivotTable tabId="10" name="PivotTable1"/>
    <pivotTable tabId="5" name="PivotTable4"/>
    <pivotTable tabId="3" name="PivotTable2"/>
    <pivotTable tabId="4" name="PivotTable3"/>
  </pivotTables>
  <data>
    <tabular pivotCacheId="1">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2" xr10:uid="{00000000-0014-0000-FFFF-FFFF01000000}" cache="Slicer_weekday_2" caption="                        Weekday " columnCount="2" rowHeight="241300"/>
  <slicer name="weathersit 2" xr10:uid="{00000000-0014-0000-FFFF-FFFF02000000}" cache="Slicer_weathersit_2" caption="                                  weathersit " columnCount="4" rowHeight="241300"/>
  <slicer name="season" xr10:uid="{00000000-0014-0000-FFFF-FFFF03000000}" cache="Slicer_season" caption="                           Season" rowHeight="241300"/>
  <slicer name="mnth" xr10:uid="{00000000-0014-0000-FFFF-FFFF04000000}" cache="Slicer_mnth" caption="                               Month"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3" xr10:uid="{00000000-0014-0000-FFFF-FFFF05000000}" cache="Slicer_weekday_2" caption="                        Weekday " columnCount="2" rowHeight="241300"/>
  <slicer name="weathersit 3" xr10:uid="{00000000-0014-0000-FFFF-FFFF06000000}" cache="Slicer_weathersit_2" caption="                                  weathersit " columnCount="4" rowHeight="241300"/>
  <slicer name="season 1" xr10:uid="{00000000-0014-0000-FFFF-FFFF07000000}" cache="Slicer_season" caption="                           Season" rowHeight="241300"/>
  <slicer name="mnth 1" xr10:uid="{00000000-0014-0000-FFFF-FFFF08000000}" cache="Slicer_mnth" caption="                               Month"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L611" totalsRowShown="0" headerRowDxfId="39" dataDxfId="38">
  <autoFilter ref="A1:L611" xr:uid="{00000000-0009-0000-0100-000002000000}"/>
  <tableColumns count="12">
    <tableColumn id="1" xr3:uid="{00000000-0010-0000-0100-000001000000}" name="instant" dataDxfId="37"/>
    <tableColumn id="2" xr3:uid="{00000000-0010-0000-0100-000002000000}" name="dteday" dataDxfId="36"/>
    <tableColumn id="3" xr3:uid="{00000000-0010-0000-0100-000003000000}" name="season" dataDxfId="35"/>
    <tableColumn id="4" xr3:uid="{00000000-0010-0000-0100-000004000000}" name="yr" dataDxfId="34"/>
    <tableColumn id="5" xr3:uid="{00000000-0010-0000-0100-000005000000}" name="mnth" dataDxfId="33"/>
    <tableColumn id="6" xr3:uid="{00000000-0010-0000-0100-000006000000}" name="hr" dataDxfId="32"/>
    <tableColumn id="7" xr3:uid="{00000000-0010-0000-0100-000007000000}" name="holiday" dataDxfId="31"/>
    <tableColumn id="8" xr3:uid="{00000000-0010-0000-0100-000008000000}" name="weekday" dataDxfId="30"/>
    <tableColumn id="9" xr3:uid="{00000000-0010-0000-0100-000009000000}" name="weathersit" dataDxfId="29"/>
    <tableColumn id="10" xr3:uid="{00000000-0010-0000-0100-00000A000000}" name="temp" dataDxfId="28"/>
    <tableColumn id="11" xr3:uid="{00000000-0010-0000-0100-00000B000000}" name="weekday2" dataDxfId="27">
      <calculatedColumnFormula>CHOOSE(H2+1, "SUNDAY", "MONDAY","TUESDAY", "WENESDAY","THUSDAY", "FRIDAY", "SATARDAY")</calculatedColumnFormula>
    </tableColumn>
    <tableColumn id="12" xr3:uid="{00000000-0010-0000-0100-00000C000000}" name="wethersit 2" dataDxfId="26">
      <calculatedColumnFormula>IF(A2=1,"Clear",IF(A2=2,"Mist",IF(A2=3,"Light Rain/Snow","Heavy Rain")))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135" displayName="Table135" ref="A1:J611" totalsRowShown="0" headerRowDxfId="25" dataDxfId="24">
  <autoFilter ref="A1:J611" xr:uid="{00000000-0009-0000-0100-000004000000}"/>
  <tableColumns count="10">
    <tableColumn id="1" xr3:uid="{00000000-0010-0000-0200-000001000000}" name="instant" dataDxfId="23"/>
    <tableColumn id="2" xr3:uid="{00000000-0010-0000-0200-000002000000}" name="dteday" dataDxfId="22"/>
    <tableColumn id="3" xr3:uid="{00000000-0010-0000-0200-000003000000}" name="season" dataDxfId="21"/>
    <tableColumn id="4" xr3:uid="{00000000-0010-0000-0200-000004000000}" name="yr" dataDxfId="20"/>
    <tableColumn id="5" xr3:uid="{00000000-0010-0000-0200-000005000000}" name="mnth" dataDxfId="19"/>
    <tableColumn id="6" xr3:uid="{00000000-0010-0000-0200-000006000000}" name="hr" dataDxfId="18"/>
    <tableColumn id="7" xr3:uid="{00000000-0010-0000-0200-000007000000}" name="holiday" dataDxfId="17"/>
    <tableColumn id="8" xr3:uid="{00000000-0010-0000-0200-000008000000}" name="weekday" dataDxfId="16"/>
    <tableColumn id="9" xr3:uid="{00000000-0010-0000-0200-000009000000}" name="weathersit" dataDxfId="15"/>
    <tableColumn id="10" xr3:uid="{00000000-0010-0000-0200-00000A000000}" name="temp"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K1:R611" totalsRowShown="0" headerRowDxfId="13" dataDxfId="12">
  <autoFilter ref="K1:R611" xr:uid="{00000000-0009-0000-0100-000005000000}"/>
  <tableColumns count="8">
    <tableColumn id="1" xr3:uid="{00000000-0010-0000-0300-000001000000}" name="atemp" dataDxfId="11"/>
    <tableColumn id="2" xr3:uid="{00000000-0010-0000-0300-000002000000}" name="hum" dataDxfId="10"/>
    <tableColumn id="3" xr3:uid="{00000000-0010-0000-0300-000003000000}" name="windspeed" dataDxfId="9"/>
    <tableColumn id="4" xr3:uid="{00000000-0010-0000-0300-000004000000}" name="casual" dataDxfId="8"/>
    <tableColumn id="5" xr3:uid="{00000000-0010-0000-0300-000005000000}" name="registered" dataDxfId="7"/>
    <tableColumn id="6" xr3:uid="{00000000-0010-0000-0300-000006000000}" name="cnt" dataDxfId="6"/>
    <tableColumn id="7" xr3:uid="{00000000-0010-0000-0300-000007000000}" name="weekday2" dataDxfId="5">
      <calculatedColumnFormula>CHOOSE(H2+1, "SUNDAY", "MONDAY","TUESDAY", "WENESDAY","THUSDAY", "FRIDAY", "SATARDAY")</calculatedColumnFormula>
    </tableColumn>
    <tableColumn id="8" xr3:uid="{00000000-0010-0000-0300-000008000000}" name="wethersit 2" dataDxfId="4">
      <calculatedColumnFormula>IF(I2=1,"Clear",IF(I2=2,"Mist",IF(I2=3,"Light Rain/Snow","Heavy Rain")))</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1001" totalsRowShown="0">
  <autoFilter ref="A1:T1001" xr:uid="{00000000-0009-0000-0100-000001000000}"/>
  <tableColumns count="20">
    <tableColumn id="1" xr3:uid="{00000000-0010-0000-0000-000001000000}" name="instant"/>
    <tableColumn id="2" xr3:uid="{00000000-0010-0000-0000-000002000000}" name="dteday" dataDxfId="3"/>
    <tableColumn id="3" xr3:uid="{00000000-0010-0000-0000-000003000000}" name="season"/>
    <tableColumn id="4" xr3:uid="{00000000-0010-0000-0000-000004000000}" name="yr"/>
    <tableColumn id="5" xr3:uid="{00000000-0010-0000-0000-000005000000}" name="mnth"/>
    <tableColumn id="6" xr3:uid="{00000000-0010-0000-0000-000006000000}" name="hr"/>
    <tableColumn id="7" xr3:uid="{00000000-0010-0000-0000-000007000000}" name="holiday"/>
    <tableColumn id="8" xr3:uid="{00000000-0010-0000-0000-000008000000}" name="weekday"/>
    <tableColumn id="9" xr3:uid="{00000000-0010-0000-0000-000009000000}" name="weathersit"/>
    <tableColumn id="10" xr3:uid="{00000000-0010-0000-0000-00000A000000}" name="temp"/>
    <tableColumn id="11" xr3:uid="{00000000-0010-0000-0000-00000B000000}" name="atemp"/>
    <tableColumn id="12" xr3:uid="{00000000-0010-0000-0000-00000C000000}" name="hum"/>
    <tableColumn id="13" xr3:uid="{00000000-0010-0000-0000-00000D000000}" name="windspeed"/>
    <tableColumn id="14" xr3:uid="{00000000-0010-0000-0000-00000E000000}" name="casual"/>
    <tableColumn id="15" xr3:uid="{00000000-0010-0000-0000-00000F000000}" name="registered"/>
    <tableColumn id="16" xr3:uid="{00000000-0010-0000-0000-000010000000}" name="cnt"/>
    <tableColumn id="17" xr3:uid="{00000000-0010-0000-0000-000011000000}" name="weekday 2">
      <calculatedColumnFormula>IF(WEEKDAY(A2,2)&gt;5,"Weekend","Weekday")</calculatedColumnFormula>
    </tableColumn>
    <tableColumn id="18" xr3:uid="{00000000-0010-0000-0000-000012000000}" name="weathersit 2" dataDxfId="2">
      <calculatedColumnFormula>IF(I2=1, "Clear", IF(I2=2, "Mist/Cloudy", IF(I2=3, "Light Snow/Rain", "Heavy Rain")))</calculatedColumnFormula>
    </tableColumn>
    <tableColumn id="20" xr3:uid="{00000000-0010-0000-0000-000014000000}" name="Hum by Rental" dataDxfId="1">
      <calculatedColumnFormula>CORREL($L$2:$L$1001, $P$2:$P$1001)</calculatedColumnFormula>
    </tableColumn>
    <tableColumn id="21" xr3:uid="{00000000-0010-0000-0000-000015000000}" name="windspeed by rental" dataDxfId="0">
      <calculatedColumnFormula>CORREL($M$2:$M$1001, $P$2:$P$1001)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611"/>
  <sheetViews>
    <sheetView topLeftCell="B585" workbookViewId="0">
      <selection sqref="A1:L611"/>
    </sheetView>
  </sheetViews>
  <sheetFormatPr defaultRowHeight="15" x14ac:dyDescent="0.25"/>
  <cols>
    <col min="1" max="1" width="8.7109375" bestFit="1" customWidth="1"/>
    <col min="2" max="2" width="11" bestFit="1" customWidth="1"/>
    <col min="3" max="3" width="8.5703125" bestFit="1" customWidth="1"/>
    <col min="4" max="4" width="4.85546875" bestFit="1" customWidth="1"/>
    <col min="5" max="5" width="7.5703125" bestFit="1" customWidth="1"/>
    <col min="6" max="6" width="5" bestFit="1" customWidth="1"/>
    <col min="7" max="7" width="8.85546875" bestFit="1" customWidth="1"/>
    <col min="8" max="8" width="10.28515625" bestFit="1" customWidth="1"/>
    <col min="9" max="9" width="11.85546875" bestFit="1" customWidth="1"/>
    <col min="10" max="10" width="7.5703125" bestFit="1" customWidth="1"/>
    <col min="11" max="11" width="11.28515625" bestFit="1" customWidth="1"/>
    <col min="12" max="12" width="15.42578125" bestFit="1" customWidth="1"/>
  </cols>
  <sheetData>
    <row r="1" spans="1:12" x14ac:dyDescent="0.25">
      <c r="A1" s="7" t="s">
        <v>0</v>
      </c>
      <c r="B1" s="8" t="s">
        <v>1</v>
      </c>
      <c r="C1" s="7" t="s">
        <v>2</v>
      </c>
      <c r="D1" s="7" t="s">
        <v>3</v>
      </c>
      <c r="E1" s="7" t="s">
        <v>4</v>
      </c>
      <c r="F1" s="7" t="s">
        <v>5</v>
      </c>
      <c r="G1" s="7" t="s">
        <v>6</v>
      </c>
      <c r="H1" s="7" t="s">
        <v>7</v>
      </c>
      <c r="I1" s="7" t="s">
        <v>8</v>
      </c>
      <c r="J1" s="7" t="s">
        <v>9</v>
      </c>
      <c r="K1" s="7" t="s">
        <v>36</v>
      </c>
      <c r="L1" s="7" t="s">
        <v>37</v>
      </c>
    </row>
    <row r="2" spans="1:12" x14ac:dyDescent="0.25">
      <c r="A2" s="7">
        <v>1</v>
      </c>
      <c r="B2" s="8">
        <v>40544</v>
      </c>
      <c r="C2" s="7">
        <v>1</v>
      </c>
      <c r="D2" s="7">
        <v>0</v>
      </c>
      <c r="E2" s="7">
        <v>1</v>
      </c>
      <c r="F2" s="7">
        <v>0</v>
      </c>
      <c r="G2" s="7" t="b">
        <v>0</v>
      </c>
      <c r="H2" s="7">
        <v>6</v>
      </c>
      <c r="I2" s="7">
        <v>1</v>
      </c>
      <c r="J2" s="7">
        <v>0.24</v>
      </c>
      <c r="K2" s="7" t="str">
        <f t="shared" ref="K2:K65" si="0">CHOOSE(H2+1, "SUNDAY", "MONDAY","TUESDAY", "WENESDAY","THUSDAY", "FRIDAY", "SATARDAY")</f>
        <v>SATARDAY</v>
      </c>
      <c r="L2" t="str">
        <f t="shared" ref="L2:L65" si="1">IF(A2=1,"Clear",IF(A2=2,"Mist",IF(A2=3,"Light Rain/Snow","Heavy Rain")))</f>
        <v>Clear</v>
      </c>
    </row>
    <row r="3" spans="1:12" x14ac:dyDescent="0.25">
      <c r="A3" s="7">
        <v>2</v>
      </c>
      <c r="B3" s="8">
        <v>40544</v>
      </c>
      <c r="C3" s="7">
        <v>1</v>
      </c>
      <c r="D3" s="7">
        <v>0</v>
      </c>
      <c r="E3" s="7">
        <v>1</v>
      </c>
      <c r="F3" s="7">
        <v>1</v>
      </c>
      <c r="G3" s="7" t="b">
        <v>0</v>
      </c>
      <c r="H3" s="7">
        <v>6</v>
      </c>
      <c r="I3" s="7">
        <v>1</v>
      </c>
      <c r="J3" s="7">
        <v>0.22</v>
      </c>
      <c r="K3" s="7" t="str">
        <f t="shared" si="0"/>
        <v>SATARDAY</v>
      </c>
      <c r="L3" t="str">
        <f t="shared" si="1"/>
        <v>Mist</v>
      </c>
    </row>
    <row r="4" spans="1:12" x14ac:dyDescent="0.25">
      <c r="A4" s="7">
        <v>3</v>
      </c>
      <c r="B4" s="8">
        <v>40544</v>
      </c>
      <c r="C4" s="7">
        <v>1</v>
      </c>
      <c r="D4" s="7">
        <v>0</v>
      </c>
      <c r="E4" s="7">
        <v>1</v>
      </c>
      <c r="F4" s="7">
        <v>2</v>
      </c>
      <c r="G4" s="7" t="b">
        <v>0</v>
      </c>
      <c r="H4" s="7">
        <v>6</v>
      </c>
      <c r="I4" s="7">
        <v>1</v>
      </c>
      <c r="J4" s="7">
        <v>0.22</v>
      </c>
      <c r="K4" s="7" t="str">
        <f t="shared" si="0"/>
        <v>SATARDAY</v>
      </c>
      <c r="L4" t="str">
        <f t="shared" si="1"/>
        <v>Light Rain/Snow</v>
      </c>
    </row>
    <row r="5" spans="1:12" x14ac:dyDescent="0.25">
      <c r="A5" s="7">
        <v>4</v>
      </c>
      <c r="B5" s="8">
        <v>40544</v>
      </c>
      <c r="C5" s="7">
        <v>1</v>
      </c>
      <c r="D5" s="7">
        <v>0</v>
      </c>
      <c r="E5" s="7">
        <v>1</v>
      </c>
      <c r="F5" s="7">
        <v>3</v>
      </c>
      <c r="G5" s="7" t="b">
        <v>0</v>
      </c>
      <c r="H5" s="7">
        <v>6</v>
      </c>
      <c r="I5" s="7">
        <v>1</v>
      </c>
      <c r="J5" s="7">
        <v>0.24</v>
      </c>
      <c r="K5" s="7" t="str">
        <f t="shared" si="0"/>
        <v>SATARDAY</v>
      </c>
      <c r="L5" t="str">
        <f t="shared" si="1"/>
        <v>Heavy Rain</v>
      </c>
    </row>
    <row r="6" spans="1:12" x14ac:dyDescent="0.25">
      <c r="A6" s="7">
        <v>5</v>
      </c>
      <c r="B6" s="8">
        <v>40544</v>
      </c>
      <c r="C6" s="7">
        <v>1</v>
      </c>
      <c r="D6" s="7">
        <v>0</v>
      </c>
      <c r="E6" s="7">
        <v>1</v>
      </c>
      <c r="F6" s="7">
        <v>4</v>
      </c>
      <c r="G6" s="7" t="b">
        <v>0</v>
      </c>
      <c r="H6" s="7">
        <v>6</v>
      </c>
      <c r="I6" s="7">
        <v>1</v>
      </c>
      <c r="J6" s="7">
        <v>0.24</v>
      </c>
      <c r="K6" s="7" t="str">
        <f t="shared" si="0"/>
        <v>SATARDAY</v>
      </c>
      <c r="L6" t="str">
        <f t="shared" si="1"/>
        <v>Heavy Rain</v>
      </c>
    </row>
    <row r="7" spans="1:12" x14ac:dyDescent="0.25">
      <c r="A7" s="7">
        <v>6</v>
      </c>
      <c r="B7" s="8">
        <v>40544</v>
      </c>
      <c r="C7" s="7">
        <v>1</v>
      </c>
      <c r="D7" s="7">
        <v>0</v>
      </c>
      <c r="E7" s="7">
        <v>1</v>
      </c>
      <c r="F7" s="7">
        <v>5</v>
      </c>
      <c r="G7" s="7" t="b">
        <v>0</v>
      </c>
      <c r="H7" s="7">
        <v>6</v>
      </c>
      <c r="I7" s="7">
        <v>2</v>
      </c>
      <c r="J7" s="7">
        <v>0.24</v>
      </c>
      <c r="K7" s="7" t="str">
        <f t="shared" si="0"/>
        <v>SATARDAY</v>
      </c>
      <c r="L7" t="str">
        <f t="shared" si="1"/>
        <v>Heavy Rain</v>
      </c>
    </row>
    <row r="8" spans="1:12" x14ac:dyDescent="0.25">
      <c r="A8" s="7">
        <v>7</v>
      </c>
      <c r="B8" s="8">
        <v>40544</v>
      </c>
      <c r="C8" s="7">
        <v>1</v>
      </c>
      <c r="D8" s="7">
        <v>0</v>
      </c>
      <c r="E8" s="7">
        <v>1</v>
      </c>
      <c r="F8" s="7">
        <v>6</v>
      </c>
      <c r="G8" s="7" t="b">
        <v>0</v>
      </c>
      <c r="H8" s="7">
        <v>6</v>
      </c>
      <c r="I8" s="7">
        <v>1</v>
      </c>
      <c r="J8" s="7">
        <v>0.22</v>
      </c>
      <c r="K8" s="7" t="str">
        <f t="shared" si="0"/>
        <v>SATARDAY</v>
      </c>
      <c r="L8" t="str">
        <f t="shared" si="1"/>
        <v>Heavy Rain</v>
      </c>
    </row>
    <row r="9" spans="1:12" x14ac:dyDescent="0.25">
      <c r="A9" s="7">
        <v>8</v>
      </c>
      <c r="B9" s="8">
        <v>40544</v>
      </c>
      <c r="C9" s="7">
        <v>1</v>
      </c>
      <c r="D9" s="7">
        <v>0</v>
      </c>
      <c r="E9" s="7">
        <v>1</v>
      </c>
      <c r="F9" s="7">
        <v>7</v>
      </c>
      <c r="G9" s="7" t="b">
        <v>0</v>
      </c>
      <c r="H9" s="7">
        <v>6</v>
      </c>
      <c r="I9" s="7">
        <v>1</v>
      </c>
      <c r="J9" s="7">
        <v>0.2</v>
      </c>
      <c r="K9" s="7" t="str">
        <f t="shared" si="0"/>
        <v>SATARDAY</v>
      </c>
      <c r="L9" t="str">
        <f t="shared" si="1"/>
        <v>Heavy Rain</v>
      </c>
    </row>
    <row r="10" spans="1:12" x14ac:dyDescent="0.25">
      <c r="A10" s="7">
        <v>9</v>
      </c>
      <c r="B10" s="8">
        <v>40544</v>
      </c>
      <c r="C10" s="7">
        <v>1</v>
      </c>
      <c r="D10" s="7">
        <v>0</v>
      </c>
      <c r="E10" s="7">
        <v>1</v>
      </c>
      <c r="F10" s="7">
        <v>8</v>
      </c>
      <c r="G10" s="7" t="b">
        <v>0</v>
      </c>
      <c r="H10" s="7">
        <v>6</v>
      </c>
      <c r="I10" s="7">
        <v>1</v>
      </c>
      <c r="J10" s="7">
        <v>0.24</v>
      </c>
      <c r="K10" s="7" t="str">
        <f t="shared" si="0"/>
        <v>SATARDAY</v>
      </c>
      <c r="L10" t="str">
        <f t="shared" si="1"/>
        <v>Heavy Rain</v>
      </c>
    </row>
    <row r="11" spans="1:12" x14ac:dyDescent="0.25">
      <c r="A11" s="7">
        <v>10</v>
      </c>
      <c r="B11" s="8">
        <v>40544</v>
      </c>
      <c r="C11" s="7">
        <v>1</v>
      </c>
      <c r="D11" s="7">
        <v>0</v>
      </c>
      <c r="E11" s="7">
        <v>1</v>
      </c>
      <c r="F11" s="7">
        <v>9</v>
      </c>
      <c r="G11" s="7" t="b">
        <v>0</v>
      </c>
      <c r="H11" s="7">
        <v>6</v>
      </c>
      <c r="I11" s="7">
        <v>1</v>
      </c>
      <c r="J11" s="7">
        <v>0.32</v>
      </c>
      <c r="K11" s="7" t="str">
        <f t="shared" si="0"/>
        <v>SATARDAY</v>
      </c>
      <c r="L11" t="str">
        <f t="shared" si="1"/>
        <v>Heavy Rain</v>
      </c>
    </row>
    <row r="12" spans="1:12" x14ac:dyDescent="0.25">
      <c r="A12" s="7">
        <v>11</v>
      </c>
      <c r="B12" s="8">
        <v>40544</v>
      </c>
      <c r="C12" s="7">
        <v>1</v>
      </c>
      <c r="D12" s="7">
        <v>0</v>
      </c>
      <c r="E12" s="7">
        <v>1</v>
      </c>
      <c r="F12" s="7">
        <v>10</v>
      </c>
      <c r="G12" s="7" t="b">
        <v>0</v>
      </c>
      <c r="H12" s="7">
        <v>6</v>
      </c>
      <c r="I12" s="7">
        <v>1</v>
      </c>
      <c r="J12" s="7">
        <v>0.38</v>
      </c>
      <c r="K12" s="7" t="str">
        <f t="shared" si="0"/>
        <v>SATARDAY</v>
      </c>
      <c r="L12" t="str">
        <f t="shared" si="1"/>
        <v>Heavy Rain</v>
      </c>
    </row>
    <row r="13" spans="1:12" x14ac:dyDescent="0.25">
      <c r="A13" s="7">
        <v>12</v>
      </c>
      <c r="B13" s="8">
        <v>40544</v>
      </c>
      <c r="C13" s="7">
        <v>1</v>
      </c>
      <c r="D13" s="7">
        <v>0</v>
      </c>
      <c r="E13" s="7">
        <v>1</v>
      </c>
      <c r="F13" s="7">
        <v>11</v>
      </c>
      <c r="G13" s="7" t="b">
        <v>0</v>
      </c>
      <c r="H13" s="7">
        <v>6</v>
      </c>
      <c r="I13" s="7">
        <v>1</v>
      </c>
      <c r="J13" s="7">
        <v>0.36</v>
      </c>
      <c r="K13" s="7" t="str">
        <f t="shared" si="0"/>
        <v>SATARDAY</v>
      </c>
      <c r="L13" t="str">
        <f t="shared" si="1"/>
        <v>Heavy Rain</v>
      </c>
    </row>
    <row r="14" spans="1:12" x14ac:dyDescent="0.25">
      <c r="A14" s="7">
        <v>13</v>
      </c>
      <c r="B14" s="8">
        <v>40544</v>
      </c>
      <c r="C14" s="7">
        <v>1</v>
      </c>
      <c r="D14" s="7">
        <v>0</v>
      </c>
      <c r="E14" s="7">
        <v>1</v>
      </c>
      <c r="F14" s="7">
        <v>12</v>
      </c>
      <c r="G14" s="7" t="b">
        <v>0</v>
      </c>
      <c r="H14" s="7">
        <v>6</v>
      </c>
      <c r="I14" s="7">
        <v>1</v>
      </c>
      <c r="J14" s="7">
        <v>0.42</v>
      </c>
      <c r="K14" s="7" t="str">
        <f t="shared" si="0"/>
        <v>SATARDAY</v>
      </c>
      <c r="L14" t="str">
        <f t="shared" si="1"/>
        <v>Heavy Rain</v>
      </c>
    </row>
    <row r="15" spans="1:12" x14ac:dyDescent="0.25">
      <c r="A15" s="7">
        <v>14</v>
      </c>
      <c r="B15" s="8">
        <v>40544</v>
      </c>
      <c r="C15" s="7">
        <v>1</v>
      </c>
      <c r="D15" s="7">
        <v>0</v>
      </c>
      <c r="E15" s="7">
        <v>1</v>
      </c>
      <c r="F15" s="7">
        <v>13</v>
      </c>
      <c r="G15" s="7" t="b">
        <v>0</v>
      </c>
      <c r="H15" s="7">
        <v>6</v>
      </c>
      <c r="I15" s="7">
        <v>2</v>
      </c>
      <c r="J15" s="7">
        <v>0.46</v>
      </c>
      <c r="K15" s="7" t="str">
        <f t="shared" si="0"/>
        <v>SATARDAY</v>
      </c>
      <c r="L15" t="str">
        <f t="shared" si="1"/>
        <v>Heavy Rain</v>
      </c>
    </row>
    <row r="16" spans="1:12" x14ac:dyDescent="0.25">
      <c r="A16" s="7">
        <v>15</v>
      </c>
      <c r="B16" s="8">
        <v>40544</v>
      </c>
      <c r="C16" s="7">
        <v>1</v>
      </c>
      <c r="D16" s="7">
        <v>0</v>
      </c>
      <c r="E16" s="7">
        <v>1</v>
      </c>
      <c r="F16" s="7">
        <v>14</v>
      </c>
      <c r="G16" s="7" t="b">
        <v>0</v>
      </c>
      <c r="H16" s="7">
        <v>6</v>
      </c>
      <c r="I16" s="7">
        <v>2</v>
      </c>
      <c r="J16" s="7">
        <v>0.46</v>
      </c>
      <c r="K16" s="7" t="str">
        <f t="shared" si="0"/>
        <v>SATARDAY</v>
      </c>
      <c r="L16" t="str">
        <f t="shared" si="1"/>
        <v>Heavy Rain</v>
      </c>
    </row>
    <row r="17" spans="1:12" x14ac:dyDescent="0.25">
      <c r="A17" s="7">
        <v>16</v>
      </c>
      <c r="B17" s="8">
        <v>40544</v>
      </c>
      <c r="C17" s="7">
        <v>1</v>
      </c>
      <c r="D17" s="7">
        <v>0</v>
      </c>
      <c r="E17" s="7">
        <v>1</v>
      </c>
      <c r="F17" s="7">
        <v>15</v>
      </c>
      <c r="G17" s="7" t="b">
        <v>0</v>
      </c>
      <c r="H17" s="7">
        <v>6</v>
      </c>
      <c r="I17" s="7">
        <v>2</v>
      </c>
      <c r="J17" s="7">
        <v>0.44</v>
      </c>
      <c r="K17" s="7" t="str">
        <f t="shared" si="0"/>
        <v>SATARDAY</v>
      </c>
      <c r="L17" t="str">
        <f t="shared" si="1"/>
        <v>Heavy Rain</v>
      </c>
    </row>
    <row r="18" spans="1:12" x14ac:dyDescent="0.25">
      <c r="A18" s="7">
        <v>17</v>
      </c>
      <c r="B18" s="8">
        <v>40544</v>
      </c>
      <c r="C18" s="7">
        <v>1</v>
      </c>
      <c r="D18" s="7">
        <v>0</v>
      </c>
      <c r="E18" s="7">
        <v>1</v>
      </c>
      <c r="F18" s="7">
        <v>16</v>
      </c>
      <c r="G18" s="7" t="b">
        <v>0</v>
      </c>
      <c r="H18" s="7">
        <v>6</v>
      </c>
      <c r="I18" s="7">
        <v>2</v>
      </c>
      <c r="J18" s="7">
        <v>0.42</v>
      </c>
      <c r="K18" s="7" t="str">
        <f t="shared" si="0"/>
        <v>SATARDAY</v>
      </c>
      <c r="L18" t="str">
        <f t="shared" si="1"/>
        <v>Heavy Rain</v>
      </c>
    </row>
    <row r="19" spans="1:12" x14ac:dyDescent="0.25">
      <c r="A19" s="7">
        <v>18</v>
      </c>
      <c r="B19" s="8">
        <v>40544</v>
      </c>
      <c r="C19" s="7">
        <v>1</v>
      </c>
      <c r="D19" s="7">
        <v>0</v>
      </c>
      <c r="E19" s="7">
        <v>1</v>
      </c>
      <c r="F19" s="7">
        <v>17</v>
      </c>
      <c r="G19" s="7" t="b">
        <v>0</v>
      </c>
      <c r="H19" s="7">
        <v>6</v>
      </c>
      <c r="I19" s="7">
        <v>2</v>
      </c>
      <c r="J19" s="7">
        <v>0.44</v>
      </c>
      <c r="K19" s="7" t="str">
        <f t="shared" si="0"/>
        <v>SATARDAY</v>
      </c>
      <c r="L19" t="str">
        <f t="shared" si="1"/>
        <v>Heavy Rain</v>
      </c>
    </row>
    <row r="20" spans="1:12" x14ac:dyDescent="0.25">
      <c r="A20" s="7">
        <v>19</v>
      </c>
      <c r="B20" s="8">
        <v>40544</v>
      </c>
      <c r="C20" s="7">
        <v>1</v>
      </c>
      <c r="D20" s="7">
        <v>0</v>
      </c>
      <c r="E20" s="7">
        <v>1</v>
      </c>
      <c r="F20" s="7">
        <v>18</v>
      </c>
      <c r="G20" s="7" t="b">
        <v>0</v>
      </c>
      <c r="H20" s="7">
        <v>6</v>
      </c>
      <c r="I20" s="7">
        <v>3</v>
      </c>
      <c r="J20" s="7">
        <v>0.42</v>
      </c>
      <c r="K20" s="7" t="str">
        <f t="shared" si="0"/>
        <v>SATARDAY</v>
      </c>
      <c r="L20" t="str">
        <f t="shared" si="1"/>
        <v>Heavy Rain</v>
      </c>
    </row>
    <row r="21" spans="1:12" x14ac:dyDescent="0.25">
      <c r="A21" s="7">
        <v>20</v>
      </c>
      <c r="B21" s="8">
        <v>40544</v>
      </c>
      <c r="C21" s="7">
        <v>1</v>
      </c>
      <c r="D21" s="7">
        <v>0</v>
      </c>
      <c r="E21" s="7">
        <v>1</v>
      </c>
      <c r="F21" s="7">
        <v>19</v>
      </c>
      <c r="G21" s="7" t="b">
        <v>0</v>
      </c>
      <c r="H21" s="7">
        <v>6</v>
      </c>
      <c r="I21" s="7">
        <v>3</v>
      </c>
      <c r="J21" s="7">
        <v>0.42</v>
      </c>
      <c r="K21" s="7" t="str">
        <f t="shared" si="0"/>
        <v>SATARDAY</v>
      </c>
      <c r="L21" t="str">
        <f t="shared" si="1"/>
        <v>Heavy Rain</v>
      </c>
    </row>
    <row r="22" spans="1:12" x14ac:dyDescent="0.25">
      <c r="A22" s="7">
        <v>21</v>
      </c>
      <c r="B22" s="8">
        <v>40544</v>
      </c>
      <c r="C22" s="7">
        <v>1</v>
      </c>
      <c r="D22" s="7">
        <v>0</v>
      </c>
      <c r="E22" s="7">
        <v>1</v>
      </c>
      <c r="F22" s="7">
        <v>20</v>
      </c>
      <c r="G22" s="7" t="b">
        <v>0</v>
      </c>
      <c r="H22" s="7">
        <v>6</v>
      </c>
      <c r="I22" s="7">
        <v>2</v>
      </c>
      <c r="J22" s="7">
        <v>0.4</v>
      </c>
      <c r="K22" s="7" t="str">
        <f t="shared" si="0"/>
        <v>SATARDAY</v>
      </c>
      <c r="L22" t="str">
        <f t="shared" si="1"/>
        <v>Heavy Rain</v>
      </c>
    </row>
    <row r="23" spans="1:12" x14ac:dyDescent="0.25">
      <c r="A23" s="7">
        <v>22</v>
      </c>
      <c r="B23" s="8">
        <v>40544</v>
      </c>
      <c r="C23" s="7">
        <v>1</v>
      </c>
      <c r="D23" s="7">
        <v>0</v>
      </c>
      <c r="E23" s="7">
        <v>1</v>
      </c>
      <c r="F23" s="7">
        <v>21</v>
      </c>
      <c r="G23" s="7" t="b">
        <v>0</v>
      </c>
      <c r="H23" s="7">
        <v>6</v>
      </c>
      <c r="I23" s="7">
        <v>2</v>
      </c>
      <c r="J23" s="7">
        <v>0.4</v>
      </c>
      <c r="K23" s="7" t="str">
        <f t="shared" si="0"/>
        <v>SATARDAY</v>
      </c>
      <c r="L23" t="str">
        <f t="shared" si="1"/>
        <v>Heavy Rain</v>
      </c>
    </row>
    <row r="24" spans="1:12" x14ac:dyDescent="0.25">
      <c r="A24" s="7">
        <v>23</v>
      </c>
      <c r="B24" s="8">
        <v>40544</v>
      </c>
      <c r="C24" s="7">
        <v>1</v>
      </c>
      <c r="D24" s="7">
        <v>0</v>
      </c>
      <c r="E24" s="7">
        <v>1</v>
      </c>
      <c r="F24" s="7">
        <v>22</v>
      </c>
      <c r="G24" s="7" t="b">
        <v>0</v>
      </c>
      <c r="H24" s="7">
        <v>6</v>
      </c>
      <c r="I24" s="7">
        <v>2</v>
      </c>
      <c r="J24" s="7">
        <v>0.4</v>
      </c>
      <c r="K24" s="7" t="str">
        <f t="shared" si="0"/>
        <v>SATARDAY</v>
      </c>
      <c r="L24" t="str">
        <f t="shared" si="1"/>
        <v>Heavy Rain</v>
      </c>
    </row>
    <row r="25" spans="1:12" x14ac:dyDescent="0.25">
      <c r="A25" s="7">
        <v>24</v>
      </c>
      <c r="B25" s="8">
        <v>40544</v>
      </c>
      <c r="C25" s="7">
        <v>1</v>
      </c>
      <c r="D25" s="7">
        <v>0</v>
      </c>
      <c r="E25" s="7">
        <v>1</v>
      </c>
      <c r="F25" s="7">
        <v>23</v>
      </c>
      <c r="G25" s="7" t="b">
        <v>0</v>
      </c>
      <c r="H25" s="7">
        <v>6</v>
      </c>
      <c r="I25" s="7">
        <v>2</v>
      </c>
      <c r="J25" s="7">
        <v>0.46</v>
      </c>
      <c r="K25" s="7" t="str">
        <f t="shared" si="0"/>
        <v>SATARDAY</v>
      </c>
      <c r="L25" t="str">
        <f t="shared" si="1"/>
        <v>Heavy Rain</v>
      </c>
    </row>
    <row r="26" spans="1:12" x14ac:dyDescent="0.25">
      <c r="A26" s="7">
        <v>25</v>
      </c>
      <c r="B26" s="8">
        <v>40545</v>
      </c>
      <c r="C26" s="7">
        <v>1</v>
      </c>
      <c r="D26" s="7">
        <v>0</v>
      </c>
      <c r="E26" s="7">
        <v>1</v>
      </c>
      <c r="F26" s="7">
        <v>0</v>
      </c>
      <c r="G26" s="7" t="b">
        <v>0</v>
      </c>
      <c r="H26" s="7">
        <v>0</v>
      </c>
      <c r="I26" s="7">
        <v>2</v>
      </c>
      <c r="J26" s="7">
        <v>0.46</v>
      </c>
      <c r="K26" s="7" t="str">
        <f t="shared" si="0"/>
        <v>SUNDAY</v>
      </c>
      <c r="L26" t="str">
        <f t="shared" si="1"/>
        <v>Heavy Rain</v>
      </c>
    </row>
    <row r="27" spans="1:12" x14ac:dyDescent="0.25">
      <c r="A27" s="7">
        <v>26</v>
      </c>
      <c r="B27" s="8">
        <v>40545</v>
      </c>
      <c r="C27" s="7">
        <v>1</v>
      </c>
      <c r="D27" s="7">
        <v>0</v>
      </c>
      <c r="E27" s="7">
        <v>1</v>
      </c>
      <c r="F27" s="7">
        <v>1</v>
      </c>
      <c r="G27" s="7" t="b">
        <v>0</v>
      </c>
      <c r="H27" s="7">
        <v>0</v>
      </c>
      <c r="I27" s="7">
        <v>2</v>
      </c>
      <c r="J27" s="7">
        <v>0.44</v>
      </c>
      <c r="K27" s="7" t="str">
        <f t="shared" si="0"/>
        <v>SUNDAY</v>
      </c>
      <c r="L27" t="str">
        <f t="shared" si="1"/>
        <v>Heavy Rain</v>
      </c>
    </row>
    <row r="28" spans="1:12" x14ac:dyDescent="0.25">
      <c r="A28" s="7">
        <v>27</v>
      </c>
      <c r="B28" s="8">
        <v>40545</v>
      </c>
      <c r="C28" s="7">
        <v>1</v>
      </c>
      <c r="D28" s="7">
        <v>0</v>
      </c>
      <c r="E28" s="7">
        <v>1</v>
      </c>
      <c r="F28" s="7">
        <v>2</v>
      </c>
      <c r="G28" s="7" t="b">
        <v>0</v>
      </c>
      <c r="H28" s="7">
        <v>0</v>
      </c>
      <c r="I28" s="7">
        <v>2</v>
      </c>
      <c r="J28" s="7">
        <v>0.42</v>
      </c>
      <c r="K28" s="7" t="str">
        <f t="shared" si="0"/>
        <v>SUNDAY</v>
      </c>
      <c r="L28" t="str">
        <f t="shared" si="1"/>
        <v>Heavy Rain</v>
      </c>
    </row>
    <row r="29" spans="1:12" x14ac:dyDescent="0.25">
      <c r="A29" s="7">
        <v>28</v>
      </c>
      <c r="B29" s="8">
        <v>40545</v>
      </c>
      <c r="C29" s="7">
        <v>1</v>
      </c>
      <c r="D29" s="7">
        <v>0</v>
      </c>
      <c r="E29" s="7">
        <v>1</v>
      </c>
      <c r="F29" s="7">
        <v>3</v>
      </c>
      <c r="G29" s="7" t="b">
        <v>0</v>
      </c>
      <c r="H29" s="7">
        <v>0</v>
      </c>
      <c r="I29" s="7">
        <v>2</v>
      </c>
      <c r="J29" s="7">
        <v>0.46</v>
      </c>
      <c r="K29" s="7" t="str">
        <f t="shared" si="0"/>
        <v>SUNDAY</v>
      </c>
      <c r="L29" t="str">
        <f t="shared" si="1"/>
        <v>Heavy Rain</v>
      </c>
    </row>
    <row r="30" spans="1:12" x14ac:dyDescent="0.25">
      <c r="A30" s="7">
        <v>29</v>
      </c>
      <c r="B30" s="8">
        <v>40545</v>
      </c>
      <c r="C30" s="7">
        <v>1</v>
      </c>
      <c r="D30" s="7">
        <v>0</v>
      </c>
      <c r="E30" s="7">
        <v>1</v>
      </c>
      <c r="F30" s="7">
        <v>4</v>
      </c>
      <c r="G30" s="7" t="b">
        <v>0</v>
      </c>
      <c r="H30" s="7">
        <v>0</v>
      </c>
      <c r="I30" s="7">
        <v>2</v>
      </c>
      <c r="J30" s="7">
        <v>0.46</v>
      </c>
      <c r="K30" s="7" t="str">
        <f t="shared" si="0"/>
        <v>SUNDAY</v>
      </c>
      <c r="L30" t="str">
        <f t="shared" si="1"/>
        <v>Heavy Rain</v>
      </c>
    </row>
    <row r="31" spans="1:12" x14ac:dyDescent="0.25">
      <c r="A31" s="7">
        <v>30</v>
      </c>
      <c r="B31" s="8">
        <v>40545</v>
      </c>
      <c r="C31" s="7">
        <v>1</v>
      </c>
      <c r="D31" s="7">
        <v>0</v>
      </c>
      <c r="E31" s="7">
        <v>1</v>
      </c>
      <c r="F31" s="7">
        <v>6</v>
      </c>
      <c r="G31" s="7" t="b">
        <v>0</v>
      </c>
      <c r="H31" s="7">
        <v>0</v>
      </c>
      <c r="I31" s="7">
        <v>3</v>
      </c>
      <c r="J31" s="7">
        <v>0.42</v>
      </c>
      <c r="K31" s="7" t="str">
        <f t="shared" si="0"/>
        <v>SUNDAY</v>
      </c>
      <c r="L31" t="str">
        <f t="shared" si="1"/>
        <v>Heavy Rain</v>
      </c>
    </row>
    <row r="32" spans="1:12" x14ac:dyDescent="0.25">
      <c r="A32" s="7">
        <v>31</v>
      </c>
      <c r="B32" s="8">
        <v>40545</v>
      </c>
      <c r="C32" s="7">
        <v>1</v>
      </c>
      <c r="D32" s="7">
        <v>0</v>
      </c>
      <c r="E32" s="7">
        <v>1</v>
      </c>
      <c r="F32" s="7">
        <v>7</v>
      </c>
      <c r="G32" s="7" t="b">
        <v>0</v>
      </c>
      <c r="H32" s="7">
        <v>0</v>
      </c>
      <c r="I32" s="7">
        <v>2</v>
      </c>
      <c r="J32" s="7">
        <v>0.4</v>
      </c>
      <c r="K32" s="7" t="str">
        <f t="shared" si="0"/>
        <v>SUNDAY</v>
      </c>
      <c r="L32" t="str">
        <f t="shared" si="1"/>
        <v>Heavy Rain</v>
      </c>
    </row>
    <row r="33" spans="1:12" x14ac:dyDescent="0.25">
      <c r="A33" s="7">
        <v>32</v>
      </c>
      <c r="B33" s="8">
        <v>40545</v>
      </c>
      <c r="C33" s="7">
        <v>1</v>
      </c>
      <c r="D33" s="7">
        <v>0</v>
      </c>
      <c r="E33" s="7">
        <v>1</v>
      </c>
      <c r="F33" s="7">
        <v>8</v>
      </c>
      <c r="G33" s="7" t="b">
        <v>0</v>
      </c>
      <c r="H33" s="7">
        <v>0</v>
      </c>
      <c r="I33" s="7">
        <v>3</v>
      </c>
      <c r="J33" s="7">
        <v>0.4</v>
      </c>
      <c r="K33" s="7" t="str">
        <f t="shared" si="0"/>
        <v>SUNDAY</v>
      </c>
      <c r="L33" t="str">
        <f t="shared" si="1"/>
        <v>Heavy Rain</v>
      </c>
    </row>
    <row r="34" spans="1:12" x14ac:dyDescent="0.25">
      <c r="A34" s="7">
        <v>33</v>
      </c>
      <c r="B34" s="8">
        <v>40545</v>
      </c>
      <c r="C34" s="7">
        <v>1</v>
      </c>
      <c r="D34" s="7">
        <v>0</v>
      </c>
      <c r="E34" s="7">
        <v>1</v>
      </c>
      <c r="F34" s="7">
        <v>9</v>
      </c>
      <c r="G34" s="7" t="b">
        <v>0</v>
      </c>
      <c r="H34" s="7">
        <v>0</v>
      </c>
      <c r="I34" s="7">
        <v>2</v>
      </c>
      <c r="J34" s="7">
        <v>0.38</v>
      </c>
      <c r="K34" s="7" t="str">
        <f t="shared" si="0"/>
        <v>SUNDAY</v>
      </c>
      <c r="L34" t="str">
        <f t="shared" si="1"/>
        <v>Heavy Rain</v>
      </c>
    </row>
    <row r="35" spans="1:12" x14ac:dyDescent="0.25">
      <c r="A35" s="7">
        <v>34</v>
      </c>
      <c r="B35" s="8">
        <v>40545</v>
      </c>
      <c r="C35" s="7">
        <v>1</v>
      </c>
      <c r="D35" s="7">
        <v>0</v>
      </c>
      <c r="E35" s="7">
        <v>1</v>
      </c>
      <c r="F35" s="7">
        <v>10</v>
      </c>
      <c r="G35" s="7" t="b">
        <v>0</v>
      </c>
      <c r="H35" s="7">
        <v>0</v>
      </c>
      <c r="I35" s="7">
        <v>2</v>
      </c>
      <c r="J35" s="7">
        <v>0.36</v>
      </c>
      <c r="K35" s="7" t="str">
        <f t="shared" si="0"/>
        <v>SUNDAY</v>
      </c>
      <c r="L35" t="str">
        <f t="shared" si="1"/>
        <v>Heavy Rain</v>
      </c>
    </row>
    <row r="36" spans="1:12" x14ac:dyDescent="0.25">
      <c r="A36" s="7">
        <v>35</v>
      </c>
      <c r="B36" s="8">
        <v>40545</v>
      </c>
      <c r="C36" s="7">
        <v>1</v>
      </c>
      <c r="D36" s="7">
        <v>0</v>
      </c>
      <c r="E36" s="7">
        <v>1</v>
      </c>
      <c r="F36" s="7">
        <v>11</v>
      </c>
      <c r="G36" s="7" t="b">
        <v>0</v>
      </c>
      <c r="H36" s="7">
        <v>0</v>
      </c>
      <c r="I36" s="7">
        <v>2</v>
      </c>
      <c r="J36" s="7">
        <v>0.36</v>
      </c>
      <c r="K36" s="7" t="str">
        <f t="shared" si="0"/>
        <v>SUNDAY</v>
      </c>
      <c r="L36" t="str">
        <f t="shared" si="1"/>
        <v>Heavy Rain</v>
      </c>
    </row>
    <row r="37" spans="1:12" x14ac:dyDescent="0.25">
      <c r="A37" s="7">
        <v>36</v>
      </c>
      <c r="B37" s="8">
        <v>40545</v>
      </c>
      <c r="C37" s="7">
        <v>1</v>
      </c>
      <c r="D37" s="7">
        <v>0</v>
      </c>
      <c r="E37" s="7">
        <v>1</v>
      </c>
      <c r="F37" s="7">
        <v>12</v>
      </c>
      <c r="G37" s="7" t="b">
        <v>0</v>
      </c>
      <c r="H37" s="7">
        <v>0</v>
      </c>
      <c r="I37" s="7">
        <v>2</v>
      </c>
      <c r="J37" s="7">
        <v>0.36</v>
      </c>
      <c r="K37" s="7" t="str">
        <f t="shared" si="0"/>
        <v>SUNDAY</v>
      </c>
      <c r="L37" t="str">
        <f t="shared" si="1"/>
        <v>Heavy Rain</v>
      </c>
    </row>
    <row r="38" spans="1:12" x14ac:dyDescent="0.25">
      <c r="A38" s="7">
        <v>37</v>
      </c>
      <c r="B38" s="8">
        <v>40545</v>
      </c>
      <c r="C38" s="7">
        <v>1</v>
      </c>
      <c r="D38" s="7">
        <v>0</v>
      </c>
      <c r="E38" s="7">
        <v>1</v>
      </c>
      <c r="F38" s="7">
        <v>13</v>
      </c>
      <c r="G38" s="7" t="b">
        <v>0</v>
      </c>
      <c r="H38" s="7">
        <v>0</v>
      </c>
      <c r="I38" s="7">
        <v>2</v>
      </c>
      <c r="J38" s="7">
        <v>0.36</v>
      </c>
      <c r="K38" s="7" t="str">
        <f t="shared" si="0"/>
        <v>SUNDAY</v>
      </c>
      <c r="L38" t="str">
        <f t="shared" si="1"/>
        <v>Heavy Rain</v>
      </c>
    </row>
    <row r="39" spans="1:12" x14ac:dyDescent="0.25">
      <c r="A39" s="7">
        <v>38</v>
      </c>
      <c r="B39" s="8">
        <v>40545</v>
      </c>
      <c r="C39" s="7">
        <v>1</v>
      </c>
      <c r="D39" s="7">
        <v>0</v>
      </c>
      <c r="E39" s="7">
        <v>1</v>
      </c>
      <c r="F39" s="7">
        <v>14</v>
      </c>
      <c r="G39" s="7" t="b">
        <v>0</v>
      </c>
      <c r="H39" s="7">
        <v>0</v>
      </c>
      <c r="I39" s="7">
        <v>3</v>
      </c>
      <c r="J39" s="7">
        <v>0.36</v>
      </c>
      <c r="K39" s="7" t="str">
        <f t="shared" si="0"/>
        <v>SUNDAY</v>
      </c>
      <c r="L39" t="str">
        <f t="shared" si="1"/>
        <v>Heavy Rain</v>
      </c>
    </row>
    <row r="40" spans="1:12" x14ac:dyDescent="0.25">
      <c r="A40" s="7">
        <v>39</v>
      </c>
      <c r="B40" s="8">
        <v>40545</v>
      </c>
      <c r="C40" s="7">
        <v>1</v>
      </c>
      <c r="D40" s="7">
        <v>0</v>
      </c>
      <c r="E40" s="7">
        <v>1</v>
      </c>
      <c r="F40" s="7">
        <v>15</v>
      </c>
      <c r="G40" s="7" t="b">
        <v>0</v>
      </c>
      <c r="H40" s="7">
        <v>0</v>
      </c>
      <c r="I40" s="7">
        <v>3</v>
      </c>
      <c r="J40" s="7">
        <v>0.34</v>
      </c>
      <c r="K40" s="7" t="str">
        <f t="shared" si="0"/>
        <v>SUNDAY</v>
      </c>
      <c r="L40" t="str">
        <f t="shared" si="1"/>
        <v>Heavy Rain</v>
      </c>
    </row>
    <row r="41" spans="1:12" x14ac:dyDescent="0.25">
      <c r="A41" s="7">
        <v>40</v>
      </c>
      <c r="B41" s="8">
        <v>40545</v>
      </c>
      <c r="C41" s="7">
        <v>1</v>
      </c>
      <c r="D41" s="7">
        <v>0</v>
      </c>
      <c r="E41" s="7">
        <v>1</v>
      </c>
      <c r="F41" s="7">
        <v>16</v>
      </c>
      <c r="G41" s="7" t="b">
        <v>0</v>
      </c>
      <c r="H41" s="7">
        <v>0</v>
      </c>
      <c r="I41" s="7">
        <v>3</v>
      </c>
      <c r="J41" s="7">
        <v>0.34</v>
      </c>
      <c r="K41" s="7" t="str">
        <f t="shared" si="0"/>
        <v>SUNDAY</v>
      </c>
      <c r="L41" t="str">
        <f t="shared" si="1"/>
        <v>Heavy Rain</v>
      </c>
    </row>
    <row r="42" spans="1:12" x14ac:dyDescent="0.25">
      <c r="A42" s="7">
        <v>41</v>
      </c>
      <c r="B42" s="8">
        <v>40545</v>
      </c>
      <c r="C42" s="7">
        <v>1</v>
      </c>
      <c r="D42" s="7">
        <v>0</v>
      </c>
      <c r="E42" s="7">
        <v>1</v>
      </c>
      <c r="F42" s="7">
        <v>17</v>
      </c>
      <c r="G42" s="7" t="b">
        <v>0</v>
      </c>
      <c r="H42" s="7">
        <v>0</v>
      </c>
      <c r="I42" s="7">
        <v>1</v>
      </c>
      <c r="J42" s="7">
        <v>0.34</v>
      </c>
      <c r="K42" s="7" t="str">
        <f t="shared" si="0"/>
        <v>SUNDAY</v>
      </c>
      <c r="L42" t="str">
        <f t="shared" si="1"/>
        <v>Heavy Rain</v>
      </c>
    </row>
    <row r="43" spans="1:12" x14ac:dyDescent="0.25">
      <c r="A43" s="7">
        <v>42</v>
      </c>
      <c r="B43" s="8">
        <v>40545</v>
      </c>
      <c r="C43" s="7">
        <v>1</v>
      </c>
      <c r="D43" s="7">
        <v>0</v>
      </c>
      <c r="E43" s="7">
        <v>1</v>
      </c>
      <c r="F43" s="7">
        <v>18</v>
      </c>
      <c r="G43" s="7" t="b">
        <v>0</v>
      </c>
      <c r="H43" s="7">
        <v>0</v>
      </c>
      <c r="I43" s="7">
        <v>2</v>
      </c>
      <c r="J43" s="7">
        <v>0.36</v>
      </c>
      <c r="K43" s="7" t="str">
        <f t="shared" si="0"/>
        <v>SUNDAY</v>
      </c>
      <c r="L43" t="str">
        <f t="shared" si="1"/>
        <v>Heavy Rain</v>
      </c>
    </row>
    <row r="44" spans="1:12" x14ac:dyDescent="0.25">
      <c r="A44" s="7">
        <v>43</v>
      </c>
      <c r="B44" s="8">
        <v>40545</v>
      </c>
      <c r="C44" s="7">
        <v>1</v>
      </c>
      <c r="D44" s="7">
        <v>0</v>
      </c>
      <c r="E44" s="7">
        <v>1</v>
      </c>
      <c r="F44" s="7">
        <v>19</v>
      </c>
      <c r="G44" s="7" t="b">
        <v>0</v>
      </c>
      <c r="H44" s="7">
        <v>0</v>
      </c>
      <c r="I44" s="7">
        <v>1</v>
      </c>
      <c r="J44" s="7">
        <v>0.32</v>
      </c>
      <c r="K44" s="7" t="str">
        <f t="shared" si="0"/>
        <v>SUNDAY</v>
      </c>
      <c r="L44" t="str">
        <f t="shared" si="1"/>
        <v>Heavy Rain</v>
      </c>
    </row>
    <row r="45" spans="1:12" x14ac:dyDescent="0.25">
      <c r="A45" s="7">
        <v>44</v>
      </c>
      <c r="B45" s="8">
        <v>40545</v>
      </c>
      <c r="C45" s="7">
        <v>1</v>
      </c>
      <c r="D45" s="7">
        <v>0</v>
      </c>
      <c r="E45" s="7">
        <v>1</v>
      </c>
      <c r="F45" s="7">
        <v>20</v>
      </c>
      <c r="G45" s="7" t="b">
        <v>0</v>
      </c>
      <c r="H45" s="7">
        <v>0</v>
      </c>
      <c r="I45" s="7">
        <v>1</v>
      </c>
      <c r="J45" s="7">
        <v>0.3</v>
      </c>
      <c r="K45" s="7" t="str">
        <f t="shared" si="0"/>
        <v>SUNDAY</v>
      </c>
      <c r="L45" t="str">
        <f t="shared" si="1"/>
        <v>Heavy Rain</v>
      </c>
    </row>
    <row r="46" spans="1:12" x14ac:dyDescent="0.25">
      <c r="A46" s="7">
        <v>45</v>
      </c>
      <c r="B46" s="8">
        <v>40545</v>
      </c>
      <c r="C46" s="7">
        <v>1</v>
      </c>
      <c r="D46" s="7">
        <v>0</v>
      </c>
      <c r="E46" s="7">
        <v>1</v>
      </c>
      <c r="F46" s="7">
        <v>21</v>
      </c>
      <c r="G46" s="7" t="b">
        <v>0</v>
      </c>
      <c r="H46" s="7">
        <v>0</v>
      </c>
      <c r="I46" s="7">
        <v>1</v>
      </c>
      <c r="J46" s="7">
        <v>0.26</v>
      </c>
      <c r="K46" s="7" t="str">
        <f t="shared" si="0"/>
        <v>SUNDAY</v>
      </c>
      <c r="L46" t="str">
        <f t="shared" si="1"/>
        <v>Heavy Rain</v>
      </c>
    </row>
    <row r="47" spans="1:12" x14ac:dyDescent="0.25">
      <c r="A47" s="7">
        <v>46</v>
      </c>
      <c r="B47" s="8">
        <v>40545</v>
      </c>
      <c r="C47" s="7">
        <v>1</v>
      </c>
      <c r="D47" s="7">
        <v>0</v>
      </c>
      <c r="E47" s="7">
        <v>1</v>
      </c>
      <c r="F47" s="7">
        <v>22</v>
      </c>
      <c r="G47" s="7" t="b">
        <v>0</v>
      </c>
      <c r="H47" s="7">
        <v>0</v>
      </c>
      <c r="I47" s="7">
        <v>1</v>
      </c>
      <c r="J47" s="7">
        <v>0.24</v>
      </c>
      <c r="K47" s="7" t="str">
        <f t="shared" si="0"/>
        <v>SUNDAY</v>
      </c>
      <c r="L47" t="str">
        <f t="shared" si="1"/>
        <v>Heavy Rain</v>
      </c>
    </row>
    <row r="48" spans="1:12" x14ac:dyDescent="0.25">
      <c r="A48" s="7">
        <v>47</v>
      </c>
      <c r="B48" s="8">
        <v>40545</v>
      </c>
      <c r="C48" s="7">
        <v>1</v>
      </c>
      <c r="D48" s="7">
        <v>0</v>
      </c>
      <c r="E48" s="7">
        <v>1</v>
      </c>
      <c r="F48" s="7">
        <v>23</v>
      </c>
      <c r="G48" s="7" t="b">
        <v>0</v>
      </c>
      <c r="H48" s="7">
        <v>0</v>
      </c>
      <c r="I48" s="7">
        <v>1</v>
      </c>
      <c r="J48" s="7">
        <v>0.22</v>
      </c>
      <c r="K48" s="7" t="str">
        <f t="shared" si="0"/>
        <v>SUNDAY</v>
      </c>
      <c r="L48" t="str">
        <f t="shared" si="1"/>
        <v>Heavy Rain</v>
      </c>
    </row>
    <row r="49" spans="1:12" x14ac:dyDescent="0.25">
      <c r="A49" s="7">
        <v>48</v>
      </c>
      <c r="B49" s="8">
        <v>40546</v>
      </c>
      <c r="C49" s="7">
        <v>1</v>
      </c>
      <c r="D49" s="7">
        <v>0</v>
      </c>
      <c r="E49" s="7">
        <v>1</v>
      </c>
      <c r="F49" s="7">
        <v>0</v>
      </c>
      <c r="G49" s="7" t="b">
        <v>0</v>
      </c>
      <c r="H49" s="7">
        <v>1</v>
      </c>
      <c r="I49" s="7">
        <v>1</v>
      </c>
      <c r="J49" s="7">
        <v>0.22</v>
      </c>
      <c r="K49" s="7" t="str">
        <f t="shared" si="0"/>
        <v>MONDAY</v>
      </c>
      <c r="L49" t="str">
        <f t="shared" si="1"/>
        <v>Heavy Rain</v>
      </c>
    </row>
    <row r="50" spans="1:12" x14ac:dyDescent="0.25">
      <c r="A50" s="7">
        <v>49</v>
      </c>
      <c r="B50" s="8">
        <v>40546</v>
      </c>
      <c r="C50" s="7">
        <v>1</v>
      </c>
      <c r="D50" s="7">
        <v>0</v>
      </c>
      <c r="E50" s="7">
        <v>1</v>
      </c>
      <c r="F50" s="7">
        <v>1</v>
      </c>
      <c r="G50" s="7" t="b">
        <v>0</v>
      </c>
      <c r="H50" s="7">
        <v>1</v>
      </c>
      <c r="I50" s="7">
        <v>1</v>
      </c>
      <c r="J50" s="7">
        <v>0.2</v>
      </c>
      <c r="K50" s="7" t="str">
        <f t="shared" si="0"/>
        <v>MONDAY</v>
      </c>
      <c r="L50" t="str">
        <f t="shared" si="1"/>
        <v>Heavy Rain</v>
      </c>
    </row>
    <row r="51" spans="1:12" x14ac:dyDescent="0.25">
      <c r="A51" s="7">
        <v>50</v>
      </c>
      <c r="B51" s="8">
        <v>40546</v>
      </c>
      <c r="C51" s="7">
        <v>1</v>
      </c>
      <c r="D51" s="7">
        <v>0</v>
      </c>
      <c r="E51" s="7">
        <v>1</v>
      </c>
      <c r="F51" s="7">
        <v>4</v>
      </c>
      <c r="G51" s="7" t="b">
        <v>0</v>
      </c>
      <c r="H51" s="7">
        <v>1</v>
      </c>
      <c r="I51" s="7">
        <v>1</v>
      </c>
      <c r="J51" s="7">
        <v>0.16</v>
      </c>
      <c r="K51" s="7" t="str">
        <f t="shared" si="0"/>
        <v>MONDAY</v>
      </c>
      <c r="L51" t="str">
        <f t="shared" si="1"/>
        <v>Heavy Rain</v>
      </c>
    </row>
    <row r="52" spans="1:12" x14ac:dyDescent="0.25">
      <c r="A52" s="7">
        <v>51</v>
      </c>
      <c r="B52" s="8">
        <v>40546</v>
      </c>
      <c r="C52" s="7">
        <v>1</v>
      </c>
      <c r="D52" s="7">
        <v>0</v>
      </c>
      <c r="E52" s="7">
        <v>1</v>
      </c>
      <c r="F52" s="7">
        <v>5</v>
      </c>
      <c r="G52" s="7" t="b">
        <v>0</v>
      </c>
      <c r="H52" s="7">
        <v>1</v>
      </c>
      <c r="I52" s="7">
        <v>1</v>
      </c>
      <c r="J52" s="7">
        <v>0.16</v>
      </c>
      <c r="K52" s="7" t="str">
        <f t="shared" si="0"/>
        <v>MONDAY</v>
      </c>
      <c r="L52" t="str">
        <f t="shared" si="1"/>
        <v>Heavy Rain</v>
      </c>
    </row>
    <row r="53" spans="1:12" x14ac:dyDescent="0.25">
      <c r="A53" s="7">
        <v>52</v>
      </c>
      <c r="B53" s="8">
        <v>40546</v>
      </c>
      <c r="C53" s="7">
        <v>1</v>
      </c>
      <c r="D53" s="7">
        <v>0</v>
      </c>
      <c r="E53" s="7">
        <v>1</v>
      </c>
      <c r="F53" s="7">
        <v>6</v>
      </c>
      <c r="G53" s="7" t="b">
        <v>0</v>
      </c>
      <c r="H53" s="7">
        <v>1</v>
      </c>
      <c r="I53" s="7">
        <v>1</v>
      </c>
      <c r="J53" s="7">
        <v>0.14000000000000001</v>
      </c>
      <c r="K53" s="7" t="str">
        <f t="shared" si="0"/>
        <v>MONDAY</v>
      </c>
      <c r="L53" t="str">
        <f t="shared" si="1"/>
        <v>Heavy Rain</v>
      </c>
    </row>
    <row r="54" spans="1:12" x14ac:dyDescent="0.25">
      <c r="A54" s="7">
        <v>53</v>
      </c>
      <c r="B54" s="8">
        <v>40546</v>
      </c>
      <c r="C54" s="7">
        <v>1</v>
      </c>
      <c r="D54" s="7">
        <v>0</v>
      </c>
      <c r="E54" s="7">
        <v>1</v>
      </c>
      <c r="F54" s="7">
        <v>7</v>
      </c>
      <c r="G54" s="7" t="b">
        <v>0</v>
      </c>
      <c r="H54" s="7">
        <v>1</v>
      </c>
      <c r="I54" s="7">
        <v>1</v>
      </c>
      <c r="J54" s="7">
        <v>0.14000000000000001</v>
      </c>
      <c r="K54" s="7" t="str">
        <f t="shared" si="0"/>
        <v>MONDAY</v>
      </c>
      <c r="L54" t="str">
        <f t="shared" si="1"/>
        <v>Heavy Rain</v>
      </c>
    </row>
    <row r="55" spans="1:12" x14ac:dyDescent="0.25">
      <c r="A55" s="7">
        <v>54</v>
      </c>
      <c r="B55" s="8">
        <v>40546</v>
      </c>
      <c r="C55" s="7">
        <v>1</v>
      </c>
      <c r="D55" s="7">
        <v>0</v>
      </c>
      <c r="E55" s="7">
        <v>1</v>
      </c>
      <c r="F55" s="7">
        <v>8</v>
      </c>
      <c r="G55" s="7" t="b">
        <v>0</v>
      </c>
      <c r="H55" s="7">
        <v>1</v>
      </c>
      <c r="I55" s="7">
        <v>1</v>
      </c>
      <c r="J55" s="7">
        <v>0.14000000000000001</v>
      </c>
      <c r="K55" s="7" t="str">
        <f t="shared" si="0"/>
        <v>MONDAY</v>
      </c>
      <c r="L55" t="str">
        <f t="shared" si="1"/>
        <v>Heavy Rain</v>
      </c>
    </row>
    <row r="56" spans="1:12" x14ac:dyDescent="0.25">
      <c r="A56" s="7">
        <v>55</v>
      </c>
      <c r="B56" s="8">
        <v>40546</v>
      </c>
      <c r="C56" s="7">
        <v>1</v>
      </c>
      <c r="D56" s="7">
        <v>0</v>
      </c>
      <c r="E56" s="7">
        <v>1</v>
      </c>
      <c r="F56" s="7">
        <v>9</v>
      </c>
      <c r="G56" s="7" t="b">
        <v>0</v>
      </c>
      <c r="H56" s="7">
        <v>1</v>
      </c>
      <c r="I56" s="7">
        <v>1</v>
      </c>
      <c r="J56" s="7">
        <v>0.16</v>
      </c>
      <c r="K56" s="7" t="str">
        <f t="shared" si="0"/>
        <v>MONDAY</v>
      </c>
      <c r="L56" t="str">
        <f t="shared" si="1"/>
        <v>Heavy Rain</v>
      </c>
    </row>
    <row r="57" spans="1:12" x14ac:dyDescent="0.25">
      <c r="A57" s="7">
        <v>56</v>
      </c>
      <c r="B57" s="8">
        <v>40546</v>
      </c>
      <c r="C57" s="7">
        <v>1</v>
      </c>
      <c r="D57" s="7">
        <v>0</v>
      </c>
      <c r="E57" s="7">
        <v>1</v>
      </c>
      <c r="F57" s="7">
        <v>10</v>
      </c>
      <c r="G57" s="7" t="b">
        <v>0</v>
      </c>
      <c r="H57" s="7">
        <v>1</v>
      </c>
      <c r="I57" s="7">
        <v>1</v>
      </c>
      <c r="J57" s="7">
        <v>0.18</v>
      </c>
      <c r="K57" s="7" t="str">
        <f t="shared" si="0"/>
        <v>MONDAY</v>
      </c>
      <c r="L57" t="str">
        <f t="shared" si="1"/>
        <v>Heavy Rain</v>
      </c>
    </row>
    <row r="58" spans="1:12" x14ac:dyDescent="0.25">
      <c r="A58" s="7">
        <v>57</v>
      </c>
      <c r="B58" s="8">
        <v>40546</v>
      </c>
      <c r="C58" s="7">
        <v>1</v>
      </c>
      <c r="D58" s="7">
        <v>0</v>
      </c>
      <c r="E58" s="7">
        <v>1</v>
      </c>
      <c r="F58" s="7">
        <v>11</v>
      </c>
      <c r="G58" s="7" t="b">
        <v>0</v>
      </c>
      <c r="H58" s="7">
        <v>1</v>
      </c>
      <c r="I58" s="7">
        <v>1</v>
      </c>
      <c r="J58" s="7">
        <v>0.2</v>
      </c>
      <c r="K58" s="7" t="str">
        <f t="shared" si="0"/>
        <v>MONDAY</v>
      </c>
      <c r="L58" t="str">
        <f t="shared" si="1"/>
        <v>Heavy Rain</v>
      </c>
    </row>
    <row r="59" spans="1:12" x14ac:dyDescent="0.25">
      <c r="A59" s="7">
        <v>58</v>
      </c>
      <c r="B59" s="8">
        <v>40546</v>
      </c>
      <c r="C59" s="7">
        <v>1</v>
      </c>
      <c r="D59" s="7">
        <v>0</v>
      </c>
      <c r="E59" s="7">
        <v>1</v>
      </c>
      <c r="F59" s="7">
        <v>12</v>
      </c>
      <c r="G59" s="7" t="b">
        <v>0</v>
      </c>
      <c r="H59" s="7">
        <v>1</v>
      </c>
      <c r="I59" s="7">
        <v>1</v>
      </c>
      <c r="J59" s="7">
        <v>0.22</v>
      </c>
      <c r="K59" s="7" t="str">
        <f t="shared" si="0"/>
        <v>MONDAY</v>
      </c>
      <c r="L59" t="str">
        <f t="shared" si="1"/>
        <v>Heavy Rain</v>
      </c>
    </row>
    <row r="60" spans="1:12" x14ac:dyDescent="0.25">
      <c r="A60" s="7">
        <v>59</v>
      </c>
      <c r="B60" s="8">
        <v>40546</v>
      </c>
      <c r="C60" s="7">
        <v>1</v>
      </c>
      <c r="D60" s="7">
        <v>0</v>
      </c>
      <c r="E60" s="7">
        <v>1</v>
      </c>
      <c r="F60" s="7">
        <v>13</v>
      </c>
      <c r="G60" s="7" t="b">
        <v>0</v>
      </c>
      <c r="H60" s="7">
        <v>1</v>
      </c>
      <c r="I60" s="7">
        <v>1</v>
      </c>
      <c r="J60" s="7">
        <v>0.24</v>
      </c>
      <c r="K60" s="7" t="str">
        <f t="shared" si="0"/>
        <v>MONDAY</v>
      </c>
      <c r="L60" t="str">
        <f t="shared" si="1"/>
        <v>Heavy Rain</v>
      </c>
    </row>
    <row r="61" spans="1:12" x14ac:dyDescent="0.25">
      <c r="A61" s="7">
        <v>60</v>
      </c>
      <c r="B61" s="8">
        <v>40546</v>
      </c>
      <c r="C61" s="7">
        <v>1</v>
      </c>
      <c r="D61" s="7">
        <v>0</v>
      </c>
      <c r="E61" s="7">
        <v>1</v>
      </c>
      <c r="F61" s="7">
        <v>14</v>
      </c>
      <c r="G61" s="7" t="b">
        <v>0</v>
      </c>
      <c r="H61" s="7">
        <v>1</v>
      </c>
      <c r="I61" s="7">
        <v>1</v>
      </c>
      <c r="J61" s="7">
        <v>0.26</v>
      </c>
      <c r="K61" s="7" t="str">
        <f t="shared" si="0"/>
        <v>MONDAY</v>
      </c>
      <c r="L61" t="str">
        <f t="shared" si="1"/>
        <v>Heavy Rain</v>
      </c>
    </row>
    <row r="62" spans="1:12" x14ac:dyDescent="0.25">
      <c r="A62" s="7">
        <v>61</v>
      </c>
      <c r="B62" s="8">
        <v>40546</v>
      </c>
      <c r="C62" s="7">
        <v>1</v>
      </c>
      <c r="D62" s="7">
        <v>0</v>
      </c>
      <c r="E62" s="7">
        <v>1</v>
      </c>
      <c r="F62" s="7">
        <v>15</v>
      </c>
      <c r="G62" s="7" t="b">
        <v>0</v>
      </c>
      <c r="H62" s="7">
        <v>1</v>
      </c>
      <c r="I62" s="7">
        <v>1</v>
      </c>
      <c r="J62" s="7">
        <v>0.26</v>
      </c>
      <c r="K62" s="7" t="str">
        <f t="shared" si="0"/>
        <v>MONDAY</v>
      </c>
      <c r="L62" t="str">
        <f t="shared" si="1"/>
        <v>Heavy Rain</v>
      </c>
    </row>
    <row r="63" spans="1:12" x14ac:dyDescent="0.25">
      <c r="A63" s="7">
        <v>62</v>
      </c>
      <c r="B63" s="8">
        <v>40546</v>
      </c>
      <c r="C63" s="7">
        <v>1</v>
      </c>
      <c r="D63" s="7">
        <v>0</v>
      </c>
      <c r="E63" s="7">
        <v>1</v>
      </c>
      <c r="F63" s="7">
        <v>16</v>
      </c>
      <c r="G63" s="7" t="b">
        <v>0</v>
      </c>
      <c r="H63" s="7">
        <v>1</v>
      </c>
      <c r="I63" s="7">
        <v>1</v>
      </c>
      <c r="J63" s="7">
        <v>0.26</v>
      </c>
      <c r="K63" s="7" t="str">
        <f t="shared" si="0"/>
        <v>MONDAY</v>
      </c>
      <c r="L63" t="str">
        <f t="shared" si="1"/>
        <v>Heavy Rain</v>
      </c>
    </row>
    <row r="64" spans="1:12" x14ac:dyDescent="0.25">
      <c r="A64" s="7">
        <v>63</v>
      </c>
      <c r="B64" s="8">
        <v>40546</v>
      </c>
      <c r="C64" s="7">
        <v>1</v>
      </c>
      <c r="D64" s="7">
        <v>0</v>
      </c>
      <c r="E64" s="7">
        <v>1</v>
      </c>
      <c r="F64" s="7">
        <v>17</v>
      </c>
      <c r="G64" s="7" t="b">
        <v>0</v>
      </c>
      <c r="H64" s="7">
        <v>1</v>
      </c>
      <c r="I64" s="7">
        <v>1</v>
      </c>
      <c r="J64" s="7">
        <v>0.24</v>
      </c>
      <c r="K64" s="7" t="str">
        <f t="shared" si="0"/>
        <v>MONDAY</v>
      </c>
      <c r="L64" t="str">
        <f t="shared" si="1"/>
        <v>Heavy Rain</v>
      </c>
    </row>
    <row r="65" spans="1:12" x14ac:dyDescent="0.25">
      <c r="A65" s="7">
        <v>64</v>
      </c>
      <c r="B65" s="8">
        <v>40546</v>
      </c>
      <c r="C65" s="7">
        <v>1</v>
      </c>
      <c r="D65" s="7">
        <v>0</v>
      </c>
      <c r="E65" s="7">
        <v>1</v>
      </c>
      <c r="F65" s="7">
        <v>18</v>
      </c>
      <c r="G65" s="7" t="b">
        <v>0</v>
      </c>
      <c r="H65" s="7">
        <v>1</v>
      </c>
      <c r="I65" s="7">
        <v>1</v>
      </c>
      <c r="J65" s="7">
        <v>0.24</v>
      </c>
      <c r="K65" s="7" t="str">
        <f t="shared" si="0"/>
        <v>MONDAY</v>
      </c>
      <c r="L65" t="str">
        <f t="shared" si="1"/>
        <v>Heavy Rain</v>
      </c>
    </row>
    <row r="66" spans="1:12" x14ac:dyDescent="0.25">
      <c r="A66" s="7">
        <v>65</v>
      </c>
      <c r="B66" s="8">
        <v>40546</v>
      </c>
      <c r="C66" s="7">
        <v>1</v>
      </c>
      <c r="D66" s="7">
        <v>0</v>
      </c>
      <c r="E66" s="7">
        <v>1</v>
      </c>
      <c r="F66" s="7">
        <v>19</v>
      </c>
      <c r="G66" s="7" t="b">
        <v>0</v>
      </c>
      <c r="H66" s="7">
        <v>1</v>
      </c>
      <c r="I66" s="7">
        <v>1</v>
      </c>
      <c r="J66" s="7">
        <v>0.2</v>
      </c>
      <c r="K66" s="7" t="str">
        <f t="shared" ref="K66:K129" si="2">CHOOSE(H66+1, "SUNDAY", "MONDAY","TUESDAY", "WENESDAY","THUSDAY", "FRIDAY", "SATARDAY")</f>
        <v>MONDAY</v>
      </c>
      <c r="L66" t="str">
        <f t="shared" ref="L66:L129" si="3">IF(A66=1,"Clear",IF(A66=2,"Mist",IF(A66=3,"Light Rain/Snow","Heavy Rain")))</f>
        <v>Heavy Rain</v>
      </c>
    </row>
    <row r="67" spans="1:12" x14ac:dyDescent="0.25">
      <c r="A67" s="7">
        <v>66</v>
      </c>
      <c r="B67" s="8">
        <v>40546</v>
      </c>
      <c r="C67" s="7">
        <v>1</v>
      </c>
      <c r="D67" s="7">
        <v>0</v>
      </c>
      <c r="E67" s="7">
        <v>1</v>
      </c>
      <c r="F67" s="7">
        <v>20</v>
      </c>
      <c r="G67" s="7" t="b">
        <v>0</v>
      </c>
      <c r="H67" s="7">
        <v>1</v>
      </c>
      <c r="I67" s="7">
        <v>1</v>
      </c>
      <c r="J67" s="7">
        <v>0.2</v>
      </c>
      <c r="K67" s="7" t="str">
        <f t="shared" si="2"/>
        <v>MONDAY</v>
      </c>
      <c r="L67" t="str">
        <f t="shared" si="3"/>
        <v>Heavy Rain</v>
      </c>
    </row>
    <row r="68" spans="1:12" x14ac:dyDescent="0.25">
      <c r="A68" s="7">
        <v>67</v>
      </c>
      <c r="B68" s="8">
        <v>40546</v>
      </c>
      <c r="C68" s="7">
        <v>1</v>
      </c>
      <c r="D68" s="7">
        <v>0</v>
      </c>
      <c r="E68" s="7">
        <v>1</v>
      </c>
      <c r="F68" s="7">
        <v>21</v>
      </c>
      <c r="G68" s="7" t="b">
        <v>0</v>
      </c>
      <c r="H68" s="7">
        <v>1</v>
      </c>
      <c r="I68" s="7">
        <v>1</v>
      </c>
      <c r="J68" s="7">
        <v>0.18</v>
      </c>
      <c r="K68" s="7" t="str">
        <f t="shared" si="2"/>
        <v>MONDAY</v>
      </c>
      <c r="L68" t="str">
        <f t="shared" si="3"/>
        <v>Heavy Rain</v>
      </c>
    </row>
    <row r="69" spans="1:12" x14ac:dyDescent="0.25">
      <c r="A69" s="7">
        <v>68</v>
      </c>
      <c r="B69" s="8">
        <v>40546</v>
      </c>
      <c r="C69" s="7">
        <v>1</v>
      </c>
      <c r="D69" s="7">
        <v>0</v>
      </c>
      <c r="E69" s="7">
        <v>1</v>
      </c>
      <c r="F69" s="7">
        <v>22</v>
      </c>
      <c r="G69" s="7" t="b">
        <v>0</v>
      </c>
      <c r="H69" s="7">
        <v>1</v>
      </c>
      <c r="I69" s="7">
        <v>1</v>
      </c>
      <c r="J69" s="7">
        <v>0.14000000000000001</v>
      </c>
      <c r="K69" s="7" t="str">
        <f t="shared" si="2"/>
        <v>MONDAY</v>
      </c>
      <c r="L69" t="str">
        <f t="shared" si="3"/>
        <v>Heavy Rain</v>
      </c>
    </row>
    <row r="70" spans="1:12" x14ac:dyDescent="0.25">
      <c r="A70" s="7">
        <v>69</v>
      </c>
      <c r="B70" s="8">
        <v>40546</v>
      </c>
      <c r="C70" s="7">
        <v>1</v>
      </c>
      <c r="D70" s="7">
        <v>0</v>
      </c>
      <c r="E70" s="7">
        <v>1</v>
      </c>
      <c r="F70" s="7">
        <v>23</v>
      </c>
      <c r="G70" s="7" t="b">
        <v>0</v>
      </c>
      <c r="H70" s="7">
        <v>1</v>
      </c>
      <c r="I70" s="7">
        <v>1</v>
      </c>
      <c r="J70" s="7">
        <v>0.18</v>
      </c>
      <c r="K70" s="7" t="str">
        <f t="shared" si="2"/>
        <v>MONDAY</v>
      </c>
      <c r="L70" t="str">
        <f t="shared" si="3"/>
        <v>Heavy Rain</v>
      </c>
    </row>
    <row r="71" spans="1:12" x14ac:dyDescent="0.25">
      <c r="A71" s="7">
        <v>70</v>
      </c>
      <c r="B71" s="8">
        <v>40547</v>
      </c>
      <c r="C71" s="7">
        <v>1</v>
      </c>
      <c r="D71" s="7">
        <v>0</v>
      </c>
      <c r="E71" s="7">
        <v>1</v>
      </c>
      <c r="F71" s="7">
        <v>0</v>
      </c>
      <c r="G71" s="7" t="b">
        <v>0</v>
      </c>
      <c r="H71" s="7">
        <v>2</v>
      </c>
      <c r="I71" s="7">
        <v>1</v>
      </c>
      <c r="J71" s="7">
        <v>0.16</v>
      </c>
      <c r="K71" s="7" t="str">
        <f t="shared" si="2"/>
        <v>TUESDAY</v>
      </c>
      <c r="L71" t="str">
        <f t="shared" si="3"/>
        <v>Heavy Rain</v>
      </c>
    </row>
    <row r="72" spans="1:12" x14ac:dyDescent="0.25">
      <c r="A72" s="7">
        <v>71</v>
      </c>
      <c r="B72" s="8">
        <v>40547</v>
      </c>
      <c r="C72" s="7">
        <v>1</v>
      </c>
      <c r="D72" s="7">
        <v>0</v>
      </c>
      <c r="E72" s="7">
        <v>1</v>
      </c>
      <c r="F72" s="7">
        <v>1</v>
      </c>
      <c r="G72" s="7" t="b">
        <v>0</v>
      </c>
      <c r="H72" s="7">
        <v>2</v>
      </c>
      <c r="I72" s="7">
        <v>1</v>
      </c>
      <c r="J72" s="7">
        <v>0.16</v>
      </c>
      <c r="K72" s="7" t="str">
        <f t="shared" si="2"/>
        <v>TUESDAY</v>
      </c>
      <c r="L72" t="str">
        <f t="shared" si="3"/>
        <v>Heavy Rain</v>
      </c>
    </row>
    <row r="73" spans="1:12" x14ac:dyDescent="0.25">
      <c r="A73" s="7">
        <v>72</v>
      </c>
      <c r="B73" s="8">
        <v>40547</v>
      </c>
      <c r="C73" s="7">
        <v>1</v>
      </c>
      <c r="D73" s="7">
        <v>0</v>
      </c>
      <c r="E73" s="7">
        <v>1</v>
      </c>
      <c r="F73" s="7">
        <v>2</v>
      </c>
      <c r="G73" s="7" t="b">
        <v>0</v>
      </c>
      <c r="H73" s="7">
        <v>2</v>
      </c>
      <c r="I73" s="7">
        <v>1</v>
      </c>
      <c r="J73" s="7">
        <v>0.14000000000000001</v>
      </c>
      <c r="K73" s="7" t="str">
        <f t="shared" si="2"/>
        <v>TUESDAY</v>
      </c>
      <c r="L73" t="str">
        <f t="shared" si="3"/>
        <v>Heavy Rain</v>
      </c>
    </row>
    <row r="74" spans="1:12" x14ac:dyDescent="0.25">
      <c r="A74" s="7">
        <v>73</v>
      </c>
      <c r="B74" s="8">
        <v>40547</v>
      </c>
      <c r="C74" s="7">
        <v>1</v>
      </c>
      <c r="D74" s="7">
        <v>0</v>
      </c>
      <c r="E74" s="7">
        <v>1</v>
      </c>
      <c r="F74" s="7">
        <v>4</v>
      </c>
      <c r="G74" s="7" t="b">
        <v>0</v>
      </c>
      <c r="H74" s="7">
        <v>2</v>
      </c>
      <c r="I74" s="7">
        <v>1</v>
      </c>
      <c r="J74" s="7">
        <v>0.14000000000000001</v>
      </c>
      <c r="K74" s="7" t="str">
        <f t="shared" si="2"/>
        <v>TUESDAY</v>
      </c>
      <c r="L74" t="str">
        <f t="shared" si="3"/>
        <v>Heavy Rain</v>
      </c>
    </row>
    <row r="75" spans="1:12" x14ac:dyDescent="0.25">
      <c r="A75" s="7">
        <v>74</v>
      </c>
      <c r="B75" s="8">
        <v>40547</v>
      </c>
      <c r="C75" s="7">
        <v>1</v>
      </c>
      <c r="D75" s="7">
        <v>0</v>
      </c>
      <c r="E75" s="7">
        <v>1</v>
      </c>
      <c r="F75" s="7">
        <v>5</v>
      </c>
      <c r="G75" s="7" t="b">
        <v>0</v>
      </c>
      <c r="H75" s="7">
        <v>2</v>
      </c>
      <c r="I75" s="7">
        <v>1</v>
      </c>
      <c r="J75" s="7">
        <v>0.12</v>
      </c>
      <c r="K75" s="7" t="str">
        <f t="shared" si="2"/>
        <v>TUESDAY</v>
      </c>
      <c r="L75" t="str">
        <f t="shared" si="3"/>
        <v>Heavy Rain</v>
      </c>
    </row>
    <row r="76" spans="1:12" x14ac:dyDescent="0.25">
      <c r="A76" s="7">
        <v>75</v>
      </c>
      <c r="B76" s="8">
        <v>40547</v>
      </c>
      <c r="C76" s="7">
        <v>1</v>
      </c>
      <c r="D76" s="7">
        <v>0</v>
      </c>
      <c r="E76" s="7">
        <v>1</v>
      </c>
      <c r="F76" s="7">
        <v>6</v>
      </c>
      <c r="G76" s="7" t="b">
        <v>0</v>
      </c>
      <c r="H76" s="7">
        <v>2</v>
      </c>
      <c r="I76" s="7">
        <v>1</v>
      </c>
      <c r="J76" s="7">
        <v>0.12</v>
      </c>
      <c r="K76" s="7" t="str">
        <f t="shared" si="2"/>
        <v>TUESDAY</v>
      </c>
      <c r="L76" t="str">
        <f t="shared" si="3"/>
        <v>Heavy Rain</v>
      </c>
    </row>
    <row r="77" spans="1:12" x14ac:dyDescent="0.25">
      <c r="A77" s="7">
        <v>76</v>
      </c>
      <c r="B77" s="8">
        <v>40547</v>
      </c>
      <c r="C77" s="7">
        <v>1</v>
      </c>
      <c r="D77" s="7">
        <v>0</v>
      </c>
      <c r="E77" s="7">
        <v>1</v>
      </c>
      <c r="F77" s="7">
        <v>7</v>
      </c>
      <c r="G77" s="7" t="b">
        <v>0</v>
      </c>
      <c r="H77" s="7">
        <v>2</v>
      </c>
      <c r="I77" s="7">
        <v>1</v>
      </c>
      <c r="J77" s="7">
        <v>0.12</v>
      </c>
      <c r="K77" s="7" t="str">
        <f t="shared" si="2"/>
        <v>TUESDAY</v>
      </c>
      <c r="L77" t="str">
        <f t="shared" si="3"/>
        <v>Heavy Rain</v>
      </c>
    </row>
    <row r="78" spans="1:12" x14ac:dyDescent="0.25">
      <c r="A78" s="7">
        <v>77</v>
      </c>
      <c r="B78" s="8">
        <v>40547</v>
      </c>
      <c r="C78" s="7">
        <v>1</v>
      </c>
      <c r="D78" s="7">
        <v>0</v>
      </c>
      <c r="E78" s="7">
        <v>1</v>
      </c>
      <c r="F78" s="7">
        <v>8</v>
      </c>
      <c r="G78" s="7" t="b">
        <v>0</v>
      </c>
      <c r="H78" s="7">
        <v>2</v>
      </c>
      <c r="I78" s="7">
        <v>1</v>
      </c>
      <c r="J78" s="7">
        <v>0.14000000000000001</v>
      </c>
      <c r="K78" s="7" t="str">
        <f t="shared" si="2"/>
        <v>TUESDAY</v>
      </c>
      <c r="L78" t="str">
        <f t="shared" si="3"/>
        <v>Heavy Rain</v>
      </c>
    </row>
    <row r="79" spans="1:12" x14ac:dyDescent="0.25">
      <c r="A79" s="7">
        <v>78</v>
      </c>
      <c r="B79" s="8">
        <v>40547</v>
      </c>
      <c r="C79" s="7">
        <v>1</v>
      </c>
      <c r="D79" s="7">
        <v>0</v>
      </c>
      <c r="E79" s="7">
        <v>1</v>
      </c>
      <c r="F79" s="7">
        <v>9</v>
      </c>
      <c r="G79" s="7" t="b">
        <v>0</v>
      </c>
      <c r="H79" s="7">
        <v>2</v>
      </c>
      <c r="I79" s="7">
        <v>1</v>
      </c>
      <c r="J79" s="7">
        <v>0.16</v>
      </c>
      <c r="K79" s="7" t="str">
        <f t="shared" si="2"/>
        <v>TUESDAY</v>
      </c>
      <c r="L79" t="str">
        <f t="shared" si="3"/>
        <v>Heavy Rain</v>
      </c>
    </row>
    <row r="80" spans="1:12" x14ac:dyDescent="0.25">
      <c r="A80" s="7">
        <v>79</v>
      </c>
      <c r="B80" s="8">
        <v>40547</v>
      </c>
      <c r="C80" s="7">
        <v>1</v>
      </c>
      <c r="D80" s="7">
        <v>0</v>
      </c>
      <c r="E80" s="7">
        <v>1</v>
      </c>
      <c r="F80" s="7">
        <v>10</v>
      </c>
      <c r="G80" s="7" t="b">
        <v>0</v>
      </c>
      <c r="H80" s="7">
        <v>2</v>
      </c>
      <c r="I80" s="7">
        <v>2</v>
      </c>
      <c r="J80" s="7">
        <v>0.16</v>
      </c>
      <c r="K80" s="7" t="str">
        <f t="shared" si="2"/>
        <v>TUESDAY</v>
      </c>
      <c r="L80" t="str">
        <f t="shared" si="3"/>
        <v>Heavy Rain</v>
      </c>
    </row>
    <row r="81" spans="1:12" x14ac:dyDescent="0.25">
      <c r="A81" s="7">
        <v>80</v>
      </c>
      <c r="B81" s="8">
        <v>40547</v>
      </c>
      <c r="C81" s="7">
        <v>1</v>
      </c>
      <c r="D81" s="7">
        <v>0</v>
      </c>
      <c r="E81" s="7">
        <v>1</v>
      </c>
      <c r="F81" s="7">
        <v>11</v>
      </c>
      <c r="G81" s="7" t="b">
        <v>0</v>
      </c>
      <c r="H81" s="7">
        <v>2</v>
      </c>
      <c r="I81" s="7">
        <v>1</v>
      </c>
      <c r="J81" s="7">
        <v>0.22</v>
      </c>
      <c r="K81" s="7" t="str">
        <f t="shared" si="2"/>
        <v>TUESDAY</v>
      </c>
      <c r="L81" t="str">
        <f t="shared" si="3"/>
        <v>Heavy Rain</v>
      </c>
    </row>
    <row r="82" spans="1:12" x14ac:dyDescent="0.25">
      <c r="A82" s="7">
        <v>81</v>
      </c>
      <c r="B82" s="8">
        <v>40547</v>
      </c>
      <c r="C82" s="7">
        <v>1</v>
      </c>
      <c r="D82" s="7">
        <v>0</v>
      </c>
      <c r="E82" s="7">
        <v>1</v>
      </c>
      <c r="F82" s="7">
        <v>12</v>
      </c>
      <c r="G82" s="7" t="b">
        <v>0</v>
      </c>
      <c r="H82" s="7">
        <v>2</v>
      </c>
      <c r="I82" s="7">
        <v>1</v>
      </c>
      <c r="J82" s="7">
        <v>0.22</v>
      </c>
      <c r="K82" s="7" t="str">
        <f t="shared" si="2"/>
        <v>TUESDAY</v>
      </c>
      <c r="L82" t="str">
        <f t="shared" si="3"/>
        <v>Heavy Rain</v>
      </c>
    </row>
    <row r="83" spans="1:12" x14ac:dyDescent="0.25">
      <c r="A83" s="7">
        <v>82</v>
      </c>
      <c r="B83" s="8">
        <v>40547</v>
      </c>
      <c r="C83" s="7">
        <v>1</v>
      </c>
      <c r="D83" s="7">
        <v>0</v>
      </c>
      <c r="E83" s="7">
        <v>1</v>
      </c>
      <c r="F83" s="7">
        <v>13</v>
      </c>
      <c r="G83" s="7" t="b">
        <v>0</v>
      </c>
      <c r="H83" s="7">
        <v>2</v>
      </c>
      <c r="I83" s="7">
        <v>1</v>
      </c>
      <c r="J83" s="7">
        <v>0.24</v>
      </c>
      <c r="K83" s="7" t="str">
        <f t="shared" si="2"/>
        <v>TUESDAY</v>
      </c>
      <c r="L83" t="str">
        <f t="shared" si="3"/>
        <v>Heavy Rain</v>
      </c>
    </row>
    <row r="84" spans="1:12" x14ac:dyDescent="0.25">
      <c r="A84" s="7">
        <v>83</v>
      </c>
      <c r="B84" s="8">
        <v>40547</v>
      </c>
      <c r="C84" s="7">
        <v>1</v>
      </c>
      <c r="D84" s="7">
        <v>0</v>
      </c>
      <c r="E84" s="7">
        <v>1</v>
      </c>
      <c r="F84" s="7">
        <v>14</v>
      </c>
      <c r="G84" s="7" t="b">
        <v>0</v>
      </c>
      <c r="H84" s="7">
        <v>2</v>
      </c>
      <c r="I84" s="7">
        <v>1</v>
      </c>
      <c r="J84" s="7">
        <v>0.26</v>
      </c>
      <c r="K84" s="7" t="str">
        <f t="shared" si="2"/>
        <v>TUESDAY</v>
      </c>
      <c r="L84" t="str">
        <f t="shared" si="3"/>
        <v>Heavy Rain</v>
      </c>
    </row>
    <row r="85" spans="1:12" x14ac:dyDescent="0.25">
      <c r="A85" s="7">
        <v>84</v>
      </c>
      <c r="B85" s="8">
        <v>40547</v>
      </c>
      <c r="C85" s="7">
        <v>1</v>
      </c>
      <c r="D85" s="7">
        <v>0</v>
      </c>
      <c r="E85" s="7">
        <v>1</v>
      </c>
      <c r="F85" s="7">
        <v>15</v>
      </c>
      <c r="G85" s="7" t="b">
        <v>0</v>
      </c>
      <c r="H85" s="7">
        <v>2</v>
      </c>
      <c r="I85" s="7">
        <v>1</v>
      </c>
      <c r="J85" s="7">
        <v>0.28000000000000003</v>
      </c>
      <c r="K85" s="7" t="str">
        <f t="shared" si="2"/>
        <v>TUESDAY</v>
      </c>
      <c r="L85" t="str">
        <f t="shared" si="3"/>
        <v>Heavy Rain</v>
      </c>
    </row>
    <row r="86" spans="1:12" x14ac:dyDescent="0.25">
      <c r="A86" s="7">
        <v>85</v>
      </c>
      <c r="B86" s="8">
        <v>40547</v>
      </c>
      <c r="C86" s="7">
        <v>1</v>
      </c>
      <c r="D86" s="7">
        <v>0</v>
      </c>
      <c r="E86" s="7">
        <v>1</v>
      </c>
      <c r="F86" s="7">
        <v>16</v>
      </c>
      <c r="G86" s="7" t="b">
        <v>0</v>
      </c>
      <c r="H86" s="7">
        <v>2</v>
      </c>
      <c r="I86" s="7">
        <v>1</v>
      </c>
      <c r="J86" s="7">
        <v>0.3</v>
      </c>
      <c r="K86" s="7" t="str">
        <f t="shared" si="2"/>
        <v>TUESDAY</v>
      </c>
      <c r="L86" t="str">
        <f t="shared" si="3"/>
        <v>Heavy Rain</v>
      </c>
    </row>
    <row r="87" spans="1:12" x14ac:dyDescent="0.25">
      <c r="A87" s="7">
        <v>86</v>
      </c>
      <c r="B87" s="8">
        <v>40547</v>
      </c>
      <c r="C87" s="7">
        <v>1</v>
      </c>
      <c r="D87" s="7">
        <v>0</v>
      </c>
      <c r="E87" s="7">
        <v>1</v>
      </c>
      <c r="F87" s="7">
        <v>17</v>
      </c>
      <c r="G87" s="7" t="b">
        <v>0</v>
      </c>
      <c r="H87" s="7">
        <v>2</v>
      </c>
      <c r="I87" s="7">
        <v>1</v>
      </c>
      <c r="J87" s="7">
        <v>0.28000000000000003</v>
      </c>
      <c r="K87" s="7" t="str">
        <f t="shared" si="2"/>
        <v>TUESDAY</v>
      </c>
      <c r="L87" t="str">
        <f t="shared" si="3"/>
        <v>Heavy Rain</v>
      </c>
    </row>
    <row r="88" spans="1:12" x14ac:dyDescent="0.25">
      <c r="A88" s="7">
        <v>87</v>
      </c>
      <c r="B88" s="8">
        <v>40547</v>
      </c>
      <c r="C88" s="7">
        <v>1</v>
      </c>
      <c r="D88" s="7">
        <v>0</v>
      </c>
      <c r="E88" s="7">
        <v>1</v>
      </c>
      <c r="F88" s="7">
        <v>18</v>
      </c>
      <c r="G88" s="7" t="b">
        <v>0</v>
      </c>
      <c r="H88" s="7">
        <v>2</v>
      </c>
      <c r="I88" s="7">
        <v>1</v>
      </c>
      <c r="J88" s="7">
        <v>0.26</v>
      </c>
      <c r="K88" s="7" t="str">
        <f t="shared" si="2"/>
        <v>TUESDAY</v>
      </c>
      <c r="L88" t="str">
        <f t="shared" si="3"/>
        <v>Heavy Rain</v>
      </c>
    </row>
    <row r="89" spans="1:12" x14ac:dyDescent="0.25">
      <c r="A89" s="7">
        <v>88</v>
      </c>
      <c r="B89" s="8">
        <v>40547</v>
      </c>
      <c r="C89" s="7">
        <v>1</v>
      </c>
      <c r="D89" s="7">
        <v>0</v>
      </c>
      <c r="E89" s="7">
        <v>1</v>
      </c>
      <c r="F89" s="7">
        <v>19</v>
      </c>
      <c r="G89" s="7" t="b">
        <v>0</v>
      </c>
      <c r="H89" s="7">
        <v>2</v>
      </c>
      <c r="I89" s="7">
        <v>1</v>
      </c>
      <c r="J89" s="7">
        <v>0.24</v>
      </c>
      <c r="K89" s="7" t="str">
        <f t="shared" si="2"/>
        <v>TUESDAY</v>
      </c>
      <c r="L89" t="str">
        <f t="shared" si="3"/>
        <v>Heavy Rain</v>
      </c>
    </row>
    <row r="90" spans="1:12" x14ac:dyDescent="0.25">
      <c r="A90" s="7">
        <v>89</v>
      </c>
      <c r="B90" s="8">
        <v>40547</v>
      </c>
      <c r="C90" s="7">
        <v>1</v>
      </c>
      <c r="D90" s="7">
        <v>0</v>
      </c>
      <c r="E90" s="7">
        <v>1</v>
      </c>
      <c r="F90" s="7">
        <v>20</v>
      </c>
      <c r="G90" s="7" t="b">
        <v>0</v>
      </c>
      <c r="H90" s="7">
        <v>2</v>
      </c>
      <c r="I90" s="7">
        <v>1</v>
      </c>
      <c r="J90" s="7">
        <v>0.24</v>
      </c>
      <c r="K90" s="7" t="str">
        <f t="shared" si="2"/>
        <v>TUESDAY</v>
      </c>
      <c r="L90" t="str">
        <f t="shared" si="3"/>
        <v>Heavy Rain</v>
      </c>
    </row>
    <row r="91" spans="1:12" x14ac:dyDescent="0.25">
      <c r="A91" s="7">
        <v>90</v>
      </c>
      <c r="B91" s="8">
        <v>40547</v>
      </c>
      <c r="C91" s="7">
        <v>1</v>
      </c>
      <c r="D91" s="7">
        <v>0</v>
      </c>
      <c r="E91" s="7">
        <v>1</v>
      </c>
      <c r="F91" s="7">
        <v>21</v>
      </c>
      <c r="G91" s="7" t="b">
        <v>0</v>
      </c>
      <c r="H91" s="7">
        <v>2</v>
      </c>
      <c r="I91" s="7">
        <v>1</v>
      </c>
      <c r="J91" s="7">
        <v>0.22</v>
      </c>
      <c r="K91" s="7" t="str">
        <f t="shared" si="2"/>
        <v>TUESDAY</v>
      </c>
      <c r="L91" t="str">
        <f t="shared" si="3"/>
        <v>Heavy Rain</v>
      </c>
    </row>
    <row r="92" spans="1:12" x14ac:dyDescent="0.25">
      <c r="A92" s="7">
        <v>91</v>
      </c>
      <c r="B92" s="8">
        <v>40547</v>
      </c>
      <c r="C92" s="7">
        <v>1</v>
      </c>
      <c r="D92" s="7">
        <v>0</v>
      </c>
      <c r="E92" s="7">
        <v>1</v>
      </c>
      <c r="F92" s="7">
        <v>22</v>
      </c>
      <c r="G92" s="7" t="b">
        <v>0</v>
      </c>
      <c r="H92" s="7">
        <v>2</v>
      </c>
      <c r="I92" s="7">
        <v>1</v>
      </c>
      <c r="J92" s="7">
        <v>0.22</v>
      </c>
      <c r="K92" s="7" t="str">
        <f t="shared" si="2"/>
        <v>TUESDAY</v>
      </c>
      <c r="L92" t="str">
        <f t="shared" si="3"/>
        <v>Heavy Rain</v>
      </c>
    </row>
    <row r="93" spans="1:12" x14ac:dyDescent="0.25">
      <c r="A93" s="7">
        <v>92</v>
      </c>
      <c r="B93" s="8">
        <v>40547</v>
      </c>
      <c r="C93" s="7">
        <v>1</v>
      </c>
      <c r="D93" s="7">
        <v>0</v>
      </c>
      <c r="E93" s="7">
        <v>1</v>
      </c>
      <c r="F93" s="7">
        <v>23</v>
      </c>
      <c r="G93" s="7" t="b">
        <v>0</v>
      </c>
      <c r="H93" s="7">
        <v>2</v>
      </c>
      <c r="I93" s="7">
        <v>1</v>
      </c>
      <c r="J93" s="7">
        <v>0.2</v>
      </c>
      <c r="K93" s="7" t="str">
        <f t="shared" si="2"/>
        <v>TUESDAY</v>
      </c>
      <c r="L93" t="str">
        <f t="shared" si="3"/>
        <v>Heavy Rain</v>
      </c>
    </row>
    <row r="94" spans="1:12" x14ac:dyDescent="0.25">
      <c r="A94" s="7">
        <v>93</v>
      </c>
      <c r="B94" s="8">
        <v>40548</v>
      </c>
      <c r="C94" s="7">
        <v>1</v>
      </c>
      <c r="D94" s="7">
        <v>0</v>
      </c>
      <c r="E94" s="7">
        <v>1</v>
      </c>
      <c r="F94" s="7">
        <v>0</v>
      </c>
      <c r="G94" s="7" t="b">
        <v>0</v>
      </c>
      <c r="H94" s="7">
        <v>3</v>
      </c>
      <c r="I94" s="7">
        <v>1</v>
      </c>
      <c r="J94" s="7">
        <v>0.2</v>
      </c>
      <c r="K94" s="7" t="str">
        <f t="shared" si="2"/>
        <v>WENESDAY</v>
      </c>
      <c r="L94" t="str">
        <f t="shared" si="3"/>
        <v>Heavy Rain</v>
      </c>
    </row>
    <row r="95" spans="1:12" x14ac:dyDescent="0.25">
      <c r="A95" s="7">
        <v>94</v>
      </c>
      <c r="B95" s="8">
        <v>40548</v>
      </c>
      <c r="C95" s="7">
        <v>1</v>
      </c>
      <c r="D95" s="7">
        <v>0</v>
      </c>
      <c r="E95" s="7">
        <v>1</v>
      </c>
      <c r="F95" s="7">
        <v>1</v>
      </c>
      <c r="G95" s="7" t="b">
        <v>0</v>
      </c>
      <c r="H95" s="7">
        <v>3</v>
      </c>
      <c r="I95" s="7">
        <v>1</v>
      </c>
      <c r="J95" s="7">
        <v>0.16</v>
      </c>
      <c r="K95" s="7" t="str">
        <f t="shared" si="2"/>
        <v>WENESDAY</v>
      </c>
      <c r="L95" t="str">
        <f t="shared" si="3"/>
        <v>Heavy Rain</v>
      </c>
    </row>
    <row r="96" spans="1:12" x14ac:dyDescent="0.25">
      <c r="A96" s="7">
        <v>95</v>
      </c>
      <c r="B96" s="8">
        <v>40548</v>
      </c>
      <c r="C96" s="7">
        <v>1</v>
      </c>
      <c r="D96" s="7">
        <v>0</v>
      </c>
      <c r="E96" s="7">
        <v>1</v>
      </c>
      <c r="F96" s="7">
        <v>2</v>
      </c>
      <c r="G96" s="7" t="b">
        <v>0</v>
      </c>
      <c r="H96" s="7">
        <v>3</v>
      </c>
      <c r="I96" s="7">
        <v>1</v>
      </c>
      <c r="J96" s="7">
        <v>0.16</v>
      </c>
      <c r="K96" s="7" t="str">
        <f t="shared" si="2"/>
        <v>WENESDAY</v>
      </c>
      <c r="L96" t="str">
        <f t="shared" si="3"/>
        <v>Heavy Rain</v>
      </c>
    </row>
    <row r="97" spans="1:12" x14ac:dyDescent="0.25">
      <c r="A97" s="7">
        <v>96</v>
      </c>
      <c r="B97" s="8">
        <v>40548</v>
      </c>
      <c r="C97" s="7">
        <v>1</v>
      </c>
      <c r="D97" s="7">
        <v>0</v>
      </c>
      <c r="E97" s="7">
        <v>1</v>
      </c>
      <c r="F97" s="7">
        <v>4</v>
      </c>
      <c r="G97" s="7" t="b">
        <v>0</v>
      </c>
      <c r="H97" s="7">
        <v>3</v>
      </c>
      <c r="I97" s="7">
        <v>1</v>
      </c>
      <c r="J97" s="7">
        <v>0.24</v>
      </c>
      <c r="K97" s="7" t="str">
        <f t="shared" si="2"/>
        <v>WENESDAY</v>
      </c>
      <c r="L97" t="str">
        <f t="shared" si="3"/>
        <v>Heavy Rain</v>
      </c>
    </row>
    <row r="98" spans="1:12" x14ac:dyDescent="0.25">
      <c r="A98" s="7">
        <v>97</v>
      </c>
      <c r="B98" s="8">
        <v>40548</v>
      </c>
      <c r="C98" s="7">
        <v>1</v>
      </c>
      <c r="D98" s="7">
        <v>0</v>
      </c>
      <c r="E98" s="7">
        <v>1</v>
      </c>
      <c r="F98" s="7">
        <v>5</v>
      </c>
      <c r="G98" s="7" t="b">
        <v>0</v>
      </c>
      <c r="H98" s="7">
        <v>3</v>
      </c>
      <c r="I98" s="7">
        <v>1</v>
      </c>
      <c r="J98" s="7">
        <v>0.22</v>
      </c>
      <c r="K98" s="7" t="str">
        <f t="shared" si="2"/>
        <v>WENESDAY</v>
      </c>
      <c r="L98" t="str">
        <f t="shared" si="3"/>
        <v>Heavy Rain</v>
      </c>
    </row>
    <row r="99" spans="1:12" x14ac:dyDescent="0.25">
      <c r="A99" s="7">
        <v>98</v>
      </c>
      <c r="B99" s="8">
        <v>40548</v>
      </c>
      <c r="C99" s="7">
        <v>1</v>
      </c>
      <c r="D99" s="7">
        <v>0</v>
      </c>
      <c r="E99" s="7">
        <v>1</v>
      </c>
      <c r="F99" s="7">
        <v>6</v>
      </c>
      <c r="G99" s="7" t="b">
        <v>0</v>
      </c>
      <c r="H99" s="7">
        <v>3</v>
      </c>
      <c r="I99" s="7">
        <v>1</v>
      </c>
      <c r="J99" s="7">
        <v>0.2</v>
      </c>
      <c r="K99" s="7" t="str">
        <f t="shared" si="2"/>
        <v>WENESDAY</v>
      </c>
      <c r="L99" t="str">
        <f t="shared" si="3"/>
        <v>Heavy Rain</v>
      </c>
    </row>
    <row r="100" spans="1:12" x14ac:dyDescent="0.25">
      <c r="A100" s="7">
        <v>99</v>
      </c>
      <c r="B100" s="8">
        <v>40548</v>
      </c>
      <c r="C100" s="7">
        <v>1</v>
      </c>
      <c r="D100" s="7">
        <v>0</v>
      </c>
      <c r="E100" s="7">
        <v>1</v>
      </c>
      <c r="F100" s="7">
        <v>7</v>
      </c>
      <c r="G100" s="7" t="b">
        <v>0</v>
      </c>
      <c r="H100" s="7">
        <v>3</v>
      </c>
      <c r="I100" s="7">
        <v>1</v>
      </c>
      <c r="J100" s="7">
        <v>0.18</v>
      </c>
      <c r="K100" s="7" t="str">
        <f t="shared" si="2"/>
        <v>WENESDAY</v>
      </c>
      <c r="L100" t="str">
        <f t="shared" si="3"/>
        <v>Heavy Rain</v>
      </c>
    </row>
    <row r="101" spans="1:12" x14ac:dyDescent="0.25">
      <c r="A101" s="7">
        <v>100</v>
      </c>
      <c r="B101" s="8">
        <v>40548</v>
      </c>
      <c r="C101" s="7">
        <v>1</v>
      </c>
      <c r="D101" s="7">
        <v>0</v>
      </c>
      <c r="E101" s="7">
        <v>1</v>
      </c>
      <c r="F101" s="7">
        <v>8</v>
      </c>
      <c r="G101" s="7" t="b">
        <v>0</v>
      </c>
      <c r="H101" s="7">
        <v>3</v>
      </c>
      <c r="I101" s="7">
        <v>1</v>
      </c>
      <c r="J101" s="7">
        <v>0.2</v>
      </c>
      <c r="K101" s="7" t="str">
        <f t="shared" si="2"/>
        <v>WENESDAY</v>
      </c>
      <c r="L101" t="str">
        <f t="shared" si="3"/>
        <v>Heavy Rain</v>
      </c>
    </row>
    <row r="102" spans="1:12" x14ac:dyDescent="0.25">
      <c r="A102" s="7">
        <v>101</v>
      </c>
      <c r="B102" s="8">
        <v>40548</v>
      </c>
      <c r="C102" s="7">
        <v>1</v>
      </c>
      <c r="D102" s="7">
        <v>0</v>
      </c>
      <c r="E102" s="7">
        <v>1</v>
      </c>
      <c r="F102" s="7">
        <v>9</v>
      </c>
      <c r="G102" s="7" t="b">
        <v>0</v>
      </c>
      <c r="H102" s="7">
        <v>3</v>
      </c>
      <c r="I102" s="7">
        <v>1</v>
      </c>
      <c r="J102" s="7">
        <v>0.22</v>
      </c>
      <c r="K102" s="7" t="str">
        <f t="shared" si="2"/>
        <v>WENESDAY</v>
      </c>
      <c r="L102" t="str">
        <f t="shared" si="3"/>
        <v>Heavy Rain</v>
      </c>
    </row>
    <row r="103" spans="1:12" x14ac:dyDescent="0.25">
      <c r="A103" s="7">
        <v>102</v>
      </c>
      <c r="B103" s="8">
        <v>40548</v>
      </c>
      <c r="C103" s="7">
        <v>1</v>
      </c>
      <c r="D103" s="7">
        <v>0</v>
      </c>
      <c r="E103" s="7">
        <v>1</v>
      </c>
      <c r="F103" s="7">
        <v>10</v>
      </c>
      <c r="G103" s="7" t="b">
        <v>0</v>
      </c>
      <c r="H103" s="7">
        <v>3</v>
      </c>
      <c r="I103" s="7">
        <v>1</v>
      </c>
      <c r="J103" s="7">
        <v>0.22</v>
      </c>
      <c r="K103" s="7" t="str">
        <f t="shared" si="2"/>
        <v>WENESDAY</v>
      </c>
      <c r="L103" t="str">
        <f t="shared" si="3"/>
        <v>Heavy Rain</v>
      </c>
    </row>
    <row r="104" spans="1:12" x14ac:dyDescent="0.25">
      <c r="A104" s="7">
        <v>103</v>
      </c>
      <c r="B104" s="8">
        <v>40548</v>
      </c>
      <c r="C104" s="7">
        <v>1</v>
      </c>
      <c r="D104" s="7">
        <v>0</v>
      </c>
      <c r="E104" s="7">
        <v>1</v>
      </c>
      <c r="F104" s="7">
        <v>11</v>
      </c>
      <c r="G104" s="7" t="b">
        <v>0</v>
      </c>
      <c r="H104" s="7">
        <v>3</v>
      </c>
      <c r="I104" s="7">
        <v>1</v>
      </c>
      <c r="J104" s="7">
        <v>0.26</v>
      </c>
      <c r="K104" s="7" t="str">
        <f t="shared" si="2"/>
        <v>WENESDAY</v>
      </c>
      <c r="L104" t="str">
        <f t="shared" si="3"/>
        <v>Heavy Rain</v>
      </c>
    </row>
    <row r="105" spans="1:12" x14ac:dyDescent="0.25">
      <c r="A105" s="7">
        <v>104</v>
      </c>
      <c r="B105" s="8">
        <v>40548</v>
      </c>
      <c r="C105" s="7">
        <v>1</v>
      </c>
      <c r="D105" s="7">
        <v>0</v>
      </c>
      <c r="E105" s="7">
        <v>1</v>
      </c>
      <c r="F105" s="7">
        <v>12</v>
      </c>
      <c r="G105" s="7" t="b">
        <v>0</v>
      </c>
      <c r="H105" s="7">
        <v>3</v>
      </c>
      <c r="I105" s="7">
        <v>1</v>
      </c>
      <c r="J105" s="7">
        <v>0.26</v>
      </c>
      <c r="K105" s="7" t="str">
        <f t="shared" si="2"/>
        <v>WENESDAY</v>
      </c>
      <c r="L105" t="str">
        <f t="shared" si="3"/>
        <v>Heavy Rain</v>
      </c>
    </row>
    <row r="106" spans="1:12" x14ac:dyDescent="0.25">
      <c r="A106" s="7">
        <v>105</v>
      </c>
      <c r="B106" s="8">
        <v>40548</v>
      </c>
      <c r="C106" s="7">
        <v>1</v>
      </c>
      <c r="D106" s="7">
        <v>0</v>
      </c>
      <c r="E106" s="7">
        <v>1</v>
      </c>
      <c r="F106" s="7">
        <v>13</v>
      </c>
      <c r="G106" s="7" t="b">
        <v>0</v>
      </c>
      <c r="H106" s="7">
        <v>3</v>
      </c>
      <c r="I106" s="7">
        <v>1</v>
      </c>
      <c r="J106" s="7">
        <v>0.28000000000000003</v>
      </c>
      <c r="K106" s="7" t="str">
        <f t="shared" si="2"/>
        <v>WENESDAY</v>
      </c>
      <c r="L106" t="str">
        <f t="shared" si="3"/>
        <v>Heavy Rain</v>
      </c>
    </row>
    <row r="107" spans="1:12" x14ac:dyDescent="0.25">
      <c r="A107" s="7">
        <v>106</v>
      </c>
      <c r="B107" s="8">
        <v>40548</v>
      </c>
      <c r="C107" s="7">
        <v>1</v>
      </c>
      <c r="D107" s="7">
        <v>0</v>
      </c>
      <c r="E107" s="7">
        <v>1</v>
      </c>
      <c r="F107" s="7">
        <v>14</v>
      </c>
      <c r="G107" s="7" t="b">
        <v>0</v>
      </c>
      <c r="H107" s="7">
        <v>3</v>
      </c>
      <c r="I107" s="7">
        <v>1</v>
      </c>
      <c r="J107" s="7">
        <v>0.3</v>
      </c>
      <c r="K107" s="7" t="str">
        <f t="shared" si="2"/>
        <v>WENESDAY</v>
      </c>
      <c r="L107" t="str">
        <f t="shared" si="3"/>
        <v>Heavy Rain</v>
      </c>
    </row>
    <row r="108" spans="1:12" x14ac:dyDescent="0.25">
      <c r="A108" s="7">
        <v>107</v>
      </c>
      <c r="B108" s="8">
        <v>40548</v>
      </c>
      <c r="C108" s="7">
        <v>1</v>
      </c>
      <c r="D108" s="7">
        <v>0</v>
      </c>
      <c r="E108" s="7">
        <v>1</v>
      </c>
      <c r="F108" s="7">
        <v>15</v>
      </c>
      <c r="G108" s="7" t="b">
        <v>0</v>
      </c>
      <c r="H108" s="7">
        <v>3</v>
      </c>
      <c r="I108" s="7">
        <v>1</v>
      </c>
      <c r="J108" s="7">
        <v>0.3</v>
      </c>
      <c r="K108" s="7" t="str">
        <f t="shared" si="2"/>
        <v>WENESDAY</v>
      </c>
      <c r="L108" t="str">
        <f t="shared" si="3"/>
        <v>Heavy Rain</v>
      </c>
    </row>
    <row r="109" spans="1:12" x14ac:dyDescent="0.25">
      <c r="A109" s="7">
        <v>108</v>
      </c>
      <c r="B109" s="8">
        <v>40548</v>
      </c>
      <c r="C109" s="7">
        <v>1</v>
      </c>
      <c r="D109" s="7">
        <v>0</v>
      </c>
      <c r="E109" s="7">
        <v>1</v>
      </c>
      <c r="F109" s="7">
        <v>16</v>
      </c>
      <c r="G109" s="7" t="b">
        <v>0</v>
      </c>
      <c r="H109" s="7">
        <v>3</v>
      </c>
      <c r="I109" s="7">
        <v>1</v>
      </c>
      <c r="J109" s="7">
        <v>0.3</v>
      </c>
      <c r="K109" s="7" t="str">
        <f t="shared" si="2"/>
        <v>WENESDAY</v>
      </c>
      <c r="L109" t="str">
        <f t="shared" si="3"/>
        <v>Heavy Rain</v>
      </c>
    </row>
    <row r="110" spans="1:12" x14ac:dyDescent="0.25">
      <c r="A110" s="7">
        <v>109</v>
      </c>
      <c r="B110" s="8">
        <v>40548</v>
      </c>
      <c r="C110" s="7">
        <v>1</v>
      </c>
      <c r="D110" s="7">
        <v>0</v>
      </c>
      <c r="E110" s="7">
        <v>1</v>
      </c>
      <c r="F110" s="7">
        <v>17</v>
      </c>
      <c r="G110" s="7" t="b">
        <v>0</v>
      </c>
      <c r="H110" s="7">
        <v>3</v>
      </c>
      <c r="I110" s="7">
        <v>1</v>
      </c>
      <c r="J110" s="7">
        <v>0.24</v>
      </c>
      <c r="K110" s="7" t="str">
        <f t="shared" si="2"/>
        <v>WENESDAY</v>
      </c>
      <c r="L110" t="str">
        <f t="shared" si="3"/>
        <v>Heavy Rain</v>
      </c>
    </row>
    <row r="111" spans="1:12" x14ac:dyDescent="0.25">
      <c r="A111" s="7">
        <v>110</v>
      </c>
      <c r="B111" s="8">
        <v>40548</v>
      </c>
      <c r="C111" s="7">
        <v>1</v>
      </c>
      <c r="D111" s="7">
        <v>0</v>
      </c>
      <c r="E111" s="7">
        <v>1</v>
      </c>
      <c r="F111" s="7">
        <v>18</v>
      </c>
      <c r="G111" s="7" t="b">
        <v>0</v>
      </c>
      <c r="H111" s="7">
        <v>3</v>
      </c>
      <c r="I111" s="7">
        <v>1</v>
      </c>
      <c r="J111" s="7">
        <v>0.24</v>
      </c>
      <c r="K111" s="7" t="str">
        <f t="shared" si="2"/>
        <v>WENESDAY</v>
      </c>
      <c r="L111" t="str">
        <f t="shared" si="3"/>
        <v>Heavy Rain</v>
      </c>
    </row>
    <row r="112" spans="1:12" x14ac:dyDescent="0.25">
      <c r="A112" s="7">
        <v>111</v>
      </c>
      <c r="B112" s="8">
        <v>40548</v>
      </c>
      <c r="C112" s="7">
        <v>1</v>
      </c>
      <c r="D112" s="7">
        <v>0</v>
      </c>
      <c r="E112" s="7">
        <v>1</v>
      </c>
      <c r="F112" s="7">
        <v>19</v>
      </c>
      <c r="G112" s="7" t="b">
        <v>0</v>
      </c>
      <c r="H112" s="7">
        <v>3</v>
      </c>
      <c r="I112" s="7">
        <v>1</v>
      </c>
      <c r="J112" s="7">
        <v>0.24</v>
      </c>
      <c r="K112" s="7" t="str">
        <f t="shared" si="2"/>
        <v>WENESDAY</v>
      </c>
      <c r="L112" t="str">
        <f t="shared" si="3"/>
        <v>Heavy Rain</v>
      </c>
    </row>
    <row r="113" spans="1:12" x14ac:dyDescent="0.25">
      <c r="A113" s="7">
        <v>112</v>
      </c>
      <c r="B113" s="8">
        <v>40548</v>
      </c>
      <c r="C113" s="7">
        <v>1</v>
      </c>
      <c r="D113" s="7">
        <v>0</v>
      </c>
      <c r="E113" s="7">
        <v>1</v>
      </c>
      <c r="F113" s="7">
        <v>20</v>
      </c>
      <c r="G113" s="7" t="b">
        <v>0</v>
      </c>
      <c r="H113" s="7">
        <v>3</v>
      </c>
      <c r="I113" s="7">
        <v>1</v>
      </c>
      <c r="J113" s="7">
        <v>0.22</v>
      </c>
      <c r="K113" s="7" t="str">
        <f t="shared" si="2"/>
        <v>WENESDAY</v>
      </c>
      <c r="L113" t="str">
        <f t="shared" si="3"/>
        <v>Heavy Rain</v>
      </c>
    </row>
    <row r="114" spans="1:12" x14ac:dyDescent="0.25">
      <c r="A114" s="7">
        <v>113</v>
      </c>
      <c r="B114" s="8">
        <v>40548</v>
      </c>
      <c r="C114" s="7">
        <v>1</v>
      </c>
      <c r="D114" s="7">
        <v>0</v>
      </c>
      <c r="E114" s="7">
        <v>1</v>
      </c>
      <c r="F114" s="7">
        <v>21</v>
      </c>
      <c r="G114" s="7" t="b">
        <v>0</v>
      </c>
      <c r="H114" s="7">
        <v>3</v>
      </c>
      <c r="I114" s="7">
        <v>1</v>
      </c>
      <c r="J114" s="7">
        <v>0.2</v>
      </c>
      <c r="K114" s="7" t="str">
        <f t="shared" si="2"/>
        <v>WENESDAY</v>
      </c>
      <c r="L114" t="str">
        <f t="shared" si="3"/>
        <v>Heavy Rain</v>
      </c>
    </row>
    <row r="115" spans="1:12" x14ac:dyDescent="0.25">
      <c r="A115" s="7">
        <v>114</v>
      </c>
      <c r="B115" s="8">
        <v>40548</v>
      </c>
      <c r="C115" s="7">
        <v>1</v>
      </c>
      <c r="D115" s="7">
        <v>0</v>
      </c>
      <c r="E115" s="7">
        <v>1</v>
      </c>
      <c r="F115" s="7">
        <v>22</v>
      </c>
      <c r="G115" s="7" t="b">
        <v>0</v>
      </c>
      <c r="H115" s="7">
        <v>3</v>
      </c>
      <c r="I115" s="7">
        <v>1</v>
      </c>
      <c r="J115" s="7">
        <v>0.18</v>
      </c>
      <c r="K115" s="7" t="str">
        <f t="shared" si="2"/>
        <v>WENESDAY</v>
      </c>
      <c r="L115" t="str">
        <f t="shared" si="3"/>
        <v>Heavy Rain</v>
      </c>
    </row>
    <row r="116" spans="1:12" x14ac:dyDescent="0.25">
      <c r="A116" s="7">
        <v>115</v>
      </c>
      <c r="B116" s="8">
        <v>40548</v>
      </c>
      <c r="C116" s="7">
        <v>1</v>
      </c>
      <c r="D116" s="7">
        <v>0</v>
      </c>
      <c r="E116" s="7">
        <v>1</v>
      </c>
      <c r="F116" s="7">
        <v>23</v>
      </c>
      <c r="G116" s="7" t="b">
        <v>0</v>
      </c>
      <c r="H116" s="7">
        <v>3</v>
      </c>
      <c r="I116" s="7">
        <v>1</v>
      </c>
      <c r="J116" s="7">
        <v>0.2</v>
      </c>
      <c r="K116" s="7" t="str">
        <f t="shared" si="2"/>
        <v>WENESDAY</v>
      </c>
      <c r="L116" t="str">
        <f t="shared" si="3"/>
        <v>Heavy Rain</v>
      </c>
    </row>
    <row r="117" spans="1:12" x14ac:dyDescent="0.25">
      <c r="A117" s="7">
        <v>116</v>
      </c>
      <c r="B117" s="8">
        <v>40549</v>
      </c>
      <c r="C117" s="7">
        <v>1</v>
      </c>
      <c r="D117" s="7">
        <v>0</v>
      </c>
      <c r="E117" s="7">
        <v>1</v>
      </c>
      <c r="F117" s="7">
        <v>0</v>
      </c>
      <c r="G117" s="7" t="b">
        <v>0</v>
      </c>
      <c r="H117" s="7">
        <v>4</v>
      </c>
      <c r="I117" s="7">
        <v>1</v>
      </c>
      <c r="J117" s="7">
        <v>0.18</v>
      </c>
      <c r="K117" s="7" t="str">
        <f t="shared" si="2"/>
        <v>THUSDAY</v>
      </c>
      <c r="L117" t="str">
        <f t="shared" si="3"/>
        <v>Heavy Rain</v>
      </c>
    </row>
    <row r="118" spans="1:12" x14ac:dyDescent="0.25">
      <c r="A118" s="7">
        <v>117</v>
      </c>
      <c r="B118" s="8">
        <v>40549</v>
      </c>
      <c r="C118" s="7">
        <v>1</v>
      </c>
      <c r="D118" s="7">
        <v>0</v>
      </c>
      <c r="E118" s="7">
        <v>1</v>
      </c>
      <c r="F118" s="7">
        <v>1</v>
      </c>
      <c r="G118" s="7" t="b">
        <v>0</v>
      </c>
      <c r="H118" s="7">
        <v>4</v>
      </c>
      <c r="I118" s="7">
        <v>1</v>
      </c>
      <c r="J118" s="7">
        <v>0.16</v>
      </c>
      <c r="K118" s="7" t="str">
        <f t="shared" si="2"/>
        <v>THUSDAY</v>
      </c>
      <c r="L118" t="str">
        <f t="shared" si="3"/>
        <v>Heavy Rain</v>
      </c>
    </row>
    <row r="119" spans="1:12" x14ac:dyDescent="0.25">
      <c r="A119" s="7">
        <v>118</v>
      </c>
      <c r="B119" s="8">
        <v>40549</v>
      </c>
      <c r="C119" s="7">
        <v>1</v>
      </c>
      <c r="D119" s="7">
        <v>0</v>
      </c>
      <c r="E119" s="7">
        <v>1</v>
      </c>
      <c r="F119" s="7">
        <v>2</v>
      </c>
      <c r="G119" s="7" t="b">
        <v>0</v>
      </c>
      <c r="H119" s="7">
        <v>4</v>
      </c>
      <c r="I119" s="7">
        <v>1</v>
      </c>
      <c r="J119" s="7">
        <v>0.16</v>
      </c>
      <c r="K119" s="7" t="str">
        <f t="shared" si="2"/>
        <v>THUSDAY</v>
      </c>
      <c r="L119" t="str">
        <f t="shared" si="3"/>
        <v>Heavy Rain</v>
      </c>
    </row>
    <row r="120" spans="1:12" x14ac:dyDescent="0.25">
      <c r="A120" s="7">
        <v>119</v>
      </c>
      <c r="B120" s="8">
        <v>40549</v>
      </c>
      <c r="C120" s="7">
        <v>1</v>
      </c>
      <c r="D120" s="7">
        <v>0</v>
      </c>
      <c r="E120" s="7">
        <v>1</v>
      </c>
      <c r="F120" s="7">
        <v>4</v>
      </c>
      <c r="G120" s="7" t="b">
        <v>0</v>
      </c>
      <c r="H120" s="7">
        <v>4</v>
      </c>
      <c r="I120" s="7">
        <v>2</v>
      </c>
      <c r="J120" s="7">
        <v>0.16</v>
      </c>
      <c r="K120" s="7" t="str">
        <f t="shared" si="2"/>
        <v>THUSDAY</v>
      </c>
      <c r="L120" t="str">
        <f t="shared" si="3"/>
        <v>Heavy Rain</v>
      </c>
    </row>
    <row r="121" spans="1:12" x14ac:dyDescent="0.25">
      <c r="A121" s="7">
        <v>120</v>
      </c>
      <c r="B121" s="8">
        <v>40549</v>
      </c>
      <c r="C121" s="7">
        <v>1</v>
      </c>
      <c r="D121" s="7">
        <v>0</v>
      </c>
      <c r="E121" s="7">
        <v>1</v>
      </c>
      <c r="F121" s="7">
        <v>5</v>
      </c>
      <c r="G121" s="7" t="b">
        <v>0</v>
      </c>
      <c r="H121" s="7">
        <v>4</v>
      </c>
      <c r="I121" s="7">
        <v>2</v>
      </c>
      <c r="J121" s="7">
        <v>0.14000000000000001</v>
      </c>
      <c r="K121" s="7" t="str">
        <f t="shared" si="2"/>
        <v>THUSDAY</v>
      </c>
      <c r="L121" t="str">
        <f t="shared" si="3"/>
        <v>Heavy Rain</v>
      </c>
    </row>
    <row r="122" spans="1:12" x14ac:dyDescent="0.25">
      <c r="A122" s="7">
        <v>121</v>
      </c>
      <c r="B122" s="8">
        <v>40549</v>
      </c>
      <c r="C122" s="7">
        <v>1</v>
      </c>
      <c r="D122" s="7">
        <v>0</v>
      </c>
      <c r="E122" s="7">
        <v>1</v>
      </c>
      <c r="F122" s="7">
        <v>6</v>
      </c>
      <c r="G122" s="7" t="b">
        <v>0</v>
      </c>
      <c r="H122" s="7">
        <v>4</v>
      </c>
      <c r="I122" s="7">
        <v>2</v>
      </c>
      <c r="J122" s="7">
        <v>0.14000000000000001</v>
      </c>
      <c r="K122" s="7" t="str">
        <f t="shared" si="2"/>
        <v>THUSDAY</v>
      </c>
      <c r="L122" t="str">
        <f t="shared" si="3"/>
        <v>Heavy Rain</v>
      </c>
    </row>
    <row r="123" spans="1:12" x14ac:dyDescent="0.25">
      <c r="A123" s="7">
        <v>122</v>
      </c>
      <c r="B123" s="8">
        <v>40549</v>
      </c>
      <c r="C123" s="7">
        <v>1</v>
      </c>
      <c r="D123" s="7">
        <v>0</v>
      </c>
      <c r="E123" s="7">
        <v>1</v>
      </c>
      <c r="F123" s="7">
        <v>7</v>
      </c>
      <c r="G123" s="7" t="b">
        <v>0</v>
      </c>
      <c r="H123" s="7">
        <v>4</v>
      </c>
      <c r="I123" s="7">
        <v>2</v>
      </c>
      <c r="J123" s="7">
        <v>0.16</v>
      </c>
      <c r="K123" s="7" t="str">
        <f t="shared" si="2"/>
        <v>THUSDAY</v>
      </c>
      <c r="L123" t="str">
        <f t="shared" si="3"/>
        <v>Heavy Rain</v>
      </c>
    </row>
    <row r="124" spans="1:12" x14ac:dyDescent="0.25">
      <c r="A124" s="7">
        <v>123</v>
      </c>
      <c r="B124" s="8">
        <v>40549</v>
      </c>
      <c r="C124" s="7">
        <v>1</v>
      </c>
      <c r="D124" s="7">
        <v>0</v>
      </c>
      <c r="E124" s="7">
        <v>1</v>
      </c>
      <c r="F124" s="7">
        <v>8</v>
      </c>
      <c r="G124" s="7" t="b">
        <v>0</v>
      </c>
      <c r="H124" s="7">
        <v>4</v>
      </c>
      <c r="I124" s="7">
        <v>1</v>
      </c>
      <c r="J124" s="7">
        <v>0.16</v>
      </c>
      <c r="K124" s="7" t="str">
        <f t="shared" si="2"/>
        <v>THUSDAY</v>
      </c>
      <c r="L124" t="str">
        <f t="shared" si="3"/>
        <v>Heavy Rain</v>
      </c>
    </row>
    <row r="125" spans="1:12" x14ac:dyDescent="0.25">
      <c r="A125" s="7">
        <v>124</v>
      </c>
      <c r="B125" s="8">
        <v>40549</v>
      </c>
      <c r="C125" s="7">
        <v>1</v>
      </c>
      <c r="D125" s="7">
        <v>0</v>
      </c>
      <c r="E125" s="7">
        <v>1</v>
      </c>
      <c r="F125" s="7">
        <v>9</v>
      </c>
      <c r="G125" s="7" t="b">
        <v>0</v>
      </c>
      <c r="H125" s="7">
        <v>4</v>
      </c>
      <c r="I125" s="7">
        <v>2</v>
      </c>
      <c r="J125" s="7">
        <v>0.18</v>
      </c>
      <c r="K125" s="7" t="str">
        <f t="shared" si="2"/>
        <v>THUSDAY</v>
      </c>
      <c r="L125" t="str">
        <f t="shared" si="3"/>
        <v>Heavy Rain</v>
      </c>
    </row>
    <row r="126" spans="1:12" x14ac:dyDescent="0.25">
      <c r="A126" s="7">
        <v>125</v>
      </c>
      <c r="B126" s="8">
        <v>40549</v>
      </c>
      <c r="C126" s="7">
        <v>1</v>
      </c>
      <c r="D126" s="7">
        <v>0</v>
      </c>
      <c r="E126" s="7">
        <v>1</v>
      </c>
      <c r="F126" s="7">
        <v>10</v>
      </c>
      <c r="G126" s="7" t="b">
        <v>0</v>
      </c>
      <c r="H126" s="7">
        <v>4</v>
      </c>
      <c r="I126" s="7">
        <v>1</v>
      </c>
      <c r="J126" s="7">
        <v>0.2</v>
      </c>
      <c r="K126" s="7" t="str">
        <f t="shared" si="2"/>
        <v>THUSDAY</v>
      </c>
      <c r="L126" t="str">
        <f t="shared" si="3"/>
        <v>Heavy Rain</v>
      </c>
    </row>
    <row r="127" spans="1:12" x14ac:dyDescent="0.25">
      <c r="A127" s="7">
        <v>126</v>
      </c>
      <c r="B127" s="8">
        <v>40549</v>
      </c>
      <c r="C127" s="7">
        <v>1</v>
      </c>
      <c r="D127" s="7">
        <v>0</v>
      </c>
      <c r="E127" s="7">
        <v>1</v>
      </c>
      <c r="F127" s="7">
        <v>11</v>
      </c>
      <c r="G127" s="7" t="b">
        <v>0</v>
      </c>
      <c r="H127" s="7">
        <v>4</v>
      </c>
      <c r="I127" s="7">
        <v>1</v>
      </c>
      <c r="J127" s="7">
        <v>0.22</v>
      </c>
      <c r="K127" s="7" t="str">
        <f t="shared" si="2"/>
        <v>THUSDAY</v>
      </c>
      <c r="L127" t="str">
        <f t="shared" si="3"/>
        <v>Heavy Rain</v>
      </c>
    </row>
    <row r="128" spans="1:12" x14ac:dyDescent="0.25">
      <c r="A128" s="7">
        <v>127</v>
      </c>
      <c r="B128" s="8">
        <v>40549</v>
      </c>
      <c r="C128" s="7">
        <v>1</v>
      </c>
      <c r="D128" s="7">
        <v>0</v>
      </c>
      <c r="E128" s="7">
        <v>1</v>
      </c>
      <c r="F128" s="7">
        <v>12</v>
      </c>
      <c r="G128" s="7" t="b">
        <v>0</v>
      </c>
      <c r="H128" s="7">
        <v>4</v>
      </c>
      <c r="I128" s="7">
        <v>1</v>
      </c>
      <c r="J128" s="7">
        <v>0.26</v>
      </c>
      <c r="K128" s="7" t="str">
        <f t="shared" si="2"/>
        <v>THUSDAY</v>
      </c>
      <c r="L128" t="str">
        <f t="shared" si="3"/>
        <v>Heavy Rain</v>
      </c>
    </row>
    <row r="129" spans="1:12" x14ac:dyDescent="0.25">
      <c r="A129" s="7">
        <v>128</v>
      </c>
      <c r="B129" s="8">
        <v>40549</v>
      </c>
      <c r="C129" s="7">
        <v>1</v>
      </c>
      <c r="D129" s="7">
        <v>0</v>
      </c>
      <c r="E129" s="7">
        <v>1</v>
      </c>
      <c r="F129" s="7">
        <v>13</v>
      </c>
      <c r="G129" s="7" t="b">
        <v>0</v>
      </c>
      <c r="H129" s="7">
        <v>4</v>
      </c>
      <c r="I129" s="7">
        <v>1</v>
      </c>
      <c r="J129" s="7">
        <v>0.26</v>
      </c>
      <c r="K129" s="7" t="str">
        <f t="shared" si="2"/>
        <v>THUSDAY</v>
      </c>
      <c r="L129" t="str">
        <f t="shared" si="3"/>
        <v>Heavy Rain</v>
      </c>
    </row>
    <row r="130" spans="1:12" x14ac:dyDescent="0.25">
      <c r="A130" s="7">
        <v>129</v>
      </c>
      <c r="B130" s="8">
        <v>40549</v>
      </c>
      <c r="C130" s="7">
        <v>1</v>
      </c>
      <c r="D130" s="7">
        <v>0</v>
      </c>
      <c r="E130" s="7">
        <v>1</v>
      </c>
      <c r="F130" s="7">
        <v>14</v>
      </c>
      <c r="G130" s="7" t="b">
        <v>0</v>
      </c>
      <c r="H130" s="7">
        <v>4</v>
      </c>
      <c r="I130" s="7">
        <v>1</v>
      </c>
      <c r="J130" s="7">
        <v>0.28000000000000003</v>
      </c>
      <c r="K130" s="7" t="str">
        <f t="shared" ref="K130:K193" si="4">CHOOSE(H130+1, "SUNDAY", "MONDAY","TUESDAY", "WENESDAY","THUSDAY", "FRIDAY", "SATARDAY")</f>
        <v>THUSDAY</v>
      </c>
      <c r="L130" t="str">
        <f t="shared" ref="L130:L193" si="5">IF(A130=1,"Clear",IF(A130=2,"Mist",IF(A130=3,"Light Rain/Snow","Heavy Rain")))</f>
        <v>Heavy Rain</v>
      </c>
    </row>
    <row r="131" spans="1:12" x14ac:dyDescent="0.25">
      <c r="A131" s="7">
        <v>130</v>
      </c>
      <c r="B131" s="8">
        <v>40549</v>
      </c>
      <c r="C131" s="7">
        <v>1</v>
      </c>
      <c r="D131" s="7">
        <v>0</v>
      </c>
      <c r="E131" s="7">
        <v>1</v>
      </c>
      <c r="F131" s="7">
        <v>15</v>
      </c>
      <c r="G131" s="7" t="b">
        <v>0</v>
      </c>
      <c r="H131" s="7">
        <v>4</v>
      </c>
      <c r="I131" s="7">
        <v>1</v>
      </c>
      <c r="J131" s="7">
        <v>0.28000000000000003</v>
      </c>
      <c r="K131" s="7" t="str">
        <f t="shared" si="4"/>
        <v>THUSDAY</v>
      </c>
      <c r="L131" t="str">
        <f t="shared" si="5"/>
        <v>Heavy Rain</v>
      </c>
    </row>
    <row r="132" spans="1:12" x14ac:dyDescent="0.25">
      <c r="A132" s="7">
        <v>131</v>
      </c>
      <c r="B132" s="8">
        <v>40549</v>
      </c>
      <c r="C132" s="7">
        <v>1</v>
      </c>
      <c r="D132" s="7">
        <v>0</v>
      </c>
      <c r="E132" s="7">
        <v>1</v>
      </c>
      <c r="F132" s="7">
        <v>16</v>
      </c>
      <c r="G132" s="7" t="b">
        <v>0</v>
      </c>
      <c r="H132" s="7">
        <v>4</v>
      </c>
      <c r="I132" s="7">
        <v>1</v>
      </c>
      <c r="J132" s="7">
        <v>0.26</v>
      </c>
      <c r="K132" s="7" t="str">
        <f t="shared" si="4"/>
        <v>THUSDAY</v>
      </c>
      <c r="L132" t="str">
        <f t="shared" si="5"/>
        <v>Heavy Rain</v>
      </c>
    </row>
    <row r="133" spans="1:12" x14ac:dyDescent="0.25">
      <c r="A133" s="7">
        <v>132</v>
      </c>
      <c r="B133" s="8">
        <v>40549</v>
      </c>
      <c r="C133" s="7">
        <v>1</v>
      </c>
      <c r="D133" s="7">
        <v>0</v>
      </c>
      <c r="E133" s="7">
        <v>1</v>
      </c>
      <c r="F133" s="7">
        <v>17</v>
      </c>
      <c r="G133" s="7" t="b">
        <v>0</v>
      </c>
      <c r="H133" s="7">
        <v>4</v>
      </c>
      <c r="I133" s="7">
        <v>1</v>
      </c>
      <c r="J133" s="7">
        <v>0.22</v>
      </c>
      <c r="K133" s="7" t="str">
        <f t="shared" si="4"/>
        <v>THUSDAY</v>
      </c>
      <c r="L133" t="str">
        <f t="shared" si="5"/>
        <v>Heavy Rain</v>
      </c>
    </row>
    <row r="134" spans="1:12" x14ac:dyDescent="0.25">
      <c r="A134" s="7">
        <v>133</v>
      </c>
      <c r="B134" s="8">
        <v>40549</v>
      </c>
      <c r="C134" s="7">
        <v>1</v>
      </c>
      <c r="D134" s="7">
        <v>0</v>
      </c>
      <c r="E134" s="7">
        <v>1</v>
      </c>
      <c r="F134" s="7">
        <v>18</v>
      </c>
      <c r="G134" s="7" t="b">
        <v>0</v>
      </c>
      <c r="H134" s="7">
        <v>4</v>
      </c>
      <c r="I134" s="7">
        <v>1</v>
      </c>
      <c r="J134" s="7">
        <v>0.22</v>
      </c>
      <c r="K134" s="7" t="str">
        <f t="shared" si="4"/>
        <v>THUSDAY</v>
      </c>
      <c r="L134" t="str">
        <f t="shared" si="5"/>
        <v>Heavy Rain</v>
      </c>
    </row>
    <row r="135" spans="1:12" x14ac:dyDescent="0.25">
      <c r="A135" s="7">
        <v>134</v>
      </c>
      <c r="B135" s="8">
        <v>40549</v>
      </c>
      <c r="C135" s="7">
        <v>1</v>
      </c>
      <c r="D135" s="7">
        <v>0</v>
      </c>
      <c r="E135" s="7">
        <v>1</v>
      </c>
      <c r="F135" s="7">
        <v>19</v>
      </c>
      <c r="G135" s="7" t="b">
        <v>0</v>
      </c>
      <c r="H135" s="7">
        <v>4</v>
      </c>
      <c r="I135" s="7">
        <v>1</v>
      </c>
      <c r="J135" s="7">
        <v>0.22</v>
      </c>
      <c r="K135" s="7" t="str">
        <f t="shared" si="4"/>
        <v>THUSDAY</v>
      </c>
      <c r="L135" t="str">
        <f t="shared" si="5"/>
        <v>Heavy Rain</v>
      </c>
    </row>
    <row r="136" spans="1:12" x14ac:dyDescent="0.25">
      <c r="A136" s="7">
        <v>135</v>
      </c>
      <c r="B136" s="8">
        <v>40549</v>
      </c>
      <c r="C136" s="7">
        <v>1</v>
      </c>
      <c r="D136" s="7">
        <v>0</v>
      </c>
      <c r="E136" s="7">
        <v>1</v>
      </c>
      <c r="F136" s="7">
        <v>20</v>
      </c>
      <c r="G136" s="7" t="b">
        <v>0</v>
      </c>
      <c r="H136" s="7">
        <v>4</v>
      </c>
      <c r="I136" s="7">
        <v>1</v>
      </c>
      <c r="J136" s="7">
        <v>0.2</v>
      </c>
      <c r="K136" s="7" t="str">
        <f t="shared" si="4"/>
        <v>THUSDAY</v>
      </c>
      <c r="L136" t="str">
        <f t="shared" si="5"/>
        <v>Heavy Rain</v>
      </c>
    </row>
    <row r="137" spans="1:12" x14ac:dyDescent="0.25">
      <c r="A137" s="7">
        <v>136</v>
      </c>
      <c r="B137" s="8">
        <v>40549</v>
      </c>
      <c r="C137" s="7">
        <v>1</v>
      </c>
      <c r="D137" s="7">
        <v>0</v>
      </c>
      <c r="E137" s="7">
        <v>1</v>
      </c>
      <c r="F137" s="7">
        <v>21</v>
      </c>
      <c r="G137" s="7" t="b">
        <v>0</v>
      </c>
      <c r="H137" s="7">
        <v>4</v>
      </c>
      <c r="I137" s="7">
        <v>2</v>
      </c>
      <c r="J137" s="7">
        <v>0.22</v>
      </c>
      <c r="K137" s="7" t="str">
        <f t="shared" si="4"/>
        <v>THUSDAY</v>
      </c>
      <c r="L137" t="str">
        <f t="shared" si="5"/>
        <v>Heavy Rain</v>
      </c>
    </row>
    <row r="138" spans="1:12" x14ac:dyDescent="0.25">
      <c r="A138" s="7">
        <v>137</v>
      </c>
      <c r="B138" s="8">
        <v>40549</v>
      </c>
      <c r="C138" s="7">
        <v>1</v>
      </c>
      <c r="D138" s="7">
        <v>0</v>
      </c>
      <c r="E138" s="7">
        <v>1</v>
      </c>
      <c r="F138" s="7">
        <v>22</v>
      </c>
      <c r="G138" s="7" t="b">
        <v>0</v>
      </c>
      <c r="H138" s="7">
        <v>4</v>
      </c>
      <c r="I138" s="7">
        <v>2</v>
      </c>
      <c r="J138" s="7">
        <v>0.22</v>
      </c>
      <c r="K138" s="7" t="str">
        <f t="shared" si="4"/>
        <v>THUSDAY</v>
      </c>
      <c r="L138" t="str">
        <f t="shared" si="5"/>
        <v>Heavy Rain</v>
      </c>
    </row>
    <row r="139" spans="1:12" x14ac:dyDescent="0.25">
      <c r="A139" s="7">
        <v>138</v>
      </c>
      <c r="B139" s="8">
        <v>40549</v>
      </c>
      <c r="C139" s="7">
        <v>1</v>
      </c>
      <c r="D139" s="7">
        <v>0</v>
      </c>
      <c r="E139" s="7">
        <v>1</v>
      </c>
      <c r="F139" s="7">
        <v>23</v>
      </c>
      <c r="G139" s="7" t="b">
        <v>0</v>
      </c>
      <c r="H139" s="7">
        <v>4</v>
      </c>
      <c r="I139" s="7">
        <v>2</v>
      </c>
      <c r="J139" s="7">
        <v>0.2</v>
      </c>
      <c r="K139" s="7" t="str">
        <f t="shared" si="4"/>
        <v>THUSDAY</v>
      </c>
      <c r="L139" t="str">
        <f t="shared" si="5"/>
        <v>Heavy Rain</v>
      </c>
    </row>
    <row r="140" spans="1:12" x14ac:dyDescent="0.25">
      <c r="A140" s="7">
        <v>139</v>
      </c>
      <c r="B140" s="8">
        <v>40550</v>
      </c>
      <c r="C140" s="7">
        <v>1</v>
      </c>
      <c r="D140" s="7">
        <v>0</v>
      </c>
      <c r="E140" s="7">
        <v>1</v>
      </c>
      <c r="F140" s="7">
        <v>0</v>
      </c>
      <c r="G140" s="7" t="b">
        <v>0</v>
      </c>
      <c r="H140" s="7">
        <v>5</v>
      </c>
      <c r="I140" s="7">
        <v>2</v>
      </c>
      <c r="J140" s="7">
        <v>0.2</v>
      </c>
      <c r="K140" s="7" t="str">
        <f t="shared" si="4"/>
        <v>FRIDAY</v>
      </c>
      <c r="L140" t="str">
        <f t="shared" si="5"/>
        <v>Heavy Rain</v>
      </c>
    </row>
    <row r="141" spans="1:12" x14ac:dyDescent="0.25">
      <c r="A141" s="7">
        <v>140</v>
      </c>
      <c r="B141" s="8">
        <v>40550</v>
      </c>
      <c r="C141" s="7">
        <v>1</v>
      </c>
      <c r="D141" s="7">
        <v>0</v>
      </c>
      <c r="E141" s="7">
        <v>1</v>
      </c>
      <c r="F141" s="7">
        <v>1</v>
      </c>
      <c r="G141" s="7" t="b">
        <v>0</v>
      </c>
      <c r="H141" s="7">
        <v>5</v>
      </c>
      <c r="I141" s="7">
        <v>2</v>
      </c>
      <c r="J141" s="7">
        <v>0.2</v>
      </c>
      <c r="K141" s="7" t="str">
        <f t="shared" si="4"/>
        <v>FRIDAY</v>
      </c>
      <c r="L141" t="str">
        <f t="shared" si="5"/>
        <v>Heavy Rain</v>
      </c>
    </row>
    <row r="142" spans="1:12" x14ac:dyDescent="0.25">
      <c r="A142" s="7">
        <v>141</v>
      </c>
      <c r="B142" s="8">
        <v>40550</v>
      </c>
      <c r="C142" s="7">
        <v>1</v>
      </c>
      <c r="D142" s="7">
        <v>0</v>
      </c>
      <c r="E142" s="7">
        <v>1</v>
      </c>
      <c r="F142" s="7">
        <v>2</v>
      </c>
      <c r="G142" s="7" t="b">
        <v>0</v>
      </c>
      <c r="H142" s="7">
        <v>5</v>
      </c>
      <c r="I142" s="7">
        <v>2</v>
      </c>
      <c r="J142" s="7">
        <v>0.2</v>
      </c>
      <c r="K142" s="7" t="str">
        <f t="shared" si="4"/>
        <v>FRIDAY</v>
      </c>
      <c r="L142" t="str">
        <f t="shared" si="5"/>
        <v>Heavy Rain</v>
      </c>
    </row>
    <row r="143" spans="1:12" x14ac:dyDescent="0.25">
      <c r="A143" s="7">
        <v>142</v>
      </c>
      <c r="B143" s="8">
        <v>40550</v>
      </c>
      <c r="C143" s="7">
        <v>1</v>
      </c>
      <c r="D143" s="7">
        <v>0</v>
      </c>
      <c r="E143" s="7">
        <v>1</v>
      </c>
      <c r="F143" s="7">
        <v>4</v>
      </c>
      <c r="G143" s="7" t="b">
        <v>0</v>
      </c>
      <c r="H143" s="7">
        <v>5</v>
      </c>
      <c r="I143" s="7">
        <v>2</v>
      </c>
      <c r="J143" s="7">
        <v>0.2</v>
      </c>
      <c r="K143" s="7" t="str">
        <f t="shared" si="4"/>
        <v>FRIDAY</v>
      </c>
      <c r="L143" t="str">
        <f t="shared" si="5"/>
        <v>Heavy Rain</v>
      </c>
    </row>
    <row r="144" spans="1:12" x14ac:dyDescent="0.25">
      <c r="A144" s="7">
        <v>143</v>
      </c>
      <c r="B144" s="8">
        <v>40550</v>
      </c>
      <c r="C144" s="7">
        <v>1</v>
      </c>
      <c r="D144" s="7">
        <v>0</v>
      </c>
      <c r="E144" s="7">
        <v>1</v>
      </c>
      <c r="F144" s="7">
        <v>5</v>
      </c>
      <c r="G144" s="7" t="b">
        <v>0</v>
      </c>
      <c r="H144" s="7">
        <v>5</v>
      </c>
      <c r="I144" s="7">
        <v>3</v>
      </c>
      <c r="J144" s="7">
        <v>0.22</v>
      </c>
      <c r="K144" s="7" t="str">
        <f t="shared" si="4"/>
        <v>FRIDAY</v>
      </c>
      <c r="L144" t="str">
        <f t="shared" si="5"/>
        <v>Heavy Rain</v>
      </c>
    </row>
    <row r="145" spans="1:12" x14ac:dyDescent="0.25">
      <c r="A145" s="7">
        <v>144</v>
      </c>
      <c r="B145" s="8">
        <v>40550</v>
      </c>
      <c r="C145" s="7">
        <v>1</v>
      </c>
      <c r="D145" s="7">
        <v>0</v>
      </c>
      <c r="E145" s="7">
        <v>1</v>
      </c>
      <c r="F145" s="7">
        <v>6</v>
      </c>
      <c r="G145" s="7" t="b">
        <v>0</v>
      </c>
      <c r="H145" s="7">
        <v>5</v>
      </c>
      <c r="I145" s="7">
        <v>2</v>
      </c>
      <c r="J145" s="7">
        <v>0.2</v>
      </c>
      <c r="K145" s="7" t="str">
        <f t="shared" si="4"/>
        <v>FRIDAY</v>
      </c>
      <c r="L145" t="str">
        <f t="shared" si="5"/>
        <v>Heavy Rain</v>
      </c>
    </row>
    <row r="146" spans="1:12" x14ac:dyDescent="0.25">
      <c r="A146" s="7">
        <v>145</v>
      </c>
      <c r="B146" s="8">
        <v>40550</v>
      </c>
      <c r="C146" s="7">
        <v>1</v>
      </c>
      <c r="D146" s="7">
        <v>0</v>
      </c>
      <c r="E146" s="7">
        <v>1</v>
      </c>
      <c r="F146" s="7">
        <v>7</v>
      </c>
      <c r="G146" s="7" t="b">
        <v>0</v>
      </c>
      <c r="H146" s="7">
        <v>5</v>
      </c>
      <c r="I146" s="7">
        <v>1</v>
      </c>
      <c r="J146" s="7">
        <v>0.2</v>
      </c>
      <c r="K146" s="7" t="str">
        <f t="shared" si="4"/>
        <v>FRIDAY</v>
      </c>
      <c r="L146" t="str">
        <f t="shared" si="5"/>
        <v>Heavy Rain</v>
      </c>
    </row>
    <row r="147" spans="1:12" x14ac:dyDescent="0.25">
      <c r="A147" s="7">
        <v>146</v>
      </c>
      <c r="B147" s="8">
        <v>40550</v>
      </c>
      <c r="C147" s="7">
        <v>1</v>
      </c>
      <c r="D147" s="7">
        <v>0</v>
      </c>
      <c r="E147" s="7">
        <v>1</v>
      </c>
      <c r="F147" s="7">
        <v>8</v>
      </c>
      <c r="G147" s="7" t="b">
        <v>0</v>
      </c>
      <c r="H147" s="7">
        <v>5</v>
      </c>
      <c r="I147" s="7">
        <v>1</v>
      </c>
      <c r="J147" s="7">
        <v>0.2</v>
      </c>
      <c r="K147" s="7" t="str">
        <f t="shared" si="4"/>
        <v>FRIDAY</v>
      </c>
      <c r="L147" t="str">
        <f t="shared" si="5"/>
        <v>Heavy Rain</v>
      </c>
    </row>
    <row r="148" spans="1:12" x14ac:dyDescent="0.25">
      <c r="A148" s="7">
        <v>147</v>
      </c>
      <c r="B148" s="8">
        <v>40550</v>
      </c>
      <c r="C148" s="7">
        <v>1</v>
      </c>
      <c r="D148" s="7">
        <v>0</v>
      </c>
      <c r="E148" s="7">
        <v>1</v>
      </c>
      <c r="F148" s="7">
        <v>9</v>
      </c>
      <c r="G148" s="7" t="b">
        <v>0</v>
      </c>
      <c r="H148" s="7">
        <v>5</v>
      </c>
      <c r="I148" s="7">
        <v>1</v>
      </c>
      <c r="J148" s="7">
        <v>0.2</v>
      </c>
      <c r="K148" s="7" t="str">
        <f t="shared" si="4"/>
        <v>FRIDAY</v>
      </c>
      <c r="L148" t="str">
        <f t="shared" si="5"/>
        <v>Heavy Rain</v>
      </c>
    </row>
    <row r="149" spans="1:12" x14ac:dyDescent="0.25">
      <c r="A149" s="7">
        <v>148</v>
      </c>
      <c r="B149" s="8">
        <v>40550</v>
      </c>
      <c r="C149" s="7">
        <v>1</v>
      </c>
      <c r="D149" s="7">
        <v>0</v>
      </c>
      <c r="E149" s="7">
        <v>1</v>
      </c>
      <c r="F149" s="7">
        <v>10</v>
      </c>
      <c r="G149" s="7" t="b">
        <v>0</v>
      </c>
      <c r="H149" s="7">
        <v>5</v>
      </c>
      <c r="I149" s="7">
        <v>1</v>
      </c>
      <c r="J149" s="7">
        <v>0.22</v>
      </c>
      <c r="K149" s="7" t="str">
        <f t="shared" si="4"/>
        <v>FRIDAY</v>
      </c>
      <c r="L149" t="str">
        <f t="shared" si="5"/>
        <v>Heavy Rain</v>
      </c>
    </row>
    <row r="150" spans="1:12" x14ac:dyDescent="0.25">
      <c r="A150" s="7">
        <v>149</v>
      </c>
      <c r="B150" s="8">
        <v>40550</v>
      </c>
      <c r="C150" s="7">
        <v>1</v>
      </c>
      <c r="D150" s="7">
        <v>0</v>
      </c>
      <c r="E150" s="7">
        <v>1</v>
      </c>
      <c r="F150" s="7">
        <v>11</v>
      </c>
      <c r="G150" s="7" t="b">
        <v>0</v>
      </c>
      <c r="H150" s="7">
        <v>5</v>
      </c>
      <c r="I150" s="7">
        <v>2</v>
      </c>
      <c r="J150" s="7">
        <v>0.2</v>
      </c>
      <c r="K150" s="7" t="str">
        <f t="shared" si="4"/>
        <v>FRIDAY</v>
      </c>
      <c r="L150" t="str">
        <f t="shared" si="5"/>
        <v>Heavy Rain</v>
      </c>
    </row>
    <row r="151" spans="1:12" x14ac:dyDescent="0.25">
      <c r="A151" s="7">
        <v>150</v>
      </c>
      <c r="B151" s="8">
        <v>40550</v>
      </c>
      <c r="C151" s="7">
        <v>1</v>
      </c>
      <c r="D151" s="7">
        <v>0</v>
      </c>
      <c r="E151" s="7">
        <v>1</v>
      </c>
      <c r="F151" s="7">
        <v>12</v>
      </c>
      <c r="G151" s="7" t="b">
        <v>0</v>
      </c>
      <c r="H151" s="7">
        <v>5</v>
      </c>
      <c r="I151" s="7">
        <v>2</v>
      </c>
      <c r="J151" s="7">
        <v>0.2</v>
      </c>
      <c r="K151" s="7" t="str">
        <f t="shared" si="4"/>
        <v>FRIDAY</v>
      </c>
      <c r="L151" t="str">
        <f t="shared" si="5"/>
        <v>Heavy Rain</v>
      </c>
    </row>
    <row r="152" spans="1:12" x14ac:dyDescent="0.25">
      <c r="A152" s="7">
        <v>151</v>
      </c>
      <c r="B152" s="8">
        <v>40550</v>
      </c>
      <c r="C152" s="7">
        <v>1</v>
      </c>
      <c r="D152" s="7">
        <v>0</v>
      </c>
      <c r="E152" s="7">
        <v>1</v>
      </c>
      <c r="F152" s="7">
        <v>13</v>
      </c>
      <c r="G152" s="7" t="b">
        <v>0</v>
      </c>
      <c r="H152" s="7">
        <v>5</v>
      </c>
      <c r="I152" s="7">
        <v>2</v>
      </c>
      <c r="J152" s="7">
        <v>0.2</v>
      </c>
      <c r="K152" s="7" t="str">
        <f t="shared" si="4"/>
        <v>FRIDAY</v>
      </c>
      <c r="L152" t="str">
        <f t="shared" si="5"/>
        <v>Heavy Rain</v>
      </c>
    </row>
    <row r="153" spans="1:12" x14ac:dyDescent="0.25">
      <c r="A153" s="7">
        <v>152</v>
      </c>
      <c r="B153" s="8">
        <v>40550</v>
      </c>
      <c r="C153" s="7">
        <v>1</v>
      </c>
      <c r="D153" s="7">
        <v>0</v>
      </c>
      <c r="E153" s="7">
        <v>1</v>
      </c>
      <c r="F153" s="7">
        <v>14</v>
      </c>
      <c r="G153" s="7" t="b">
        <v>0</v>
      </c>
      <c r="H153" s="7">
        <v>5</v>
      </c>
      <c r="I153" s="7">
        <v>2</v>
      </c>
      <c r="J153" s="7">
        <v>0.2</v>
      </c>
      <c r="K153" s="7" t="str">
        <f t="shared" si="4"/>
        <v>FRIDAY</v>
      </c>
      <c r="L153" t="str">
        <f t="shared" si="5"/>
        <v>Heavy Rain</v>
      </c>
    </row>
    <row r="154" spans="1:12" x14ac:dyDescent="0.25">
      <c r="A154" s="7">
        <v>153</v>
      </c>
      <c r="B154" s="8">
        <v>40550</v>
      </c>
      <c r="C154" s="7">
        <v>1</v>
      </c>
      <c r="D154" s="7">
        <v>0</v>
      </c>
      <c r="E154" s="7">
        <v>1</v>
      </c>
      <c r="F154" s="7">
        <v>15</v>
      </c>
      <c r="G154" s="7" t="b">
        <v>0</v>
      </c>
      <c r="H154" s="7">
        <v>5</v>
      </c>
      <c r="I154" s="7">
        <v>2</v>
      </c>
      <c r="J154" s="7">
        <v>0.2</v>
      </c>
      <c r="K154" s="7" t="str">
        <f t="shared" si="4"/>
        <v>FRIDAY</v>
      </c>
      <c r="L154" t="str">
        <f t="shared" si="5"/>
        <v>Heavy Rain</v>
      </c>
    </row>
    <row r="155" spans="1:12" x14ac:dyDescent="0.25">
      <c r="A155" s="7">
        <v>154</v>
      </c>
      <c r="B155" s="8">
        <v>40550</v>
      </c>
      <c r="C155" s="7">
        <v>1</v>
      </c>
      <c r="D155" s="7">
        <v>0</v>
      </c>
      <c r="E155" s="7">
        <v>1</v>
      </c>
      <c r="F155" s="7">
        <v>16</v>
      </c>
      <c r="G155" s="7" t="b">
        <v>0</v>
      </c>
      <c r="H155" s="7">
        <v>5</v>
      </c>
      <c r="I155" s="7">
        <v>2</v>
      </c>
      <c r="J155" s="7">
        <v>0.2</v>
      </c>
      <c r="K155" s="7" t="str">
        <f t="shared" si="4"/>
        <v>FRIDAY</v>
      </c>
      <c r="L155" t="str">
        <f t="shared" si="5"/>
        <v>Heavy Rain</v>
      </c>
    </row>
    <row r="156" spans="1:12" x14ac:dyDescent="0.25">
      <c r="A156" s="7">
        <v>155</v>
      </c>
      <c r="B156" s="8">
        <v>40550</v>
      </c>
      <c r="C156" s="7">
        <v>1</v>
      </c>
      <c r="D156" s="7">
        <v>0</v>
      </c>
      <c r="E156" s="7">
        <v>1</v>
      </c>
      <c r="F156" s="7">
        <v>17</v>
      </c>
      <c r="G156" s="7" t="b">
        <v>0</v>
      </c>
      <c r="H156" s="7">
        <v>5</v>
      </c>
      <c r="I156" s="7">
        <v>2</v>
      </c>
      <c r="J156" s="7">
        <v>0.2</v>
      </c>
      <c r="K156" s="7" t="str">
        <f t="shared" si="4"/>
        <v>FRIDAY</v>
      </c>
      <c r="L156" t="str">
        <f t="shared" si="5"/>
        <v>Heavy Rain</v>
      </c>
    </row>
    <row r="157" spans="1:12" x14ac:dyDescent="0.25">
      <c r="A157" s="7">
        <v>156</v>
      </c>
      <c r="B157" s="8">
        <v>40550</v>
      </c>
      <c r="C157" s="7">
        <v>1</v>
      </c>
      <c r="D157" s="7">
        <v>0</v>
      </c>
      <c r="E157" s="7">
        <v>1</v>
      </c>
      <c r="F157" s="7">
        <v>18</v>
      </c>
      <c r="G157" s="7" t="b">
        <v>0</v>
      </c>
      <c r="H157" s="7">
        <v>5</v>
      </c>
      <c r="I157" s="7">
        <v>1</v>
      </c>
      <c r="J157" s="7">
        <v>0.2</v>
      </c>
      <c r="K157" s="7" t="str">
        <f t="shared" si="4"/>
        <v>FRIDAY</v>
      </c>
      <c r="L157" t="str">
        <f t="shared" si="5"/>
        <v>Heavy Rain</v>
      </c>
    </row>
    <row r="158" spans="1:12" x14ac:dyDescent="0.25">
      <c r="A158" s="7">
        <v>157</v>
      </c>
      <c r="B158" s="8">
        <v>40550</v>
      </c>
      <c r="C158" s="7">
        <v>1</v>
      </c>
      <c r="D158" s="7">
        <v>0</v>
      </c>
      <c r="E158" s="7">
        <v>1</v>
      </c>
      <c r="F158" s="7">
        <v>19</v>
      </c>
      <c r="G158" s="7" t="b">
        <v>0</v>
      </c>
      <c r="H158" s="7">
        <v>5</v>
      </c>
      <c r="I158" s="7">
        <v>1</v>
      </c>
      <c r="J158" s="7">
        <v>0.16</v>
      </c>
      <c r="K158" s="7" t="str">
        <f t="shared" si="4"/>
        <v>FRIDAY</v>
      </c>
      <c r="L158" t="str">
        <f t="shared" si="5"/>
        <v>Heavy Rain</v>
      </c>
    </row>
    <row r="159" spans="1:12" x14ac:dyDescent="0.25">
      <c r="A159" s="7">
        <v>158</v>
      </c>
      <c r="B159" s="8">
        <v>40550</v>
      </c>
      <c r="C159" s="7">
        <v>1</v>
      </c>
      <c r="D159" s="7">
        <v>0</v>
      </c>
      <c r="E159" s="7">
        <v>1</v>
      </c>
      <c r="F159" s="7">
        <v>20</v>
      </c>
      <c r="G159" s="7" t="b">
        <v>0</v>
      </c>
      <c r="H159" s="7">
        <v>5</v>
      </c>
      <c r="I159" s="7">
        <v>1</v>
      </c>
      <c r="J159" s="7">
        <v>0.18</v>
      </c>
      <c r="K159" s="7" t="str">
        <f t="shared" si="4"/>
        <v>FRIDAY</v>
      </c>
      <c r="L159" t="str">
        <f t="shared" si="5"/>
        <v>Heavy Rain</v>
      </c>
    </row>
    <row r="160" spans="1:12" x14ac:dyDescent="0.25">
      <c r="A160" s="7">
        <v>159</v>
      </c>
      <c r="B160" s="8">
        <v>40550</v>
      </c>
      <c r="C160" s="7">
        <v>1</v>
      </c>
      <c r="D160" s="7">
        <v>0</v>
      </c>
      <c r="E160" s="7">
        <v>1</v>
      </c>
      <c r="F160" s="7">
        <v>21</v>
      </c>
      <c r="G160" s="7" t="b">
        <v>0</v>
      </c>
      <c r="H160" s="7">
        <v>5</v>
      </c>
      <c r="I160" s="7">
        <v>1</v>
      </c>
      <c r="J160" s="7">
        <v>0.18</v>
      </c>
      <c r="K160" s="7" t="str">
        <f t="shared" si="4"/>
        <v>FRIDAY</v>
      </c>
      <c r="L160" t="str">
        <f t="shared" si="5"/>
        <v>Heavy Rain</v>
      </c>
    </row>
    <row r="161" spans="1:12" x14ac:dyDescent="0.25">
      <c r="A161" s="7">
        <v>160</v>
      </c>
      <c r="B161" s="8">
        <v>40550</v>
      </c>
      <c r="C161" s="7">
        <v>1</v>
      </c>
      <c r="D161" s="7">
        <v>0</v>
      </c>
      <c r="E161" s="7">
        <v>1</v>
      </c>
      <c r="F161" s="7">
        <v>22</v>
      </c>
      <c r="G161" s="7" t="b">
        <v>0</v>
      </c>
      <c r="H161" s="7">
        <v>5</v>
      </c>
      <c r="I161" s="7">
        <v>2</v>
      </c>
      <c r="J161" s="7">
        <v>0.18</v>
      </c>
      <c r="K161" s="7" t="str">
        <f t="shared" si="4"/>
        <v>FRIDAY</v>
      </c>
      <c r="L161" t="str">
        <f t="shared" si="5"/>
        <v>Heavy Rain</v>
      </c>
    </row>
    <row r="162" spans="1:12" x14ac:dyDescent="0.25">
      <c r="A162" s="7">
        <v>161</v>
      </c>
      <c r="B162" s="8">
        <v>40550</v>
      </c>
      <c r="C162" s="7">
        <v>1</v>
      </c>
      <c r="D162" s="7">
        <v>0</v>
      </c>
      <c r="E162" s="7">
        <v>1</v>
      </c>
      <c r="F162" s="7">
        <v>23</v>
      </c>
      <c r="G162" s="7" t="b">
        <v>0</v>
      </c>
      <c r="H162" s="7">
        <v>5</v>
      </c>
      <c r="I162" s="7">
        <v>2</v>
      </c>
      <c r="J162" s="7">
        <v>0.18</v>
      </c>
      <c r="K162" s="7" t="str">
        <f t="shared" si="4"/>
        <v>FRIDAY</v>
      </c>
      <c r="L162" t="str">
        <f t="shared" si="5"/>
        <v>Heavy Rain</v>
      </c>
    </row>
    <row r="163" spans="1:12" x14ac:dyDescent="0.25">
      <c r="A163" s="7">
        <v>162</v>
      </c>
      <c r="B163" s="8">
        <v>40551</v>
      </c>
      <c r="C163" s="7">
        <v>1</v>
      </c>
      <c r="D163" s="7">
        <v>0</v>
      </c>
      <c r="E163" s="7">
        <v>1</v>
      </c>
      <c r="F163" s="7">
        <v>0</v>
      </c>
      <c r="G163" s="7" t="b">
        <v>0</v>
      </c>
      <c r="H163" s="7">
        <v>6</v>
      </c>
      <c r="I163" s="7">
        <v>2</v>
      </c>
      <c r="J163" s="7">
        <v>0.18</v>
      </c>
      <c r="K163" s="7" t="str">
        <f t="shared" si="4"/>
        <v>SATARDAY</v>
      </c>
      <c r="L163" t="str">
        <f t="shared" si="5"/>
        <v>Heavy Rain</v>
      </c>
    </row>
    <row r="164" spans="1:12" x14ac:dyDescent="0.25">
      <c r="A164" s="7">
        <v>163</v>
      </c>
      <c r="B164" s="8">
        <v>40551</v>
      </c>
      <c r="C164" s="7">
        <v>1</v>
      </c>
      <c r="D164" s="7">
        <v>0</v>
      </c>
      <c r="E164" s="7">
        <v>1</v>
      </c>
      <c r="F164" s="7">
        <v>1</v>
      </c>
      <c r="G164" s="7" t="b">
        <v>0</v>
      </c>
      <c r="H164" s="7">
        <v>6</v>
      </c>
      <c r="I164" s="7">
        <v>2</v>
      </c>
      <c r="J164" s="7">
        <v>0.18</v>
      </c>
      <c r="K164" s="7" t="str">
        <f t="shared" si="4"/>
        <v>SATARDAY</v>
      </c>
      <c r="L164" t="str">
        <f t="shared" si="5"/>
        <v>Heavy Rain</v>
      </c>
    </row>
    <row r="165" spans="1:12" x14ac:dyDescent="0.25">
      <c r="A165" s="7">
        <v>164</v>
      </c>
      <c r="B165" s="8">
        <v>40551</v>
      </c>
      <c r="C165" s="7">
        <v>1</v>
      </c>
      <c r="D165" s="7">
        <v>0</v>
      </c>
      <c r="E165" s="7">
        <v>1</v>
      </c>
      <c r="F165" s="7">
        <v>2</v>
      </c>
      <c r="G165" s="7" t="b">
        <v>0</v>
      </c>
      <c r="H165" s="7">
        <v>6</v>
      </c>
      <c r="I165" s="7">
        <v>2</v>
      </c>
      <c r="J165" s="7">
        <v>0.18</v>
      </c>
      <c r="K165" s="7" t="str">
        <f t="shared" si="4"/>
        <v>SATARDAY</v>
      </c>
      <c r="L165" t="str">
        <f t="shared" si="5"/>
        <v>Heavy Rain</v>
      </c>
    </row>
    <row r="166" spans="1:12" x14ac:dyDescent="0.25">
      <c r="A166" s="7">
        <v>165</v>
      </c>
      <c r="B166" s="8">
        <v>40551</v>
      </c>
      <c r="C166" s="7">
        <v>1</v>
      </c>
      <c r="D166" s="7">
        <v>0</v>
      </c>
      <c r="E166" s="7">
        <v>1</v>
      </c>
      <c r="F166" s="7">
        <v>3</v>
      </c>
      <c r="G166" s="7" t="b">
        <v>0</v>
      </c>
      <c r="H166" s="7">
        <v>6</v>
      </c>
      <c r="I166" s="7">
        <v>3</v>
      </c>
      <c r="J166" s="7">
        <v>0.18</v>
      </c>
      <c r="K166" s="7" t="str">
        <f t="shared" si="4"/>
        <v>SATARDAY</v>
      </c>
      <c r="L166" t="str">
        <f t="shared" si="5"/>
        <v>Heavy Rain</v>
      </c>
    </row>
    <row r="167" spans="1:12" x14ac:dyDescent="0.25">
      <c r="A167" s="7">
        <v>166</v>
      </c>
      <c r="B167" s="8">
        <v>40551</v>
      </c>
      <c r="C167" s="7">
        <v>1</v>
      </c>
      <c r="D167" s="7">
        <v>0</v>
      </c>
      <c r="E167" s="7">
        <v>1</v>
      </c>
      <c r="F167" s="7">
        <v>4</v>
      </c>
      <c r="G167" s="7" t="b">
        <v>0</v>
      </c>
      <c r="H167" s="7">
        <v>6</v>
      </c>
      <c r="I167" s="7">
        <v>3</v>
      </c>
      <c r="J167" s="7">
        <v>0.18</v>
      </c>
      <c r="K167" s="7" t="str">
        <f t="shared" si="4"/>
        <v>SATARDAY</v>
      </c>
      <c r="L167" t="str">
        <f t="shared" si="5"/>
        <v>Heavy Rain</v>
      </c>
    </row>
    <row r="168" spans="1:12" x14ac:dyDescent="0.25">
      <c r="A168" s="7">
        <v>167</v>
      </c>
      <c r="B168" s="8">
        <v>40551</v>
      </c>
      <c r="C168" s="7">
        <v>1</v>
      </c>
      <c r="D168" s="7">
        <v>0</v>
      </c>
      <c r="E168" s="7">
        <v>1</v>
      </c>
      <c r="F168" s="7">
        <v>5</v>
      </c>
      <c r="G168" s="7" t="b">
        <v>0</v>
      </c>
      <c r="H168" s="7">
        <v>6</v>
      </c>
      <c r="I168" s="7">
        <v>2</v>
      </c>
      <c r="J168" s="7">
        <v>0.16</v>
      </c>
      <c r="K168" s="7" t="str">
        <f t="shared" si="4"/>
        <v>SATARDAY</v>
      </c>
      <c r="L168" t="str">
        <f t="shared" si="5"/>
        <v>Heavy Rain</v>
      </c>
    </row>
    <row r="169" spans="1:12" x14ac:dyDescent="0.25">
      <c r="A169" s="7">
        <v>168</v>
      </c>
      <c r="B169" s="8">
        <v>40551</v>
      </c>
      <c r="C169" s="7">
        <v>1</v>
      </c>
      <c r="D169" s="7">
        <v>0</v>
      </c>
      <c r="E169" s="7">
        <v>1</v>
      </c>
      <c r="F169" s="7">
        <v>6</v>
      </c>
      <c r="G169" s="7" t="b">
        <v>0</v>
      </c>
      <c r="H169" s="7">
        <v>6</v>
      </c>
      <c r="I169" s="7">
        <v>2</v>
      </c>
      <c r="J169" s="7">
        <v>0.16</v>
      </c>
      <c r="K169" s="7" t="str">
        <f t="shared" si="4"/>
        <v>SATARDAY</v>
      </c>
      <c r="L169" t="str">
        <f t="shared" si="5"/>
        <v>Heavy Rain</v>
      </c>
    </row>
    <row r="170" spans="1:12" x14ac:dyDescent="0.25">
      <c r="A170" s="7">
        <v>169</v>
      </c>
      <c r="B170" s="8">
        <v>40551</v>
      </c>
      <c r="C170" s="7">
        <v>1</v>
      </c>
      <c r="D170" s="7">
        <v>0</v>
      </c>
      <c r="E170" s="7">
        <v>1</v>
      </c>
      <c r="F170" s="7">
        <v>7</v>
      </c>
      <c r="G170" s="7" t="b">
        <v>0</v>
      </c>
      <c r="H170" s="7">
        <v>6</v>
      </c>
      <c r="I170" s="7">
        <v>2</v>
      </c>
      <c r="J170" s="7">
        <v>0.16</v>
      </c>
      <c r="K170" s="7" t="str">
        <f t="shared" si="4"/>
        <v>SATARDAY</v>
      </c>
      <c r="L170" t="str">
        <f t="shared" si="5"/>
        <v>Heavy Rain</v>
      </c>
    </row>
    <row r="171" spans="1:12" x14ac:dyDescent="0.25">
      <c r="A171" s="7">
        <v>170</v>
      </c>
      <c r="B171" s="8">
        <v>40551</v>
      </c>
      <c r="C171" s="7">
        <v>1</v>
      </c>
      <c r="D171" s="7">
        <v>0</v>
      </c>
      <c r="E171" s="7">
        <v>1</v>
      </c>
      <c r="F171" s="7">
        <v>8</v>
      </c>
      <c r="G171" s="7" t="b">
        <v>0</v>
      </c>
      <c r="H171" s="7">
        <v>6</v>
      </c>
      <c r="I171" s="7">
        <v>3</v>
      </c>
      <c r="J171" s="7">
        <v>0.16</v>
      </c>
      <c r="K171" s="7" t="str">
        <f t="shared" si="4"/>
        <v>SATARDAY</v>
      </c>
      <c r="L171" t="str">
        <f t="shared" si="5"/>
        <v>Heavy Rain</v>
      </c>
    </row>
    <row r="172" spans="1:12" x14ac:dyDescent="0.25">
      <c r="A172" s="7">
        <v>171</v>
      </c>
      <c r="B172" s="8">
        <v>40551</v>
      </c>
      <c r="C172" s="7">
        <v>1</v>
      </c>
      <c r="D172" s="7">
        <v>0</v>
      </c>
      <c r="E172" s="7">
        <v>1</v>
      </c>
      <c r="F172" s="7">
        <v>9</v>
      </c>
      <c r="G172" s="7" t="b">
        <v>0</v>
      </c>
      <c r="H172" s="7">
        <v>6</v>
      </c>
      <c r="I172" s="7">
        <v>3</v>
      </c>
      <c r="J172" s="7">
        <v>0.16</v>
      </c>
      <c r="K172" s="7" t="str">
        <f t="shared" si="4"/>
        <v>SATARDAY</v>
      </c>
      <c r="L172" t="str">
        <f t="shared" si="5"/>
        <v>Heavy Rain</v>
      </c>
    </row>
    <row r="173" spans="1:12" x14ac:dyDescent="0.25">
      <c r="A173" s="7">
        <v>172</v>
      </c>
      <c r="B173" s="8">
        <v>40551</v>
      </c>
      <c r="C173" s="7">
        <v>1</v>
      </c>
      <c r="D173" s="7">
        <v>0</v>
      </c>
      <c r="E173" s="7">
        <v>1</v>
      </c>
      <c r="F173" s="7">
        <v>10</v>
      </c>
      <c r="G173" s="7" t="b">
        <v>0</v>
      </c>
      <c r="H173" s="7">
        <v>6</v>
      </c>
      <c r="I173" s="7">
        <v>2</v>
      </c>
      <c r="J173" s="7">
        <v>0.18</v>
      </c>
      <c r="K173" s="7" t="str">
        <f t="shared" si="4"/>
        <v>SATARDAY</v>
      </c>
      <c r="L173" t="str">
        <f t="shared" si="5"/>
        <v>Heavy Rain</v>
      </c>
    </row>
    <row r="174" spans="1:12" x14ac:dyDescent="0.25">
      <c r="A174" s="7">
        <v>173</v>
      </c>
      <c r="B174" s="8">
        <v>40551</v>
      </c>
      <c r="C174" s="7">
        <v>1</v>
      </c>
      <c r="D174" s="7">
        <v>0</v>
      </c>
      <c r="E174" s="7">
        <v>1</v>
      </c>
      <c r="F174" s="7">
        <v>11</v>
      </c>
      <c r="G174" s="7" t="b">
        <v>0</v>
      </c>
      <c r="H174" s="7">
        <v>6</v>
      </c>
      <c r="I174" s="7">
        <v>2</v>
      </c>
      <c r="J174" s="7">
        <v>0.2</v>
      </c>
      <c r="K174" s="7" t="str">
        <f t="shared" si="4"/>
        <v>SATARDAY</v>
      </c>
      <c r="L174" t="str">
        <f t="shared" si="5"/>
        <v>Heavy Rain</v>
      </c>
    </row>
    <row r="175" spans="1:12" x14ac:dyDescent="0.25">
      <c r="A175" s="7">
        <v>174</v>
      </c>
      <c r="B175" s="8">
        <v>40551</v>
      </c>
      <c r="C175" s="7">
        <v>1</v>
      </c>
      <c r="D175" s="7">
        <v>0</v>
      </c>
      <c r="E175" s="7">
        <v>1</v>
      </c>
      <c r="F175" s="7">
        <v>12</v>
      </c>
      <c r="G175" s="7" t="b">
        <v>0</v>
      </c>
      <c r="H175" s="7">
        <v>6</v>
      </c>
      <c r="I175" s="7">
        <v>2</v>
      </c>
      <c r="J175" s="7">
        <v>0.2</v>
      </c>
      <c r="K175" s="7" t="str">
        <f t="shared" si="4"/>
        <v>SATARDAY</v>
      </c>
      <c r="L175" t="str">
        <f t="shared" si="5"/>
        <v>Heavy Rain</v>
      </c>
    </row>
    <row r="176" spans="1:12" x14ac:dyDescent="0.25">
      <c r="A176" s="7">
        <v>175</v>
      </c>
      <c r="B176" s="8">
        <v>40551</v>
      </c>
      <c r="C176" s="7">
        <v>1</v>
      </c>
      <c r="D176" s="7">
        <v>0</v>
      </c>
      <c r="E176" s="7">
        <v>1</v>
      </c>
      <c r="F176" s="7">
        <v>13</v>
      </c>
      <c r="G176" s="7" t="b">
        <v>0</v>
      </c>
      <c r="H176" s="7">
        <v>6</v>
      </c>
      <c r="I176" s="7">
        <v>1</v>
      </c>
      <c r="J176" s="7">
        <v>0.2</v>
      </c>
      <c r="K176" s="7" t="str">
        <f t="shared" si="4"/>
        <v>SATARDAY</v>
      </c>
      <c r="L176" t="str">
        <f t="shared" si="5"/>
        <v>Heavy Rain</v>
      </c>
    </row>
    <row r="177" spans="1:12" x14ac:dyDescent="0.25">
      <c r="A177" s="7">
        <v>176</v>
      </c>
      <c r="B177" s="8">
        <v>40551</v>
      </c>
      <c r="C177" s="7">
        <v>1</v>
      </c>
      <c r="D177" s="7">
        <v>0</v>
      </c>
      <c r="E177" s="7">
        <v>1</v>
      </c>
      <c r="F177" s="7">
        <v>14</v>
      </c>
      <c r="G177" s="7" t="b">
        <v>0</v>
      </c>
      <c r="H177" s="7">
        <v>6</v>
      </c>
      <c r="I177" s="7">
        <v>1</v>
      </c>
      <c r="J177" s="7">
        <v>0.2</v>
      </c>
      <c r="K177" s="7" t="str">
        <f t="shared" si="4"/>
        <v>SATARDAY</v>
      </c>
      <c r="L177" t="str">
        <f t="shared" si="5"/>
        <v>Heavy Rain</v>
      </c>
    </row>
    <row r="178" spans="1:12" x14ac:dyDescent="0.25">
      <c r="A178" s="7">
        <v>177</v>
      </c>
      <c r="B178" s="8">
        <v>40551</v>
      </c>
      <c r="C178" s="7">
        <v>1</v>
      </c>
      <c r="D178" s="7">
        <v>0</v>
      </c>
      <c r="E178" s="7">
        <v>1</v>
      </c>
      <c r="F178" s="7">
        <v>15</v>
      </c>
      <c r="G178" s="7" t="b">
        <v>0</v>
      </c>
      <c r="H178" s="7">
        <v>6</v>
      </c>
      <c r="I178" s="7">
        <v>1</v>
      </c>
      <c r="J178" s="7">
        <v>0.2</v>
      </c>
      <c r="K178" s="7" t="str">
        <f t="shared" si="4"/>
        <v>SATARDAY</v>
      </c>
      <c r="L178" t="str">
        <f t="shared" si="5"/>
        <v>Heavy Rain</v>
      </c>
    </row>
    <row r="179" spans="1:12" x14ac:dyDescent="0.25">
      <c r="A179" s="7">
        <v>178</v>
      </c>
      <c r="B179" s="8">
        <v>40551</v>
      </c>
      <c r="C179" s="7">
        <v>1</v>
      </c>
      <c r="D179" s="7">
        <v>0</v>
      </c>
      <c r="E179" s="7">
        <v>1</v>
      </c>
      <c r="F179" s="7">
        <v>16</v>
      </c>
      <c r="G179" s="7" t="b">
        <v>0</v>
      </c>
      <c r="H179" s="7">
        <v>6</v>
      </c>
      <c r="I179" s="7">
        <v>1</v>
      </c>
      <c r="J179" s="7">
        <v>0.18</v>
      </c>
      <c r="K179" s="7" t="str">
        <f t="shared" si="4"/>
        <v>SATARDAY</v>
      </c>
      <c r="L179" t="str">
        <f t="shared" si="5"/>
        <v>Heavy Rain</v>
      </c>
    </row>
    <row r="180" spans="1:12" x14ac:dyDescent="0.25">
      <c r="A180" s="7">
        <v>179</v>
      </c>
      <c r="B180" s="8">
        <v>40551</v>
      </c>
      <c r="C180" s="7">
        <v>1</v>
      </c>
      <c r="D180" s="7">
        <v>0</v>
      </c>
      <c r="E180" s="7">
        <v>1</v>
      </c>
      <c r="F180" s="7">
        <v>17</v>
      </c>
      <c r="G180" s="7" t="b">
        <v>0</v>
      </c>
      <c r="H180" s="7">
        <v>6</v>
      </c>
      <c r="I180" s="7">
        <v>1</v>
      </c>
      <c r="J180" s="7">
        <v>0.16</v>
      </c>
      <c r="K180" s="7" t="str">
        <f t="shared" si="4"/>
        <v>SATARDAY</v>
      </c>
      <c r="L180" t="str">
        <f t="shared" si="5"/>
        <v>Heavy Rain</v>
      </c>
    </row>
    <row r="181" spans="1:12" x14ac:dyDescent="0.25">
      <c r="A181" s="7">
        <v>180</v>
      </c>
      <c r="B181" s="8">
        <v>40551</v>
      </c>
      <c r="C181" s="7">
        <v>1</v>
      </c>
      <c r="D181" s="7">
        <v>0</v>
      </c>
      <c r="E181" s="7">
        <v>1</v>
      </c>
      <c r="F181" s="7">
        <v>18</v>
      </c>
      <c r="G181" s="7" t="b">
        <v>0</v>
      </c>
      <c r="H181" s="7">
        <v>6</v>
      </c>
      <c r="I181" s="7">
        <v>1</v>
      </c>
      <c r="J181" s="7">
        <v>0.14000000000000001</v>
      </c>
      <c r="K181" s="7" t="str">
        <f t="shared" si="4"/>
        <v>SATARDAY</v>
      </c>
      <c r="L181" t="str">
        <f t="shared" si="5"/>
        <v>Heavy Rain</v>
      </c>
    </row>
    <row r="182" spans="1:12" x14ac:dyDescent="0.25">
      <c r="A182" s="7">
        <v>181</v>
      </c>
      <c r="B182" s="8">
        <v>40551</v>
      </c>
      <c r="C182" s="7">
        <v>1</v>
      </c>
      <c r="D182" s="7">
        <v>0</v>
      </c>
      <c r="E182" s="7">
        <v>1</v>
      </c>
      <c r="F182" s="7">
        <v>19</v>
      </c>
      <c r="G182" s="7" t="b">
        <v>0</v>
      </c>
      <c r="H182" s="7">
        <v>6</v>
      </c>
      <c r="I182" s="7">
        <v>1</v>
      </c>
      <c r="J182" s="7">
        <v>0.14000000000000001</v>
      </c>
      <c r="K182" s="7" t="str">
        <f t="shared" si="4"/>
        <v>SATARDAY</v>
      </c>
      <c r="L182" t="str">
        <f t="shared" si="5"/>
        <v>Heavy Rain</v>
      </c>
    </row>
    <row r="183" spans="1:12" x14ac:dyDescent="0.25">
      <c r="A183" s="7">
        <v>182</v>
      </c>
      <c r="B183" s="8">
        <v>40551</v>
      </c>
      <c r="C183" s="7">
        <v>1</v>
      </c>
      <c r="D183" s="7">
        <v>0</v>
      </c>
      <c r="E183" s="7">
        <v>1</v>
      </c>
      <c r="F183" s="7">
        <v>20</v>
      </c>
      <c r="G183" s="7" t="b">
        <v>0</v>
      </c>
      <c r="H183" s="7">
        <v>6</v>
      </c>
      <c r="I183" s="7">
        <v>1</v>
      </c>
      <c r="J183" s="7">
        <v>0.12</v>
      </c>
      <c r="K183" s="7" t="str">
        <f t="shared" si="4"/>
        <v>SATARDAY</v>
      </c>
      <c r="L183" t="str">
        <f t="shared" si="5"/>
        <v>Heavy Rain</v>
      </c>
    </row>
    <row r="184" spans="1:12" x14ac:dyDescent="0.25">
      <c r="A184" s="7">
        <v>183</v>
      </c>
      <c r="B184" s="8">
        <v>40551</v>
      </c>
      <c r="C184" s="7">
        <v>1</v>
      </c>
      <c r="D184" s="7">
        <v>0</v>
      </c>
      <c r="E184" s="7">
        <v>1</v>
      </c>
      <c r="F184" s="7">
        <v>21</v>
      </c>
      <c r="G184" s="7" t="b">
        <v>0</v>
      </c>
      <c r="H184" s="7">
        <v>6</v>
      </c>
      <c r="I184" s="7">
        <v>1</v>
      </c>
      <c r="J184" s="7">
        <v>0.12</v>
      </c>
      <c r="K184" s="7" t="str">
        <f t="shared" si="4"/>
        <v>SATARDAY</v>
      </c>
      <c r="L184" t="str">
        <f t="shared" si="5"/>
        <v>Heavy Rain</v>
      </c>
    </row>
    <row r="185" spans="1:12" x14ac:dyDescent="0.25">
      <c r="A185" s="7">
        <v>184</v>
      </c>
      <c r="B185" s="8">
        <v>40551</v>
      </c>
      <c r="C185" s="7">
        <v>1</v>
      </c>
      <c r="D185" s="7">
        <v>0</v>
      </c>
      <c r="E185" s="7">
        <v>1</v>
      </c>
      <c r="F185" s="7">
        <v>22</v>
      </c>
      <c r="G185" s="7" t="b">
        <v>0</v>
      </c>
      <c r="H185" s="7">
        <v>6</v>
      </c>
      <c r="I185" s="7">
        <v>1</v>
      </c>
      <c r="J185" s="7">
        <v>0.12</v>
      </c>
      <c r="K185" s="7" t="str">
        <f t="shared" si="4"/>
        <v>SATARDAY</v>
      </c>
      <c r="L185" t="str">
        <f t="shared" si="5"/>
        <v>Heavy Rain</v>
      </c>
    </row>
    <row r="186" spans="1:12" x14ac:dyDescent="0.25">
      <c r="A186" s="7">
        <v>185</v>
      </c>
      <c r="B186" s="8">
        <v>40551</v>
      </c>
      <c r="C186" s="7">
        <v>1</v>
      </c>
      <c r="D186" s="7">
        <v>0</v>
      </c>
      <c r="E186" s="7">
        <v>1</v>
      </c>
      <c r="F186" s="7">
        <v>23</v>
      </c>
      <c r="G186" s="7" t="b">
        <v>0</v>
      </c>
      <c r="H186" s="7">
        <v>6</v>
      </c>
      <c r="I186" s="7">
        <v>1</v>
      </c>
      <c r="J186" s="7">
        <v>0.1</v>
      </c>
      <c r="K186" s="7" t="str">
        <f t="shared" si="4"/>
        <v>SATARDAY</v>
      </c>
      <c r="L186" t="str">
        <f t="shared" si="5"/>
        <v>Heavy Rain</v>
      </c>
    </row>
    <row r="187" spans="1:12" x14ac:dyDescent="0.25">
      <c r="A187" s="7">
        <v>186</v>
      </c>
      <c r="B187" s="8">
        <v>40552</v>
      </c>
      <c r="C187" s="7">
        <v>1</v>
      </c>
      <c r="D187" s="7">
        <v>0</v>
      </c>
      <c r="E187" s="7">
        <v>1</v>
      </c>
      <c r="F187" s="7">
        <v>0</v>
      </c>
      <c r="G187" s="7" t="b">
        <v>0</v>
      </c>
      <c r="H187" s="7">
        <v>0</v>
      </c>
      <c r="I187" s="7">
        <v>1</v>
      </c>
      <c r="J187" s="7">
        <v>0.1</v>
      </c>
      <c r="K187" s="7" t="str">
        <f t="shared" si="4"/>
        <v>SUNDAY</v>
      </c>
      <c r="L187" t="str">
        <f t="shared" si="5"/>
        <v>Heavy Rain</v>
      </c>
    </row>
    <row r="188" spans="1:12" x14ac:dyDescent="0.25">
      <c r="A188" s="7">
        <v>187</v>
      </c>
      <c r="B188" s="8">
        <v>40552</v>
      </c>
      <c r="C188" s="7">
        <v>1</v>
      </c>
      <c r="D188" s="7">
        <v>0</v>
      </c>
      <c r="E188" s="7">
        <v>1</v>
      </c>
      <c r="F188" s="7">
        <v>1</v>
      </c>
      <c r="G188" s="7" t="b">
        <v>0</v>
      </c>
      <c r="H188" s="7">
        <v>0</v>
      </c>
      <c r="I188" s="7">
        <v>1</v>
      </c>
      <c r="J188" s="7">
        <v>0.1</v>
      </c>
      <c r="K188" s="7" t="str">
        <f t="shared" si="4"/>
        <v>SUNDAY</v>
      </c>
      <c r="L188" t="str">
        <f t="shared" si="5"/>
        <v>Heavy Rain</v>
      </c>
    </row>
    <row r="189" spans="1:12" x14ac:dyDescent="0.25">
      <c r="A189" s="7">
        <v>188</v>
      </c>
      <c r="B189" s="8">
        <v>40552</v>
      </c>
      <c r="C189" s="7">
        <v>1</v>
      </c>
      <c r="D189" s="7">
        <v>0</v>
      </c>
      <c r="E189" s="7">
        <v>1</v>
      </c>
      <c r="F189" s="7">
        <v>2</v>
      </c>
      <c r="G189" s="7" t="b">
        <v>0</v>
      </c>
      <c r="H189" s="7">
        <v>0</v>
      </c>
      <c r="I189" s="7">
        <v>1</v>
      </c>
      <c r="J189" s="7">
        <v>0.1</v>
      </c>
      <c r="K189" s="7" t="str">
        <f t="shared" si="4"/>
        <v>SUNDAY</v>
      </c>
      <c r="L189" t="str">
        <f t="shared" si="5"/>
        <v>Heavy Rain</v>
      </c>
    </row>
    <row r="190" spans="1:12" x14ac:dyDescent="0.25">
      <c r="A190" s="7">
        <v>189</v>
      </c>
      <c r="B190" s="8">
        <v>40552</v>
      </c>
      <c r="C190" s="7">
        <v>1</v>
      </c>
      <c r="D190" s="7">
        <v>0</v>
      </c>
      <c r="E190" s="7">
        <v>1</v>
      </c>
      <c r="F190" s="7">
        <v>3</v>
      </c>
      <c r="G190" s="7" t="b">
        <v>0</v>
      </c>
      <c r="H190" s="7">
        <v>0</v>
      </c>
      <c r="I190" s="7">
        <v>1</v>
      </c>
      <c r="J190" s="7">
        <v>0.1</v>
      </c>
      <c r="K190" s="7" t="str">
        <f t="shared" si="4"/>
        <v>SUNDAY</v>
      </c>
      <c r="L190" t="str">
        <f t="shared" si="5"/>
        <v>Heavy Rain</v>
      </c>
    </row>
    <row r="191" spans="1:12" x14ac:dyDescent="0.25">
      <c r="A191" s="7">
        <v>190</v>
      </c>
      <c r="B191" s="8">
        <v>40552</v>
      </c>
      <c r="C191" s="7">
        <v>1</v>
      </c>
      <c r="D191" s="7">
        <v>0</v>
      </c>
      <c r="E191" s="7">
        <v>1</v>
      </c>
      <c r="F191" s="7">
        <v>4</v>
      </c>
      <c r="G191" s="7" t="b">
        <v>0</v>
      </c>
      <c r="H191" s="7">
        <v>0</v>
      </c>
      <c r="I191" s="7">
        <v>1</v>
      </c>
      <c r="J191" s="7">
        <v>0.08</v>
      </c>
      <c r="K191" s="7" t="str">
        <f t="shared" si="4"/>
        <v>SUNDAY</v>
      </c>
      <c r="L191" t="str">
        <f t="shared" si="5"/>
        <v>Heavy Rain</v>
      </c>
    </row>
    <row r="192" spans="1:12" x14ac:dyDescent="0.25">
      <c r="A192" s="7">
        <v>191</v>
      </c>
      <c r="B192" s="8">
        <v>40552</v>
      </c>
      <c r="C192" s="7">
        <v>1</v>
      </c>
      <c r="D192" s="7">
        <v>0</v>
      </c>
      <c r="E192" s="7">
        <v>1</v>
      </c>
      <c r="F192" s="7">
        <v>5</v>
      </c>
      <c r="G192" s="7" t="b">
        <v>0</v>
      </c>
      <c r="H192" s="7">
        <v>0</v>
      </c>
      <c r="I192" s="7">
        <v>1</v>
      </c>
      <c r="J192" s="7">
        <v>0.08</v>
      </c>
      <c r="K192" s="7" t="str">
        <f t="shared" si="4"/>
        <v>SUNDAY</v>
      </c>
      <c r="L192" t="str">
        <f t="shared" si="5"/>
        <v>Heavy Rain</v>
      </c>
    </row>
    <row r="193" spans="1:12" x14ac:dyDescent="0.25">
      <c r="A193" s="7">
        <v>192</v>
      </c>
      <c r="B193" s="8">
        <v>40552</v>
      </c>
      <c r="C193" s="7">
        <v>1</v>
      </c>
      <c r="D193" s="7">
        <v>0</v>
      </c>
      <c r="E193" s="7">
        <v>1</v>
      </c>
      <c r="F193" s="7">
        <v>6</v>
      </c>
      <c r="G193" s="7" t="b">
        <v>0</v>
      </c>
      <c r="H193" s="7">
        <v>0</v>
      </c>
      <c r="I193" s="7">
        <v>1</v>
      </c>
      <c r="J193" s="7">
        <v>0.1</v>
      </c>
      <c r="K193" s="7" t="str">
        <f t="shared" si="4"/>
        <v>SUNDAY</v>
      </c>
      <c r="L193" t="str">
        <f t="shared" si="5"/>
        <v>Heavy Rain</v>
      </c>
    </row>
    <row r="194" spans="1:12" x14ac:dyDescent="0.25">
      <c r="A194" s="7">
        <v>193</v>
      </c>
      <c r="B194" s="8">
        <v>40552</v>
      </c>
      <c r="C194" s="7">
        <v>1</v>
      </c>
      <c r="D194" s="7">
        <v>0</v>
      </c>
      <c r="E194" s="7">
        <v>1</v>
      </c>
      <c r="F194" s="7">
        <v>7</v>
      </c>
      <c r="G194" s="7" t="b">
        <v>0</v>
      </c>
      <c r="H194" s="7">
        <v>0</v>
      </c>
      <c r="I194" s="7">
        <v>1</v>
      </c>
      <c r="J194" s="7">
        <v>0.08</v>
      </c>
      <c r="K194" s="7" t="str">
        <f t="shared" ref="K194:K257" si="6">CHOOSE(H194+1, "SUNDAY", "MONDAY","TUESDAY", "WENESDAY","THUSDAY", "FRIDAY", "SATARDAY")</f>
        <v>SUNDAY</v>
      </c>
      <c r="L194" t="str">
        <f t="shared" ref="L194:L257" si="7">IF(A194=1,"Clear",IF(A194=2,"Mist",IF(A194=3,"Light Rain/Snow","Heavy Rain")))</f>
        <v>Heavy Rain</v>
      </c>
    </row>
    <row r="195" spans="1:12" x14ac:dyDescent="0.25">
      <c r="A195" s="7">
        <v>194</v>
      </c>
      <c r="B195" s="8">
        <v>40552</v>
      </c>
      <c r="C195" s="7">
        <v>1</v>
      </c>
      <c r="D195" s="7">
        <v>0</v>
      </c>
      <c r="E195" s="7">
        <v>1</v>
      </c>
      <c r="F195" s="7">
        <v>8</v>
      </c>
      <c r="G195" s="7" t="b">
        <v>0</v>
      </c>
      <c r="H195" s="7">
        <v>0</v>
      </c>
      <c r="I195" s="7">
        <v>1</v>
      </c>
      <c r="J195" s="7">
        <v>0.1</v>
      </c>
      <c r="K195" s="7" t="str">
        <f t="shared" si="6"/>
        <v>SUNDAY</v>
      </c>
      <c r="L195" t="str">
        <f t="shared" si="7"/>
        <v>Heavy Rain</v>
      </c>
    </row>
    <row r="196" spans="1:12" x14ac:dyDescent="0.25">
      <c r="A196" s="7">
        <v>195</v>
      </c>
      <c r="B196" s="8">
        <v>40552</v>
      </c>
      <c r="C196" s="7">
        <v>1</v>
      </c>
      <c r="D196" s="7">
        <v>0</v>
      </c>
      <c r="E196" s="7">
        <v>1</v>
      </c>
      <c r="F196" s="7">
        <v>9</v>
      </c>
      <c r="G196" s="7" t="b">
        <v>0</v>
      </c>
      <c r="H196" s="7">
        <v>0</v>
      </c>
      <c r="I196" s="7">
        <v>1</v>
      </c>
      <c r="J196" s="7">
        <v>0.12</v>
      </c>
      <c r="K196" s="7" t="str">
        <f t="shared" si="6"/>
        <v>SUNDAY</v>
      </c>
      <c r="L196" t="str">
        <f t="shared" si="7"/>
        <v>Heavy Rain</v>
      </c>
    </row>
    <row r="197" spans="1:12" x14ac:dyDescent="0.25">
      <c r="A197" s="7">
        <v>196</v>
      </c>
      <c r="B197" s="8">
        <v>40552</v>
      </c>
      <c r="C197" s="7">
        <v>1</v>
      </c>
      <c r="D197" s="7">
        <v>0</v>
      </c>
      <c r="E197" s="7">
        <v>1</v>
      </c>
      <c r="F197" s="7">
        <v>10</v>
      </c>
      <c r="G197" s="7" t="b">
        <v>0</v>
      </c>
      <c r="H197" s="7">
        <v>0</v>
      </c>
      <c r="I197" s="7">
        <v>1</v>
      </c>
      <c r="J197" s="7">
        <v>0.14000000000000001</v>
      </c>
      <c r="K197" s="7" t="str">
        <f t="shared" si="6"/>
        <v>SUNDAY</v>
      </c>
      <c r="L197" t="str">
        <f t="shared" si="7"/>
        <v>Heavy Rain</v>
      </c>
    </row>
    <row r="198" spans="1:12" x14ac:dyDescent="0.25">
      <c r="A198" s="7">
        <v>197</v>
      </c>
      <c r="B198" s="8">
        <v>40552</v>
      </c>
      <c r="C198" s="7">
        <v>1</v>
      </c>
      <c r="D198" s="7">
        <v>0</v>
      </c>
      <c r="E198" s="7">
        <v>1</v>
      </c>
      <c r="F198" s="7">
        <v>11</v>
      </c>
      <c r="G198" s="7" t="b">
        <v>0</v>
      </c>
      <c r="H198" s="7">
        <v>0</v>
      </c>
      <c r="I198" s="7">
        <v>1</v>
      </c>
      <c r="J198" s="7">
        <v>0.16</v>
      </c>
      <c r="K198" s="7" t="str">
        <f t="shared" si="6"/>
        <v>SUNDAY</v>
      </c>
      <c r="L198" t="str">
        <f t="shared" si="7"/>
        <v>Heavy Rain</v>
      </c>
    </row>
    <row r="199" spans="1:12" x14ac:dyDescent="0.25">
      <c r="A199" s="7">
        <v>198</v>
      </c>
      <c r="B199" s="8">
        <v>40552</v>
      </c>
      <c r="C199" s="7">
        <v>1</v>
      </c>
      <c r="D199" s="7">
        <v>0</v>
      </c>
      <c r="E199" s="7">
        <v>1</v>
      </c>
      <c r="F199" s="7">
        <v>12</v>
      </c>
      <c r="G199" s="7" t="b">
        <v>0</v>
      </c>
      <c r="H199" s="7">
        <v>0</v>
      </c>
      <c r="I199" s="7">
        <v>1</v>
      </c>
      <c r="J199" s="7">
        <v>0.18</v>
      </c>
      <c r="K199" s="7" t="str">
        <f t="shared" si="6"/>
        <v>SUNDAY</v>
      </c>
      <c r="L199" t="str">
        <f t="shared" si="7"/>
        <v>Heavy Rain</v>
      </c>
    </row>
    <row r="200" spans="1:12" x14ac:dyDescent="0.25">
      <c r="A200" s="7">
        <v>199</v>
      </c>
      <c r="B200" s="8">
        <v>40552</v>
      </c>
      <c r="C200" s="7">
        <v>1</v>
      </c>
      <c r="D200" s="7">
        <v>0</v>
      </c>
      <c r="E200" s="7">
        <v>1</v>
      </c>
      <c r="F200" s="7">
        <v>13</v>
      </c>
      <c r="G200" s="7" t="b">
        <v>0</v>
      </c>
      <c r="H200" s="7">
        <v>0</v>
      </c>
      <c r="I200" s="7">
        <v>1</v>
      </c>
      <c r="J200" s="7">
        <v>0.2</v>
      </c>
      <c r="K200" s="7" t="str">
        <f t="shared" si="6"/>
        <v>SUNDAY</v>
      </c>
      <c r="L200" t="str">
        <f t="shared" si="7"/>
        <v>Heavy Rain</v>
      </c>
    </row>
    <row r="201" spans="1:12" x14ac:dyDescent="0.25">
      <c r="A201" s="7">
        <v>200</v>
      </c>
      <c r="B201" s="8">
        <v>40552</v>
      </c>
      <c r="C201" s="7">
        <v>1</v>
      </c>
      <c r="D201" s="7">
        <v>0</v>
      </c>
      <c r="E201" s="7">
        <v>1</v>
      </c>
      <c r="F201" s="7">
        <v>14</v>
      </c>
      <c r="G201" s="7" t="b">
        <v>0</v>
      </c>
      <c r="H201" s="7">
        <v>0</v>
      </c>
      <c r="I201" s="7">
        <v>1</v>
      </c>
      <c r="J201" s="7">
        <v>0.22</v>
      </c>
      <c r="K201" s="7" t="str">
        <f t="shared" si="6"/>
        <v>SUNDAY</v>
      </c>
      <c r="L201" t="str">
        <f t="shared" si="7"/>
        <v>Heavy Rain</v>
      </c>
    </row>
    <row r="202" spans="1:12" x14ac:dyDescent="0.25">
      <c r="A202" s="7">
        <v>201</v>
      </c>
      <c r="B202" s="8">
        <v>40552</v>
      </c>
      <c r="C202" s="7">
        <v>1</v>
      </c>
      <c r="D202" s="7">
        <v>0</v>
      </c>
      <c r="E202" s="7">
        <v>1</v>
      </c>
      <c r="F202" s="7">
        <v>15</v>
      </c>
      <c r="G202" s="7" t="b">
        <v>0</v>
      </c>
      <c r="H202" s="7">
        <v>0</v>
      </c>
      <c r="I202" s="7">
        <v>1</v>
      </c>
      <c r="J202" s="7">
        <v>0.22</v>
      </c>
      <c r="K202" s="7" t="str">
        <f t="shared" si="6"/>
        <v>SUNDAY</v>
      </c>
      <c r="L202" t="str">
        <f t="shared" si="7"/>
        <v>Heavy Rain</v>
      </c>
    </row>
    <row r="203" spans="1:12" x14ac:dyDescent="0.25">
      <c r="A203" s="7">
        <v>202</v>
      </c>
      <c r="B203" s="8">
        <v>40552</v>
      </c>
      <c r="C203" s="7">
        <v>1</v>
      </c>
      <c r="D203" s="7">
        <v>0</v>
      </c>
      <c r="E203" s="7">
        <v>1</v>
      </c>
      <c r="F203" s="7">
        <v>16</v>
      </c>
      <c r="G203" s="7" t="b">
        <v>0</v>
      </c>
      <c r="H203" s="7">
        <v>0</v>
      </c>
      <c r="I203" s="7">
        <v>1</v>
      </c>
      <c r="J203" s="7">
        <v>0.2</v>
      </c>
      <c r="K203" s="7" t="str">
        <f t="shared" si="6"/>
        <v>SUNDAY</v>
      </c>
      <c r="L203" t="str">
        <f t="shared" si="7"/>
        <v>Heavy Rain</v>
      </c>
    </row>
    <row r="204" spans="1:12" x14ac:dyDescent="0.25">
      <c r="A204" s="7">
        <v>203</v>
      </c>
      <c r="B204" s="8">
        <v>40552</v>
      </c>
      <c r="C204" s="7">
        <v>1</v>
      </c>
      <c r="D204" s="7">
        <v>0</v>
      </c>
      <c r="E204" s="7">
        <v>1</v>
      </c>
      <c r="F204" s="7">
        <v>17</v>
      </c>
      <c r="G204" s="7" t="b">
        <v>0</v>
      </c>
      <c r="H204" s="7">
        <v>0</v>
      </c>
      <c r="I204" s="7">
        <v>1</v>
      </c>
      <c r="J204" s="7">
        <v>0.18</v>
      </c>
      <c r="K204" s="7" t="str">
        <f t="shared" si="6"/>
        <v>SUNDAY</v>
      </c>
      <c r="L204" t="str">
        <f t="shared" si="7"/>
        <v>Heavy Rain</v>
      </c>
    </row>
    <row r="205" spans="1:12" x14ac:dyDescent="0.25">
      <c r="A205" s="7">
        <v>204</v>
      </c>
      <c r="B205" s="8">
        <v>40552</v>
      </c>
      <c r="C205" s="7">
        <v>1</v>
      </c>
      <c r="D205" s="7">
        <v>0</v>
      </c>
      <c r="E205" s="7">
        <v>1</v>
      </c>
      <c r="F205" s="7">
        <v>18</v>
      </c>
      <c r="G205" s="7" t="b">
        <v>0</v>
      </c>
      <c r="H205" s="7">
        <v>0</v>
      </c>
      <c r="I205" s="7">
        <v>1</v>
      </c>
      <c r="J205" s="7">
        <v>0.16</v>
      </c>
      <c r="K205" s="7" t="str">
        <f t="shared" si="6"/>
        <v>SUNDAY</v>
      </c>
      <c r="L205" t="str">
        <f t="shared" si="7"/>
        <v>Heavy Rain</v>
      </c>
    </row>
    <row r="206" spans="1:12" x14ac:dyDescent="0.25">
      <c r="A206" s="7">
        <v>205</v>
      </c>
      <c r="B206" s="8">
        <v>40552</v>
      </c>
      <c r="C206" s="7">
        <v>1</v>
      </c>
      <c r="D206" s="7">
        <v>0</v>
      </c>
      <c r="E206" s="7">
        <v>1</v>
      </c>
      <c r="F206" s="7">
        <v>19</v>
      </c>
      <c r="G206" s="7" t="b">
        <v>0</v>
      </c>
      <c r="H206" s="7">
        <v>0</v>
      </c>
      <c r="I206" s="7">
        <v>1</v>
      </c>
      <c r="J206" s="7">
        <v>0.16</v>
      </c>
      <c r="K206" s="7" t="str">
        <f t="shared" si="6"/>
        <v>SUNDAY</v>
      </c>
      <c r="L206" t="str">
        <f t="shared" si="7"/>
        <v>Heavy Rain</v>
      </c>
    </row>
    <row r="207" spans="1:12" x14ac:dyDescent="0.25">
      <c r="A207" s="7">
        <v>206</v>
      </c>
      <c r="B207" s="8">
        <v>40552</v>
      </c>
      <c r="C207" s="7">
        <v>1</v>
      </c>
      <c r="D207" s="7">
        <v>0</v>
      </c>
      <c r="E207" s="7">
        <v>1</v>
      </c>
      <c r="F207" s="7">
        <v>20</v>
      </c>
      <c r="G207" s="7" t="b">
        <v>0</v>
      </c>
      <c r="H207" s="7">
        <v>0</v>
      </c>
      <c r="I207" s="7">
        <v>1</v>
      </c>
      <c r="J207" s="7">
        <v>0.14000000000000001</v>
      </c>
      <c r="K207" s="7" t="str">
        <f t="shared" si="6"/>
        <v>SUNDAY</v>
      </c>
      <c r="L207" t="str">
        <f t="shared" si="7"/>
        <v>Heavy Rain</v>
      </c>
    </row>
    <row r="208" spans="1:12" x14ac:dyDescent="0.25">
      <c r="A208" s="7">
        <v>207</v>
      </c>
      <c r="B208" s="8">
        <v>40552</v>
      </c>
      <c r="C208" s="7">
        <v>1</v>
      </c>
      <c r="D208" s="7">
        <v>0</v>
      </c>
      <c r="E208" s="7">
        <v>1</v>
      </c>
      <c r="F208" s="7">
        <v>21</v>
      </c>
      <c r="G208" s="7" t="b">
        <v>0</v>
      </c>
      <c r="H208" s="7">
        <v>0</v>
      </c>
      <c r="I208" s="7">
        <v>1</v>
      </c>
      <c r="J208" s="7">
        <v>0.14000000000000001</v>
      </c>
      <c r="K208" s="7" t="str">
        <f t="shared" si="6"/>
        <v>SUNDAY</v>
      </c>
      <c r="L208" t="str">
        <f t="shared" si="7"/>
        <v>Heavy Rain</v>
      </c>
    </row>
    <row r="209" spans="1:12" x14ac:dyDescent="0.25">
      <c r="A209" s="7">
        <v>208</v>
      </c>
      <c r="B209" s="8">
        <v>40552</v>
      </c>
      <c r="C209" s="7">
        <v>1</v>
      </c>
      <c r="D209" s="7">
        <v>0</v>
      </c>
      <c r="E209" s="7">
        <v>1</v>
      </c>
      <c r="F209" s="7">
        <v>22</v>
      </c>
      <c r="G209" s="7" t="b">
        <v>0</v>
      </c>
      <c r="H209" s="7">
        <v>0</v>
      </c>
      <c r="I209" s="7">
        <v>1</v>
      </c>
      <c r="J209" s="7">
        <v>0.14000000000000001</v>
      </c>
      <c r="K209" s="7" t="str">
        <f t="shared" si="6"/>
        <v>SUNDAY</v>
      </c>
      <c r="L209" t="str">
        <f t="shared" si="7"/>
        <v>Heavy Rain</v>
      </c>
    </row>
    <row r="210" spans="1:12" x14ac:dyDescent="0.25">
      <c r="A210" s="7">
        <v>209</v>
      </c>
      <c r="B210" s="8">
        <v>40552</v>
      </c>
      <c r="C210" s="7">
        <v>1</v>
      </c>
      <c r="D210" s="7">
        <v>0</v>
      </c>
      <c r="E210" s="7">
        <v>1</v>
      </c>
      <c r="F210" s="7">
        <v>23</v>
      </c>
      <c r="G210" s="7" t="b">
        <v>0</v>
      </c>
      <c r="H210" s="7">
        <v>0</v>
      </c>
      <c r="I210" s="7">
        <v>1</v>
      </c>
      <c r="J210" s="7">
        <v>0.12</v>
      </c>
      <c r="K210" s="7" t="str">
        <f t="shared" si="6"/>
        <v>SUNDAY</v>
      </c>
      <c r="L210" t="str">
        <f t="shared" si="7"/>
        <v>Heavy Rain</v>
      </c>
    </row>
    <row r="211" spans="1:12" x14ac:dyDescent="0.25">
      <c r="A211" s="7">
        <v>210</v>
      </c>
      <c r="B211" s="8">
        <v>40553</v>
      </c>
      <c r="C211" s="7">
        <v>1</v>
      </c>
      <c r="D211" s="7">
        <v>0</v>
      </c>
      <c r="E211" s="7">
        <v>1</v>
      </c>
      <c r="F211" s="7">
        <v>0</v>
      </c>
      <c r="G211" s="7" t="b">
        <v>0</v>
      </c>
      <c r="H211" s="7">
        <v>1</v>
      </c>
      <c r="I211" s="7">
        <v>1</v>
      </c>
      <c r="J211" s="7">
        <v>0.12</v>
      </c>
      <c r="K211" s="7" t="str">
        <f t="shared" si="6"/>
        <v>MONDAY</v>
      </c>
      <c r="L211" t="str">
        <f t="shared" si="7"/>
        <v>Heavy Rain</v>
      </c>
    </row>
    <row r="212" spans="1:12" x14ac:dyDescent="0.25">
      <c r="A212" s="7">
        <v>211</v>
      </c>
      <c r="B212" s="8">
        <v>40553</v>
      </c>
      <c r="C212" s="7">
        <v>1</v>
      </c>
      <c r="D212" s="7">
        <v>0</v>
      </c>
      <c r="E212" s="7">
        <v>1</v>
      </c>
      <c r="F212" s="7">
        <v>1</v>
      </c>
      <c r="G212" s="7" t="b">
        <v>0</v>
      </c>
      <c r="H212" s="7">
        <v>1</v>
      </c>
      <c r="I212" s="7">
        <v>1</v>
      </c>
      <c r="J212" s="7">
        <v>0.12</v>
      </c>
      <c r="K212" s="7" t="str">
        <f t="shared" si="6"/>
        <v>MONDAY</v>
      </c>
      <c r="L212" t="str">
        <f t="shared" si="7"/>
        <v>Heavy Rain</v>
      </c>
    </row>
    <row r="213" spans="1:12" x14ac:dyDescent="0.25">
      <c r="A213" s="7">
        <v>212</v>
      </c>
      <c r="B213" s="8">
        <v>40553</v>
      </c>
      <c r="C213" s="7">
        <v>1</v>
      </c>
      <c r="D213" s="7">
        <v>0</v>
      </c>
      <c r="E213" s="7">
        <v>1</v>
      </c>
      <c r="F213" s="7">
        <v>2</v>
      </c>
      <c r="G213" s="7" t="b">
        <v>0</v>
      </c>
      <c r="H213" s="7">
        <v>1</v>
      </c>
      <c r="I213" s="7">
        <v>1</v>
      </c>
      <c r="J213" s="7">
        <v>0.12</v>
      </c>
      <c r="K213" s="7" t="str">
        <f t="shared" si="6"/>
        <v>MONDAY</v>
      </c>
      <c r="L213" t="str">
        <f t="shared" si="7"/>
        <v>Heavy Rain</v>
      </c>
    </row>
    <row r="214" spans="1:12" x14ac:dyDescent="0.25">
      <c r="A214" s="7">
        <v>213</v>
      </c>
      <c r="B214" s="8">
        <v>40553</v>
      </c>
      <c r="C214" s="7">
        <v>1</v>
      </c>
      <c r="D214" s="7">
        <v>0</v>
      </c>
      <c r="E214" s="7">
        <v>1</v>
      </c>
      <c r="F214" s="7">
        <v>3</v>
      </c>
      <c r="G214" s="7" t="b">
        <v>0</v>
      </c>
      <c r="H214" s="7">
        <v>1</v>
      </c>
      <c r="I214" s="7">
        <v>1</v>
      </c>
      <c r="J214" s="7">
        <v>0.12</v>
      </c>
      <c r="K214" s="7" t="str">
        <f t="shared" si="6"/>
        <v>MONDAY</v>
      </c>
      <c r="L214" t="str">
        <f t="shared" si="7"/>
        <v>Heavy Rain</v>
      </c>
    </row>
    <row r="215" spans="1:12" x14ac:dyDescent="0.25">
      <c r="A215" s="7">
        <v>214</v>
      </c>
      <c r="B215" s="8">
        <v>40553</v>
      </c>
      <c r="C215" s="7">
        <v>1</v>
      </c>
      <c r="D215" s="7">
        <v>0</v>
      </c>
      <c r="E215" s="7">
        <v>1</v>
      </c>
      <c r="F215" s="7">
        <v>4</v>
      </c>
      <c r="G215" s="7" t="b">
        <v>0</v>
      </c>
      <c r="H215" s="7">
        <v>1</v>
      </c>
      <c r="I215" s="7">
        <v>1</v>
      </c>
      <c r="J215" s="7">
        <v>0.1</v>
      </c>
      <c r="K215" s="7" t="str">
        <f t="shared" si="6"/>
        <v>MONDAY</v>
      </c>
      <c r="L215" t="str">
        <f t="shared" si="7"/>
        <v>Heavy Rain</v>
      </c>
    </row>
    <row r="216" spans="1:12" x14ac:dyDescent="0.25">
      <c r="A216" s="7">
        <v>215</v>
      </c>
      <c r="B216" s="8">
        <v>40553</v>
      </c>
      <c r="C216" s="7">
        <v>1</v>
      </c>
      <c r="D216" s="7">
        <v>0</v>
      </c>
      <c r="E216" s="7">
        <v>1</v>
      </c>
      <c r="F216" s="7">
        <v>5</v>
      </c>
      <c r="G216" s="7" t="b">
        <v>0</v>
      </c>
      <c r="H216" s="7">
        <v>1</v>
      </c>
      <c r="I216" s="7">
        <v>1</v>
      </c>
      <c r="J216" s="7">
        <v>0.1</v>
      </c>
      <c r="K216" s="7" t="str">
        <f t="shared" si="6"/>
        <v>MONDAY</v>
      </c>
      <c r="L216" t="str">
        <f t="shared" si="7"/>
        <v>Heavy Rain</v>
      </c>
    </row>
    <row r="217" spans="1:12" x14ac:dyDescent="0.25">
      <c r="A217" s="7">
        <v>216</v>
      </c>
      <c r="B217" s="8">
        <v>40553</v>
      </c>
      <c r="C217" s="7">
        <v>1</v>
      </c>
      <c r="D217" s="7">
        <v>0</v>
      </c>
      <c r="E217" s="7">
        <v>1</v>
      </c>
      <c r="F217" s="7">
        <v>6</v>
      </c>
      <c r="G217" s="7" t="b">
        <v>0</v>
      </c>
      <c r="H217" s="7">
        <v>1</v>
      </c>
      <c r="I217" s="7">
        <v>1</v>
      </c>
      <c r="J217" s="7">
        <v>0.12</v>
      </c>
      <c r="K217" s="7" t="str">
        <f t="shared" si="6"/>
        <v>MONDAY</v>
      </c>
      <c r="L217" t="str">
        <f t="shared" si="7"/>
        <v>Heavy Rain</v>
      </c>
    </row>
    <row r="218" spans="1:12" x14ac:dyDescent="0.25">
      <c r="A218" s="7">
        <v>217</v>
      </c>
      <c r="B218" s="8">
        <v>40553</v>
      </c>
      <c r="C218" s="7">
        <v>1</v>
      </c>
      <c r="D218" s="7">
        <v>0</v>
      </c>
      <c r="E218" s="7">
        <v>1</v>
      </c>
      <c r="F218" s="7">
        <v>7</v>
      </c>
      <c r="G218" s="7" t="b">
        <v>0</v>
      </c>
      <c r="H218" s="7">
        <v>1</v>
      </c>
      <c r="I218" s="7">
        <v>1</v>
      </c>
      <c r="J218" s="7">
        <v>0.12</v>
      </c>
      <c r="K218" s="7" t="str">
        <f t="shared" si="6"/>
        <v>MONDAY</v>
      </c>
      <c r="L218" t="str">
        <f t="shared" si="7"/>
        <v>Heavy Rain</v>
      </c>
    </row>
    <row r="219" spans="1:12" x14ac:dyDescent="0.25">
      <c r="A219" s="7">
        <v>218</v>
      </c>
      <c r="B219" s="8">
        <v>40553</v>
      </c>
      <c r="C219" s="7">
        <v>1</v>
      </c>
      <c r="D219" s="7">
        <v>0</v>
      </c>
      <c r="E219" s="7">
        <v>1</v>
      </c>
      <c r="F219" s="7">
        <v>8</v>
      </c>
      <c r="G219" s="7" t="b">
        <v>0</v>
      </c>
      <c r="H219" s="7">
        <v>1</v>
      </c>
      <c r="I219" s="7">
        <v>2</v>
      </c>
      <c r="J219" s="7">
        <v>0.12</v>
      </c>
      <c r="K219" s="7" t="str">
        <f t="shared" si="6"/>
        <v>MONDAY</v>
      </c>
      <c r="L219" t="str">
        <f t="shared" si="7"/>
        <v>Heavy Rain</v>
      </c>
    </row>
    <row r="220" spans="1:12" x14ac:dyDescent="0.25">
      <c r="A220" s="7">
        <v>219</v>
      </c>
      <c r="B220" s="8">
        <v>40553</v>
      </c>
      <c r="C220" s="7">
        <v>1</v>
      </c>
      <c r="D220" s="7">
        <v>0</v>
      </c>
      <c r="E220" s="7">
        <v>1</v>
      </c>
      <c r="F220" s="7">
        <v>9</v>
      </c>
      <c r="G220" s="7" t="b">
        <v>0</v>
      </c>
      <c r="H220" s="7">
        <v>1</v>
      </c>
      <c r="I220" s="7">
        <v>2</v>
      </c>
      <c r="J220" s="7">
        <v>0.14000000000000001</v>
      </c>
      <c r="K220" s="7" t="str">
        <f t="shared" si="6"/>
        <v>MONDAY</v>
      </c>
      <c r="L220" t="str">
        <f t="shared" si="7"/>
        <v>Heavy Rain</v>
      </c>
    </row>
    <row r="221" spans="1:12" x14ac:dyDescent="0.25">
      <c r="A221" s="7">
        <v>220</v>
      </c>
      <c r="B221" s="8">
        <v>40553</v>
      </c>
      <c r="C221" s="7">
        <v>1</v>
      </c>
      <c r="D221" s="7">
        <v>0</v>
      </c>
      <c r="E221" s="7">
        <v>1</v>
      </c>
      <c r="F221" s="7">
        <v>10</v>
      </c>
      <c r="G221" s="7" t="b">
        <v>0</v>
      </c>
      <c r="H221" s="7">
        <v>1</v>
      </c>
      <c r="I221" s="7">
        <v>2</v>
      </c>
      <c r="J221" s="7">
        <v>0.14000000000000001</v>
      </c>
      <c r="K221" s="7" t="str">
        <f t="shared" si="6"/>
        <v>MONDAY</v>
      </c>
      <c r="L221" t="str">
        <f t="shared" si="7"/>
        <v>Heavy Rain</v>
      </c>
    </row>
    <row r="222" spans="1:12" x14ac:dyDescent="0.25">
      <c r="A222" s="7">
        <v>221</v>
      </c>
      <c r="B222" s="8">
        <v>40553</v>
      </c>
      <c r="C222" s="7">
        <v>1</v>
      </c>
      <c r="D222" s="7">
        <v>0</v>
      </c>
      <c r="E222" s="7">
        <v>1</v>
      </c>
      <c r="F222" s="7">
        <v>11</v>
      </c>
      <c r="G222" s="7" t="b">
        <v>0</v>
      </c>
      <c r="H222" s="7">
        <v>1</v>
      </c>
      <c r="I222" s="7">
        <v>2</v>
      </c>
      <c r="J222" s="7">
        <v>0.16</v>
      </c>
      <c r="K222" s="7" t="str">
        <f t="shared" si="6"/>
        <v>MONDAY</v>
      </c>
      <c r="L222" t="str">
        <f t="shared" si="7"/>
        <v>Heavy Rain</v>
      </c>
    </row>
    <row r="223" spans="1:12" x14ac:dyDescent="0.25">
      <c r="A223" s="7">
        <v>222</v>
      </c>
      <c r="B223" s="8">
        <v>40553</v>
      </c>
      <c r="C223" s="7">
        <v>1</v>
      </c>
      <c r="D223" s="7">
        <v>0</v>
      </c>
      <c r="E223" s="7">
        <v>1</v>
      </c>
      <c r="F223" s="7">
        <v>12</v>
      </c>
      <c r="G223" s="7" t="b">
        <v>0</v>
      </c>
      <c r="H223" s="7">
        <v>1</v>
      </c>
      <c r="I223" s="7">
        <v>2</v>
      </c>
      <c r="J223" s="7">
        <v>0.2</v>
      </c>
      <c r="K223" s="7" t="str">
        <f t="shared" si="6"/>
        <v>MONDAY</v>
      </c>
      <c r="L223" t="str">
        <f t="shared" si="7"/>
        <v>Heavy Rain</v>
      </c>
    </row>
    <row r="224" spans="1:12" x14ac:dyDescent="0.25">
      <c r="A224" s="7">
        <v>223</v>
      </c>
      <c r="B224" s="8">
        <v>40553</v>
      </c>
      <c r="C224" s="7">
        <v>1</v>
      </c>
      <c r="D224" s="7">
        <v>0</v>
      </c>
      <c r="E224" s="7">
        <v>1</v>
      </c>
      <c r="F224" s="7">
        <v>13</v>
      </c>
      <c r="G224" s="7" t="b">
        <v>0</v>
      </c>
      <c r="H224" s="7">
        <v>1</v>
      </c>
      <c r="I224" s="7">
        <v>2</v>
      </c>
      <c r="J224" s="7">
        <v>0.2</v>
      </c>
      <c r="K224" s="7" t="str">
        <f t="shared" si="6"/>
        <v>MONDAY</v>
      </c>
      <c r="L224" t="str">
        <f t="shared" si="7"/>
        <v>Heavy Rain</v>
      </c>
    </row>
    <row r="225" spans="1:12" x14ac:dyDescent="0.25">
      <c r="A225" s="7">
        <v>224</v>
      </c>
      <c r="B225" s="8">
        <v>40553</v>
      </c>
      <c r="C225" s="7">
        <v>1</v>
      </c>
      <c r="D225" s="7">
        <v>0</v>
      </c>
      <c r="E225" s="7">
        <v>1</v>
      </c>
      <c r="F225" s="7">
        <v>14</v>
      </c>
      <c r="G225" s="7" t="b">
        <v>0</v>
      </c>
      <c r="H225" s="7">
        <v>1</v>
      </c>
      <c r="I225" s="7">
        <v>2</v>
      </c>
      <c r="J225" s="7">
        <v>0.2</v>
      </c>
      <c r="K225" s="7" t="str">
        <f t="shared" si="6"/>
        <v>MONDAY</v>
      </c>
      <c r="L225" t="str">
        <f t="shared" si="7"/>
        <v>Heavy Rain</v>
      </c>
    </row>
    <row r="226" spans="1:12" x14ac:dyDescent="0.25">
      <c r="A226" s="7">
        <v>225</v>
      </c>
      <c r="B226" s="8">
        <v>40553</v>
      </c>
      <c r="C226" s="7">
        <v>1</v>
      </c>
      <c r="D226" s="7">
        <v>0</v>
      </c>
      <c r="E226" s="7">
        <v>1</v>
      </c>
      <c r="F226" s="7">
        <v>15</v>
      </c>
      <c r="G226" s="7" t="b">
        <v>0</v>
      </c>
      <c r="H226" s="7">
        <v>1</v>
      </c>
      <c r="I226" s="7">
        <v>2</v>
      </c>
      <c r="J226" s="7">
        <v>0.2</v>
      </c>
      <c r="K226" s="7" t="str">
        <f t="shared" si="6"/>
        <v>MONDAY</v>
      </c>
      <c r="L226" t="str">
        <f t="shared" si="7"/>
        <v>Heavy Rain</v>
      </c>
    </row>
    <row r="227" spans="1:12" x14ac:dyDescent="0.25">
      <c r="A227" s="7">
        <v>226</v>
      </c>
      <c r="B227" s="8">
        <v>40553</v>
      </c>
      <c r="C227" s="7">
        <v>1</v>
      </c>
      <c r="D227" s="7">
        <v>0</v>
      </c>
      <c r="E227" s="7">
        <v>1</v>
      </c>
      <c r="F227" s="7">
        <v>16</v>
      </c>
      <c r="G227" s="7" t="b">
        <v>0</v>
      </c>
      <c r="H227" s="7">
        <v>1</v>
      </c>
      <c r="I227" s="7">
        <v>1</v>
      </c>
      <c r="J227" s="7">
        <v>0.2</v>
      </c>
      <c r="K227" s="7" t="str">
        <f t="shared" si="6"/>
        <v>MONDAY</v>
      </c>
      <c r="L227" t="str">
        <f t="shared" si="7"/>
        <v>Heavy Rain</v>
      </c>
    </row>
    <row r="228" spans="1:12" x14ac:dyDescent="0.25">
      <c r="A228" s="7">
        <v>227</v>
      </c>
      <c r="B228" s="8">
        <v>40553</v>
      </c>
      <c r="C228" s="7">
        <v>1</v>
      </c>
      <c r="D228" s="7">
        <v>0</v>
      </c>
      <c r="E228" s="7">
        <v>1</v>
      </c>
      <c r="F228" s="7">
        <v>17</v>
      </c>
      <c r="G228" s="7" t="b">
        <v>0</v>
      </c>
      <c r="H228" s="7">
        <v>1</v>
      </c>
      <c r="I228" s="7">
        <v>1</v>
      </c>
      <c r="J228" s="7">
        <v>0.2</v>
      </c>
      <c r="K228" s="7" t="str">
        <f t="shared" si="6"/>
        <v>MONDAY</v>
      </c>
      <c r="L228" t="str">
        <f t="shared" si="7"/>
        <v>Heavy Rain</v>
      </c>
    </row>
    <row r="229" spans="1:12" x14ac:dyDescent="0.25">
      <c r="A229" s="7">
        <v>228</v>
      </c>
      <c r="B229" s="8">
        <v>40553</v>
      </c>
      <c r="C229" s="7">
        <v>1</v>
      </c>
      <c r="D229" s="7">
        <v>0</v>
      </c>
      <c r="E229" s="7">
        <v>1</v>
      </c>
      <c r="F229" s="7">
        <v>18</v>
      </c>
      <c r="G229" s="7" t="b">
        <v>0</v>
      </c>
      <c r="H229" s="7">
        <v>1</v>
      </c>
      <c r="I229" s="7">
        <v>1</v>
      </c>
      <c r="J229" s="7">
        <v>0.2</v>
      </c>
      <c r="K229" s="7" t="str">
        <f t="shared" si="6"/>
        <v>MONDAY</v>
      </c>
      <c r="L229" t="str">
        <f t="shared" si="7"/>
        <v>Heavy Rain</v>
      </c>
    </row>
    <row r="230" spans="1:12" x14ac:dyDescent="0.25">
      <c r="A230" s="7">
        <v>229</v>
      </c>
      <c r="B230" s="8">
        <v>40553</v>
      </c>
      <c r="C230" s="7">
        <v>1</v>
      </c>
      <c r="D230" s="7">
        <v>0</v>
      </c>
      <c r="E230" s="7">
        <v>1</v>
      </c>
      <c r="F230" s="7">
        <v>19</v>
      </c>
      <c r="G230" s="7" t="b">
        <v>0</v>
      </c>
      <c r="H230" s="7">
        <v>1</v>
      </c>
      <c r="I230" s="7">
        <v>1</v>
      </c>
      <c r="J230" s="7">
        <v>0.16</v>
      </c>
      <c r="K230" s="7" t="str">
        <f t="shared" si="6"/>
        <v>MONDAY</v>
      </c>
      <c r="L230" t="str">
        <f t="shared" si="7"/>
        <v>Heavy Rain</v>
      </c>
    </row>
    <row r="231" spans="1:12" x14ac:dyDescent="0.25">
      <c r="A231" s="7">
        <v>230</v>
      </c>
      <c r="B231" s="8">
        <v>40553</v>
      </c>
      <c r="C231" s="7">
        <v>1</v>
      </c>
      <c r="D231" s="7">
        <v>0</v>
      </c>
      <c r="E231" s="7">
        <v>1</v>
      </c>
      <c r="F231" s="7">
        <v>20</v>
      </c>
      <c r="G231" s="7" t="b">
        <v>0</v>
      </c>
      <c r="H231" s="7">
        <v>1</v>
      </c>
      <c r="I231" s="7">
        <v>1</v>
      </c>
      <c r="J231" s="7">
        <v>0.16</v>
      </c>
      <c r="K231" s="7" t="str">
        <f t="shared" si="6"/>
        <v>MONDAY</v>
      </c>
      <c r="L231" t="str">
        <f t="shared" si="7"/>
        <v>Heavy Rain</v>
      </c>
    </row>
    <row r="232" spans="1:12" x14ac:dyDescent="0.25">
      <c r="A232" s="7">
        <v>231</v>
      </c>
      <c r="B232" s="8">
        <v>40553</v>
      </c>
      <c r="C232" s="7">
        <v>1</v>
      </c>
      <c r="D232" s="7">
        <v>0</v>
      </c>
      <c r="E232" s="7">
        <v>1</v>
      </c>
      <c r="F232" s="7">
        <v>21</v>
      </c>
      <c r="G232" s="7" t="b">
        <v>0</v>
      </c>
      <c r="H232" s="7">
        <v>1</v>
      </c>
      <c r="I232" s="7">
        <v>1</v>
      </c>
      <c r="J232" s="7">
        <v>0.14000000000000001</v>
      </c>
      <c r="K232" s="7" t="str">
        <f t="shared" si="6"/>
        <v>MONDAY</v>
      </c>
      <c r="L232" t="str">
        <f t="shared" si="7"/>
        <v>Heavy Rain</v>
      </c>
    </row>
    <row r="233" spans="1:12" x14ac:dyDescent="0.25">
      <c r="A233" s="7">
        <v>232</v>
      </c>
      <c r="B233" s="8">
        <v>40553</v>
      </c>
      <c r="C233" s="7">
        <v>1</v>
      </c>
      <c r="D233" s="7">
        <v>0</v>
      </c>
      <c r="E233" s="7">
        <v>1</v>
      </c>
      <c r="F233" s="7">
        <v>22</v>
      </c>
      <c r="G233" s="7" t="b">
        <v>0</v>
      </c>
      <c r="H233" s="7">
        <v>1</v>
      </c>
      <c r="I233" s="7">
        <v>1</v>
      </c>
      <c r="J233" s="7">
        <v>0.14000000000000001</v>
      </c>
      <c r="K233" s="7" t="str">
        <f t="shared" si="6"/>
        <v>MONDAY</v>
      </c>
      <c r="L233" t="str">
        <f t="shared" si="7"/>
        <v>Heavy Rain</v>
      </c>
    </row>
    <row r="234" spans="1:12" x14ac:dyDescent="0.25">
      <c r="A234" s="7">
        <v>233</v>
      </c>
      <c r="B234" s="8">
        <v>40553</v>
      </c>
      <c r="C234" s="7">
        <v>1</v>
      </c>
      <c r="D234" s="7">
        <v>0</v>
      </c>
      <c r="E234" s="7">
        <v>1</v>
      </c>
      <c r="F234" s="7">
        <v>23</v>
      </c>
      <c r="G234" s="7" t="b">
        <v>0</v>
      </c>
      <c r="H234" s="7">
        <v>1</v>
      </c>
      <c r="I234" s="7">
        <v>1</v>
      </c>
      <c r="J234" s="7">
        <v>0.14000000000000001</v>
      </c>
      <c r="K234" s="7" t="str">
        <f t="shared" si="6"/>
        <v>MONDAY</v>
      </c>
      <c r="L234" t="str">
        <f t="shared" si="7"/>
        <v>Heavy Rain</v>
      </c>
    </row>
    <row r="235" spans="1:12" x14ac:dyDescent="0.25">
      <c r="A235" s="7">
        <v>234</v>
      </c>
      <c r="B235" s="8">
        <v>40554</v>
      </c>
      <c r="C235" s="7">
        <v>1</v>
      </c>
      <c r="D235" s="7">
        <v>0</v>
      </c>
      <c r="E235" s="7">
        <v>1</v>
      </c>
      <c r="F235" s="7">
        <v>0</v>
      </c>
      <c r="G235" s="7" t="b">
        <v>0</v>
      </c>
      <c r="H235" s="7">
        <v>2</v>
      </c>
      <c r="I235" s="7">
        <v>1</v>
      </c>
      <c r="J235" s="7">
        <v>0.14000000000000001</v>
      </c>
      <c r="K235" s="7" t="str">
        <f t="shared" si="6"/>
        <v>TUESDAY</v>
      </c>
      <c r="L235" t="str">
        <f t="shared" si="7"/>
        <v>Heavy Rain</v>
      </c>
    </row>
    <row r="236" spans="1:12" x14ac:dyDescent="0.25">
      <c r="A236" s="7">
        <v>235</v>
      </c>
      <c r="B236" s="8">
        <v>40554</v>
      </c>
      <c r="C236" s="7">
        <v>1</v>
      </c>
      <c r="D236" s="7">
        <v>0</v>
      </c>
      <c r="E236" s="7">
        <v>1</v>
      </c>
      <c r="F236" s="7">
        <v>1</v>
      </c>
      <c r="G236" s="7" t="b">
        <v>0</v>
      </c>
      <c r="H236" s="7">
        <v>2</v>
      </c>
      <c r="I236" s="7">
        <v>1</v>
      </c>
      <c r="J236" s="7">
        <v>0.14000000000000001</v>
      </c>
      <c r="K236" s="7" t="str">
        <f t="shared" si="6"/>
        <v>TUESDAY</v>
      </c>
      <c r="L236" t="str">
        <f t="shared" si="7"/>
        <v>Heavy Rain</v>
      </c>
    </row>
    <row r="237" spans="1:12" x14ac:dyDescent="0.25">
      <c r="A237" s="7">
        <v>236</v>
      </c>
      <c r="B237" s="8">
        <v>40554</v>
      </c>
      <c r="C237" s="7">
        <v>1</v>
      </c>
      <c r="D237" s="7">
        <v>0</v>
      </c>
      <c r="E237" s="7">
        <v>1</v>
      </c>
      <c r="F237" s="7">
        <v>2</v>
      </c>
      <c r="G237" s="7" t="b">
        <v>0</v>
      </c>
      <c r="H237" s="7">
        <v>2</v>
      </c>
      <c r="I237" s="7">
        <v>2</v>
      </c>
      <c r="J237" s="7">
        <v>0.16</v>
      </c>
      <c r="K237" s="7" t="str">
        <f t="shared" si="6"/>
        <v>TUESDAY</v>
      </c>
      <c r="L237" t="str">
        <f t="shared" si="7"/>
        <v>Heavy Rain</v>
      </c>
    </row>
    <row r="238" spans="1:12" x14ac:dyDescent="0.25">
      <c r="A238" s="7">
        <v>237</v>
      </c>
      <c r="B238" s="8">
        <v>40554</v>
      </c>
      <c r="C238" s="7">
        <v>1</v>
      </c>
      <c r="D238" s="7">
        <v>0</v>
      </c>
      <c r="E238" s="7">
        <v>1</v>
      </c>
      <c r="F238" s="7">
        <v>5</v>
      </c>
      <c r="G238" s="7" t="b">
        <v>0</v>
      </c>
      <c r="H238" s="7">
        <v>2</v>
      </c>
      <c r="I238" s="7">
        <v>2</v>
      </c>
      <c r="J238" s="7">
        <v>0.16</v>
      </c>
      <c r="K238" s="7" t="str">
        <f t="shared" si="6"/>
        <v>TUESDAY</v>
      </c>
      <c r="L238" t="str">
        <f t="shared" si="7"/>
        <v>Heavy Rain</v>
      </c>
    </row>
    <row r="239" spans="1:12" x14ac:dyDescent="0.25">
      <c r="A239" s="7">
        <v>238</v>
      </c>
      <c r="B239" s="8">
        <v>40554</v>
      </c>
      <c r="C239" s="7">
        <v>1</v>
      </c>
      <c r="D239" s="7">
        <v>0</v>
      </c>
      <c r="E239" s="7">
        <v>1</v>
      </c>
      <c r="F239" s="7">
        <v>6</v>
      </c>
      <c r="G239" s="7" t="b">
        <v>0</v>
      </c>
      <c r="H239" s="7">
        <v>2</v>
      </c>
      <c r="I239" s="7">
        <v>2</v>
      </c>
      <c r="J239" s="7">
        <v>0.16</v>
      </c>
      <c r="K239" s="7" t="str">
        <f t="shared" si="6"/>
        <v>TUESDAY</v>
      </c>
      <c r="L239" t="str">
        <f t="shared" si="7"/>
        <v>Heavy Rain</v>
      </c>
    </row>
    <row r="240" spans="1:12" x14ac:dyDescent="0.25">
      <c r="A240" s="7">
        <v>239</v>
      </c>
      <c r="B240" s="8">
        <v>40554</v>
      </c>
      <c r="C240" s="7">
        <v>1</v>
      </c>
      <c r="D240" s="7">
        <v>0</v>
      </c>
      <c r="E240" s="7">
        <v>1</v>
      </c>
      <c r="F240" s="7">
        <v>7</v>
      </c>
      <c r="G240" s="7" t="b">
        <v>0</v>
      </c>
      <c r="H240" s="7">
        <v>2</v>
      </c>
      <c r="I240" s="7">
        <v>2</v>
      </c>
      <c r="J240" s="7">
        <v>0.16</v>
      </c>
      <c r="K240" s="7" t="str">
        <f t="shared" si="6"/>
        <v>TUESDAY</v>
      </c>
      <c r="L240" t="str">
        <f t="shared" si="7"/>
        <v>Heavy Rain</v>
      </c>
    </row>
    <row r="241" spans="1:12" x14ac:dyDescent="0.25">
      <c r="A241" s="7">
        <v>240</v>
      </c>
      <c r="B241" s="8">
        <v>40554</v>
      </c>
      <c r="C241" s="7">
        <v>1</v>
      </c>
      <c r="D241" s="7">
        <v>0</v>
      </c>
      <c r="E241" s="7">
        <v>1</v>
      </c>
      <c r="F241" s="7">
        <v>8</v>
      </c>
      <c r="G241" s="7" t="b">
        <v>0</v>
      </c>
      <c r="H241" s="7">
        <v>2</v>
      </c>
      <c r="I241" s="7">
        <v>2</v>
      </c>
      <c r="J241" s="7">
        <v>0.18</v>
      </c>
      <c r="K241" s="7" t="str">
        <f t="shared" si="6"/>
        <v>TUESDAY</v>
      </c>
      <c r="L241" t="str">
        <f t="shared" si="7"/>
        <v>Heavy Rain</v>
      </c>
    </row>
    <row r="242" spans="1:12" x14ac:dyDescent="0.25">
      <c r="A242" s="7">
        <v>241</v>
      </c>
      <c r="B242" s="8">
        <v>40554</v>
      </c>
      <c r="C242" s="7">
        <v>1</v>
      </c>
      <c r="D242" s="7">
        <v>0</v>
      </c>
      <c r="E242" s="7">
        <v>1</v>
      </c>
      <c r="F242" s="7">
        <v>9</v>
      </c>
      <c r="G242" s="7" t="b">
        <v>0</v>
      </c>
      <c r="H242" s="7">
        <v>2</v>
      </c>
      <c r="I242" s="7">
        <v>2</v>
      </c>
      <c r="J242" s="7">
        <v>0.18</v>
      </c>
      <c r="K242" s="7" t="str">
        <f t="shared" si="6"/>
        <v>TUESDAY</v>
      </c>
      <c r="L242" t="str">
        <f t="shared" si="7"/>
        <v>Heavy Rain</v>
      </c>
    </row>
    <row r="243" spans="1:12" x14ac:dyDescent="0.25">
      <c r="A243" s="7">
        <v>242</v>
      </c>
      <c r="B243" s="8">
        <v>40554</v>
      </c>
      <c r="C243" s="7">
        <v>1</v>
      </c>
      <c r="D243" s="7">
        <v>0</v>
      </c>
      <c r="E243" s="7">
        <v>1</v>
      </c>
      <c r="F243" s="7">
        <v>10</v>
      </c>
      <c r="G243" s="7" t="b">
        <v>0</v>
      </c>
      <c r="H243" s="7">
        <v>2</v>
      </c>
      <c r="I243" s="7">
        <v>2</v>
      </c>
      <c r="J243" s="7">
        <v>0.2</v>
      </c>
      <c r="K243" s="7" t="str">
        <f t="shared" si="6"/>
        <v>TUESDAY</v>
      </c>
      <c r="L243" t="str">
        <f t="shared" si="7"/>
        <v>Heavy Rain</v>
      </c>
    </row>
    <row r="244" spans="1:12" x14ac:dyDescent="0.25">
      <c r="A244" s="7">
        <v>243</v>
      </c>
      <c r="B244" s="8">
        <v>40554</v>
      </c>
      <c r="C244" s="7">
        <v>1</v>
      </c>
      <c r="D244" s="7">
        <v>0</v>
      </c>
      <c r="E244" s="7">
        <v>1</v>
      </c>
      <c r="F244" s="7">
        <v>11</v>
      </c>
      <c r="G244" s="7" t="b">
        <v>0</v>
      </c>
      <c r="H244" s="7">
        <v>2</v>
      </c>
      <c r="I244" s="7">
        <v>2</v>
      </c>
      <c r="J244" s="7">
        <v>0.2</v>
      </c>
      <c r="K244" s="7" t="str">
        <f t="shared" si="6"/>
        <v>TUESDAY</v>
      </c>
      <c r="L244" t="str">
        <f t="shared" si="7"/>
        <v>Heavy Rain</v>
      </c>
    </row>
    <row r="245" spans="1:12" x14ac:dyDescent="0.25">
      <c r="A245" s="7">
        <v>244</v>
      </c>
      <c r="B245" s="8">
        <v>40554</v>
      </c>
      <c r="C245" s="7">
        <v>1</v>
      </c>
      <c r="D245" s="7">
        <v>0</v>
      </c>
      <c r="E245" s="7">
        <v>1</v>
      </c>
      <c r="F245" s="7">
        <v>12</v>
      </c>
      <c r="G245" s="7" t="b">
        <v>0</v>
      </c>
      <c r="H245" s="7">
        <v>2</v>
      </c>
      <c r="I245" s="7">
        <v>2</v>
      </c>
      <c r="J245" s="7">
        <v>0.2</v>
      </c>
      <c r="K245" s="7" t="str">
        <f t="shared" si="6"/>
        <v>TUESDAY</v>
      </c>
      <c r="L245" t="str">
        <f t="shared" si="7"/>
        <v>Heavy Rain</v>
      </c>
    </row>
    <row r="246" spans="1:12" x14ac:dyDescent="0.25">
      <c r="A246" s="7">
        <v>245</v>
      </c>
      <c r="B246" s="8">
        <v>40554</v>
      </c>
      <c r="C246" s="7">
        <v>1</v>
      </c>
      <c r="D246" s="7">
        <v>0</v>
      </c>
      <c r="E246" s="7">
        <v>1</v>
      </c>
      <c r="F246" s="7">
        <v>13</v>
      </c>
      <c r="G246" s="7" t="b">
        <v>0</v>
      </c>
      <c r="H246" s="7">
        <v>2</v>
      </c>
      <c r="I246" s="7">
        <v>2</v>
      </c>
      <c r="J246" s="7">
        <v>0.2</v>
      </c>
      <c r="K246" s="7" t="str">
        <f t="shared" si="6"/>
        <v>TUESDAY</v>
      </c>
      <c r="L246" t="str">
        <f t="shared" si="7"/>
        <v>Heavy Rain</v>
      </c>
    </row>
    <row r="247" spans="1:12" x14ac:dyDescent="0.25">
      <c r="A247" s="7">
        <v>246</v>
      </c>
      <c r="B247" s="8">
        <v>40554</v>
      </c>
      <c r="C247" s="7">
        <v>1</v>
      </c>
      <c r="D247" s="7">
        <v>0</v>
      </c>
      <c r="E247" s="7">
        <v>1</v>
      </c>
      <c r="F247" s="7">
        <v>14</v>
      </c>
      <c r="G247" s="7" t="b">
        <v>0</v>
      </c>
      <c r="H247" s="7">
        <v>2</v>
      </c>
      <c r="I247" s="7">
        <v>2</v>
      </c>
      <c r="J247" s="7">
        <v>0.2</v>
      </c>
      <c r="K247" s="7" t="str">
        <f t="shared" si="6"/>
        <v>TUESDAY</v>
      </c>
      <c r="L247" t="str">
        <f t="shared" si="7"/>
        <v>Heavy Rain</v>
      </c>
    </row>
    <row r="248" spans="1:12" x14ac:dyDescent="0.25">
      <c r="A248" s="7">
        <v>247</v>
      </c>
      <c r="B248" s="8">
        <v>40554</v>
      </c>
      <c r="C248" s="7">
        <v>1</v>
      </c>
      <c r="D248" s="7">
        <v>0</v>
      </c>
      <c r="E248" s="7">
        <v>1</v>
      </c>
      <c r="F248" s="7">
        <v>15</v>
      </c>
      <c r="G248" s="7" t="b">
        <v>0</v>
      </c>
      <c r="H248" s="7">
        <v>2</v>
      </c>
      <c r="I248" s="7">
        <v>2</v>
      </c>
      <c r="J248" s="7">
        <v>0.16</v>
      </c>
      <c r="K248" s="7" t="str">
        <f t="shared" si="6"/>
        <v>TUESDAY</v>
      </c>
      <c r="L248" t="str">
        <f t="shared" si="7"/>
        <v>Heavy Rain</v>
      </c>
    </row>
    <row r="249" spans="1:12" x14ac:dyDescent="0.25">
      <c r="A249" s="7">
        <v>248</v>
      </c>
      <c r="B249" s="8">
        <v>40554</v>
      </c>
      <c r="C249" s="7">
        <v>1</v>
      </c>
      <c r="D249" s="7">
        <v>0</v>
      </c>
      <c r="E249" s="7">
        <v>1</v>
      </c>
      <c r="F249" s="7">
        <v>16</v>
      </c>
      <c r="G249" s="7" t="b">
        <v>0</v>
      </c>
      <c r="H249" s="7">
        <v>2</v>
      </c>
      <c r="I249" s="7">
        <v>2</v>
      </c>
      <c r="J249" s="7">
        <v>0.16</v>
      </c>
      <c r="K249" s="7" t="str">
        <f t="shared" si="6"/>
        <v>TUESDAY</v>
      </c>
      <c r="L249" t="str">
        <f t="shared" si="7"/>
        <v>Heavy Rain</v>
      </c>
    </row>
    <row r="250" spans="1:12" x14ac:dyDescent="0.25">
      <c r="A250" s="7">
        <v>249</v>
      </c>
      <c r="B250" s="8">
        <v>40554</v>
      </c>
      <c r="C250" s="7">
        <v>1</v>
      </c>
      <c r="D250" s="7">
        <v>0</v>
      </c>
      <c r="E250" s="7">
        <v>1</v>
      </c>
      <c r="F250" s="7">
        <v>17</v>
      </c>
      <c r="G250" s="7" t="b">
        <v>0</v>
      </c>
      <c r="H250" s="7">
        <v>2</v>
      </c>
      <c r="I250" s="7">
        <v>2</v>
      </c>
      <c r="J250" s="7">
        <v>0.16</v>
      </c>
      <c r="K250" s="7" t="str">
        <f t="shared" si="6"/>
        <v>TUESDAY</v>
      </c>
      <c r="L250" t="str">
        <f t="shared" si="7"/>
        <v>Heavy Rain</v>
      </c>
    </row>
    <row r="251" spans="1:12" x14ac:dyDescent="0.25">
      <c r="A251" s="7">
        <v>250</v>
      </c>
      <c r="B251" s="8">
        <v>40554</v>
      </c>
      <c r="C251" s="7">
        <v>1</v>
      </c>
      <c r="D251" s="7">
        <v>0</v>
      </c>
      <c r="E251" s="7">
        <v>1</v>
      </c>
      <c r="F251" s="7">
        <v>18</v>
      </c>
      <c r="G251" s="7" t="b">
        <v>0</v>
      </c>
      <c r="H251" s="7">
        <v>2</v>
      </c>
      <c r="I251" s="7">
        <v>3</v>
      </c>
      <c r="J251" s="7">
        <v>0.16</v>
      </c>
      <c r="K251" s="7" t="str">
        <f t="shared" si="6"/>
        <v>TUESDAY</v>
      </c>
      <c r="L251" t="str">
        <f t="shared" si="7"/>
        <v>Heavy Rain</v>
      </c>
    </row>
    <row r="252" spans="1:12" x14ac:dyDescent="0.25">
      <c r="A252" s="7">
        <v>251</v>
      </c>
      <c r="B252" s="8">
        <v>40554</v>
      </c>
      <c r="C252" s="7">
        <v>1</v>
      </c>
      <c r="D252" s="7">
        <v>0</v>
      </c>
      <c r="E252" s="7">
        <v>1</v>
      </c>
      <c r="F252" s="7">
        <v>19</v>
      </c>
      <c r="G252" s="7" t="b">
        <v>0</v>
      </c>
      <c r="H252" s="7">
        <v>2</v>
      </c>
      <c r="I252" s="7">
        <v>3</v>
      </c>
      <c r="J252" s="7">
        <v>0.16</v>
      </c>
      <c r="K252" s="7" t="str">
        <f t="shared" si="6"/>
        <v>TUESDAY</v>
      </c>
      <c r="L252" t="str">
        <f t="shared" si="7"/>
        <v>Heavy Rain</v>
      </c>
    </row>
    <row r="253" spans="1:12" x14ac:dyDescent="0.25">
      <c r="A253" s="7">
        <v>252</v>
      </c>
      <c r="B253" s="8">
        <v>40554</v>
      </c>
      <c r="C253" s="7">
        <v>1</v>
      </c>
      <c r="D253" s="7">
        <v>0</v>
      </c>
      <c r="E253" s="7">
        <v>1</v>
      </c>
      <c r="F253" s="7">
        <v>20</v>
      </c>
      <c r="G253" s="7" t="b">
        <v>0</v>
      </c>
      <c r="H253" s="7">
        <v>2</v>
      </c>
      <c r="I253" s="7">
        <v>3</v>
      </c>
      <c r="J253" s="7">
        <v>0.16</v>
      </c>
      <c r="K253" s="7" t="str">
        <f t="shared" si="6"/>
        <v>TUESDAY</v>
      </c>
      <c r="L253" t="str">
        <f t="shared" si="7"/>
        <v>Heavy Rain</v>
      </c>
    </row>
    <row r="254" spans="1:12" x14ac:dyDescent="0.25">
      <c r="A254" s="7">
        <v>253</v>
      </c>
      <c r="B254" s="8">
        <v>40554</v>
      </c>
      <c r="C254" s="7">
        <v>1</v>
      </c>
      <c r="D254" s="7">
        <v>0</v>
      </c>
      <c r="E254" s="7">
        <v>1</v>
      </c>
      <c r="F254" s="7">
        <v>21</v>
      </c>
      <c r="G254" s="7" t="b">
        <v>0</v>
      </c>
      <c r="H254" s="7">
        <v>2</v>
      </c>
      <c r="I254" s="7">
        <v>3</v>
      </c>
      <c r="J254" s="7">
        <v>0.16</v>
      </c>
      <c r="K254" s="7" t="str">
        <f t="shared" si="6"/>
        <v>TUESDAY</v>
      </c>
      <c r="L254" t="str">
        <f t="shared" si="7"/>
        <v>Heavy Rain</v>
      </c>
    </row>
    <row r="255" spans="1:12" x14ac:dyDescent="0.25">
      <c r="A255" s="7">
        <v>254</v>
      </c>
      <c r="B255" s="8">
        <v>40554</v>
      </c>
      <c r="C255" s="7">
        <v>1</v>
      </c>
      <c r="D255" s="7">
        <v>0</v>
      </c>
      <c r="E255" s="7">
        <v>1</v>
      </c>
      <c r="F255" s="7">
        <v>22</v>
      </c>
      <c r="G255" s="7" t="b">
        <v>0</v>
      </c>
      <c r="H255" s="7">
        <v>2</v>
      </c>
      <c r="I255" s="7">
        <v>3</v>
      </c>
      <c r="J255" s="7">
        <v>0.16</v>
      </c>
      <c r="K255" s="7" t="str">
        <f t="shared" si="6"/>
        <v>TUESDAY</v>
      </c>
      <c r="L255" t="str">
        <f t="shared" si="7"/>
        <v>Heavy Rain</v>
      </c>
    </row>
    <row r="256" spans="1:12" x14ac:dyDescent="0.25">
      <c r="A256" s="7">
        <v>255</v>
      </c>
      <c r="B256" s="8">
        <v>40554</v>
      </c>
      <c r="C256" s="7">
        <v>1</v>
      </c>
      <c r="D256" s="7">
        <v>0</v>
      </c>
      <c r="E256" s="7">
        <v>1</v>
      </c>
      <c r="F256" s="7">
        <v>23</v>
      </c>
      <c r="G256" s="7" t="b">
        <v>0</v>
      </c>
      <c r="H256" s="7">
        <v>2</v>
      </c>
      <c r="I256" s="7">
        <v>3</v>
      </c>
      <c r="J256" s="7">
        <v>0.16</v>
      </c>
      <c r="K256" s="7" t="str">
        <f t="shared" si="6"/>
        <v>TUESDAY</v>
      </c>
      <c r="L256" t="str">
        <f t="shared" si="7"/>
        <v>Heavy Rain</v>
      </c>
    </row>
    <row r="257" spans="1:12" x14ac:dyDescent="0.25">
      <c r="A257" s="7">
        <v>256</v>
      </c>
      <c r="B257" s="8">
        <v>40555</v>
      </c>
      <c r="C257" s="7">
        <v>1</v>
      </c>
      <c r="D257" s="7">
        <v>0</v>
      </c>
      <c r="E257" s="7">
        <v>1</v>
      </c>
      <c r="F257" s="7">
        <v>0</v>
      </c>
      <c r="G257" s="7" t="b">
        <v>0</v>
      </c>
      <c r="H257" s="7">
        <v>3</v>
      </c>
      <c r="I257" s="7">
        <v>2</v>
      </c>
      <c r="J257" s="7">
        <v>0.16</v>
      </c>
      <c r="K257" s="7" t="str">
        <f t="shared" si="6"/>
        <v>WENESDAY</v>
      </c>
      <c r="L257" t="str">
        <f t="shared" si="7"/>
        <v>Heavy Rain</v>
      </c>
    </row>
    <row r="258" spans="1:12" x14ac:dyDescent="0.25">
      <c r="A258" s="7">
        <v>257</v>
      </c>
      <c r="B258" s="8">
        <v>40555</v>
      </c>
      <c r="C258" s="7">
        <v>1</v>
      </c>
      <c r="D258" s="7">
        <v>0</v>
      </c>
      <c r="E258" s="7">
        <v>1</v>
      </c>
      <c r="F258" s="7">
        <v>1</v>
      </c>
      <c r="G258" s="7" t="b">
        <v>0</v>
      </c>
      <c r="H258" s="7">
        <v>3</v>
      </c>
      <c r="I258" s="7">
        <v>2</v>
      </c>
      <c r="J258" s="7">
        <v>0.16</v>
      </c>
      <c r="K258" s="7" t="str">
        <f t="shared" ref="K258:K321" si="8">CHOOSE(H258+1, "SUNDAY", "MONDAY","TUESDAY", "WENESDAY","THUSDAY", "FRIDAY", "SATARDAY")</f>
        <v>WENESDAY</v>
      </c>
      <c r="L258" t="str">
        <f t="shared" ref="L258:L321" si="9">IF(A258=1,"Clear",IF(A258=2,"Mist",IF(A258=3,"Light Rain/Snow","Heavy Rain")))</f>
        <v>Heavy Rain</v>
      </c>
    </row>
    <row r="259" spans="1:12" x14ac:dyDescent="0.25">
      <c r="A259" s="7">
        <v>258</v>
      </c>
      <c r="B259" s="8">
        <v>40555</v>
      </c>
      <c r="C259" s="7">
        <v>1</v>
      </c>
      <c r="D259" s="7">
        <v>0</v>
      </c>
      <c r="E259" s="7">
        <v>1</v>
      </c>
      <c r="F259" s="7">
        <v>2</v>
      </c>
      <c r="G259" s="7" t="b">
        <v>0</v>
      </c>
      <c r="H259" s="7">
        <v>3</v>
      </c>
      <c r="I259" s="7">
        <v>1</v>
      </c>
      <c r="J259" s="7">
        <v>0.14000000000000001</v>
      </c>
      <c r="K259" s="7" t="str">
        <f t="shared" si="8"/>
        <v>WENESDAY</v>
      </c>
      <c r="L259" t="str">
        <f t="shared" si="9"/>
        <v>Heavy Rain</v>
      </c>
    </row>
    <row r="260" spans="1:12" x14ac:dyDescent="0.25">
      <c r="A260" s="7">
        <v>259</v>
      </c>
      <c r="B260" s="8">
        <v>40555</v>
      </c>
      <c r="C260" s="7">
        <v>1</v>
      </c>
      <c r="D260" s="7">
        <v>0</v>
      </c>
      <c r="E260" s="7">
        <v>1</v>
      </c>
      <c r="F260" s="7">
        <v>5</v>
      </c>
      <c r="G260" s="7" t="b">
        <v>0</v>
      </c>
      <c r="H260" s="7">
        <v>3</v>
      </c>
      <c r="I260" s="7">
        <v>1</v>
      </c>
      <c r="J260" s="7">
        <v>0.14000000000000001</v>
      </c>
      <c r="K260" s="7" t="str">
        <f t="shared" si="8"/>
        <v>WENESDAY</v>
      </c>
      <c r="L260" t="str">
        <f t="shared" si="9"/>
        <v>Heavy Rain</v>
      </c>
    </row>
    <row r="261" spans="1:12" x14ac:dyDescent="0.25">
      <c r="A261" s="7">
        <v>260</v>
      </c>
      <c r="B261" s="8">
        <v>40555</v>
      </c>
      <c r="C261" s="7">
        <v>1</v>
      </c>
      <c r="D261" s="7">
        <v>0</v>
      </c>
      <c r="E261" s="7">
        <v>1</v>
      </c>
      <c r="F261" s="7">
        <v>6</v>
      </c>
      <c r="G261" s="7" t="b">
        <v>0</v>
      </c>
      <c r="H261" s="7">
        <v>3</v>
      </c>
      <c r="I261" s="7">
        <v>1</v>
      </c>
      <c r="J261" s="7">
        <v>0.12</v>
      </c>
      <c r="K261" s="7" t="str">
        <f t="shared" si="8"/>
        <v>WENESDAY</v>
      </c>
      <c r="L261" t="str">
        <f t="shared" si="9"/>
        <v>Heavy Rain</v>
      </c>
    </row>
    <row r="262" spans="1:12" x14ac:dyDescent="0.25">
      <c r="A262" s="7">
        <v>261</v>
      </c>
      <c r="B262" s="8">
        <v>40555</v>
      </c>
      <c r="C262" s="7">
        <v>1</v>
      </c>
      <c r="D262" s="7">
        <v>0</v>
      </c>
      <c r="E262" s="7">
        <v>1</v>
      </c>
      <c r="F262" s="7">
        <v>7</v>
      </c>
      <c r="G262" s="7" t="b">
        <v>0</v>
      </c>
      <c r="H262" s="7">
        <v>3</v>
      </c>
      <c r="I262" s="7">
        <v>1</v>
      </c>
      <c r="J262" s="7">
        <v>0.14000000000000001</v>
      </c>
      <c r="K262" s="7" t="str">
        <f t="shared" si="8"/>
        <v>WENESDAY</v>
      </c>
      <c r="L262" t="str">
        <f t="shared" si="9"/>
        <v>Heavy Rain</v>
      </c>
    </row>
    <row r="263" spans="1:12" x14ac:dyDescent="0.25">
      <c r="A263" s="7">
        <v>262</v>
      </c>
      <c r="B263" s="8">
        <v>40555</v>
      </c>
      <c r="C263" s="7">
        <v>1</v>
      </c>
      <c r="D263" s="7">
        <v>0</v>
      </c>
      <c r="E263" s="7">
        <v>1</v>
      </c>
      <c r="F263" s="7">
        <v>8</v>
      </c>
      <c r="G263" s="7" t="b">
        <v>0</v>
      </c>
      <c r="H263" s="7">
        <v>3</v>
      </c>
      <c r="I263" s="7">
        <v>1</v>
      </c>
      <c r="J263" s="7">
        <v>0.16</v>
      </c>
      <c r="K263" s="7" t="str">
        <f t="shared" si="8"/>
        <v>WENESDAY</v>
      </c>
      <c r="L263" t="str">
        <f t="shared" si="9"/>
        <v>Heavy Rain</v>
      </c>
    </row>
    <row r="264" spans="1:12" x14ac:dyDescent="0.25">
      <c r="A264" s="7">
        <v>263</v>
      </c>
      <c r="B264" s="8">
        <v>40555</v>
      </c>
      <c r="C264" s="7">
        <v>1</v>
      </c>
      <c r="D264" s="7">
        <v>0</v>
      </c>
      <c r="E264" s="7">
        <v>1</v>
      </c>
      <c r="F264" s="7">
        <v>9</v>
      </c>
      <c r="G264" s="7" t="b">
        <v>0</v>
      </c>
      <c r="H264" s="7">
        <v>3</v>
      </c>
      <c r="I264" s="7">
        <v>1</v>
      </c>
      <c r="J264" s="7">
        <v>0.16</v>
      </c>
      <c r="K264" s="7" t="str">
        <f t="shared" si="8"/>
        <v>WENESDAY</v>
      </c>
      <c r="L264" t="str">
        <f t="shared" si="9"/>
        <v>Heavy Rain</v>
      </c>
    </row>
    <row r="265" spans="1:12" x14ac:dyDescent="0.25">
      <c r="A265" s="7">
        <v>264</v>
      </c>
      <c r="B265" s="8">
        <v>40555</v>
      </c>
      <c r="C265" s="7">
        <v>1</v>
      </c>
      <c r="D265" s="7">
        <v>0</v>
      </c>
      <c r="E265" s="7">
        <v>1</v>
      </c>
      <c r="F265" s="7">
        <v>10</v>
      </c>
      <c r="G265" s="7" t="b">
        <v>0</v>
      </c>
      <c r="H265" s="7">
        <v>3</v>
      </c>
      <c r="I265" s="7">
        <v>1</v>
      </c>
      <c r="J265" s="7">
        <v>0.18</v>
      </c>
      <c r="K265" s="7" t="str">
        <f t="shared" si="8"/>
        <v>WENESDAY</v>
      </c>
      <c r="L265" t="str">
        <f t="shared" si="9"/>
        <v>Heavy Rain</v>
      </c>
    </row>
    <row r="266" spans="1:12" x14ac:dyDescent="0.25">
      <c r="A266" s="7">
        <v>265</v>
      </c>
      <c r="B266" s="8">
        <v>40555</v>
      </c>
      <c r="C266" s="7">
        <v>1</v>
      </c>
      <c r="D266" s="7">
        <v>0</v>
      </c>
      <c r="E266" s="7">
        <v>1</v>
      </c>
      <c r="F266" s="7">
        <v>11</v>
      </c>
      <c r="G266" s="7" t="b">
        <v>0</v>
      </c>
      <c r="H266" s="7">
        <v>3</v>
      </c>
      <c r="I266" s="7">
        <v>1</v>
      </c>
      <c r="J266" s="7">
        <v>0.2</v>
      </c>
      <c r="K266" s="7" t="str">
        <f t="shared" si="8"/>
        <v>WENESDAY</v>
      </c>
      <c r="L266" t="str">
        <f t="shared" si="9"/>
        <v>Heavy Rain</v>
      </c>
    </row>
    <row r="267" spans="1:12" x14ac:dyDescent="0.25">
      <c r="A267" s="7">
        <v>266</v>
      </c>
      <c r="B267" s="8">
        <v>40555</v>
      </c>
      <c r="C267" s="7">
        <v>1</v>
      </c>
      <c r="D267" s="7">
        <v>0</v>
      </c>
      <c r="E267" s="7">
        <v>1</v>
      </c>
      <c r="F267" s="7">
        <v>12</v>
      </c>
      <c r="G267" s="7" t="b">
        <v>0</v>
      </c>
      <c r="H267" s="7">
        <v>3</v>
      </c>
      <c r="I267" s="7">
        <v>1</v>
      </c>
      <c r="J267" s="7">
        <v>0.2</v>
      </c>
      <c r="K267" s="7" t="str">
        <f t="shared" si="8"/>
        <v>WENESDAY</v>
      </c>
      <c r="L267" t="str">
        <f t="shared" si="9"/>
        <v>Heavy Rain</v>
      </c>
    </row>
    <row r="268" spans="1:12" x14ac:dyDescent="0.25">
      <c r="A268" s="7">
        <v>267</v>
      </c>
      <c r="B268" s="8">
        <v>40555</v>
      </c>
      <c r="C268" s="7">
        <v>1</v>
      </c>
      <c r="D268" s="7">
        <v>0</v>
      </c>
      <c r="E268" s="7">
        <v>1</v>
      </c>
      <c r="F268" s="7">
        <v>13</v>
      </c>
      <c r="G268" s="7" t="b">
        <v>0</v>
      </c>
      <c r="H268" s="7">
        <v>3</v>
      </c>
      <c r="I268" s="7">
        <v>1</v>
      </c>
      <c r="J268" s="7">
        <v>0.22</v>
      </c>
      <c r="K268" s="7" t="str">
        <f t="shared" si="8"/>
        <v>WENESDAY</v>
      </c>
      <c r="L268" t="str">
        <f t="shared" si="9"/>
        <v>Heavy Rain</v>
      </c>
    </row>
    <row r="269" spans="1:12" x14ac:dyDescent="0.25">
      <c r="A269" s="7">
        <v>268</v>
      </c>
      <c r="B269" s="8">
        <v>40555</v>
      </c>
      <c r="C269" s="7">
        <v>1</v>
      </c>
      <c r="D269" s="7">
        <v>0</v>
      </c>
      <c r="E269" s="7">
        <v>1</v>
      </c>
      <c r="F269" s="7">
        <v>14</v>
      </c>
      <c r="G269" s="7" t="b">
        <v>0</v>
      </c>
      <c r="H269" s="7">
        <v>3</v>
      </c>
      <c r="I269" s="7">
        <v>1</v>
      </c>
      <c r="J269" s="7">
        <v>0.2</v>
      </c>
      <c r="K269" s="7" t="str">
        <f t="shared" si="8"/>
        <v>WENESDAY</v>
      </c>
      <c r="L269" t="str">
        <f t="shared" si="9"/>
        <v>Heavy Rain</v>
      </c>
    </row>
    <row r="270" spans="1:12" x14ac:dyDescent="0.25">
      <c r="A270" s="7">
        <v>269</v>
      </c>
      <c r="B270" s="8">
        <v>40555</v>
      </c>
      <c r="C270" s="7">
        <v>1</v>
      </c>
      <c r="D270" s="7">
        <v>0</v>
      </c>
      <c r="E270" s="7">
        <v>1</v>
      </c>
      <c r="F270" s="7">
        <v>15</v>
      </c>
      <c r="G270" s="7" t="b">
        <v>0</v>
      </c>
      <c r="H270" s="7">
        <v>3</v>
      </c>
      <c r="I270" s="7">
        <v>1</v>
      </c>
      <c r="J270" s="7">
        <v>0.2</v>
      </c>
      <c r="K270" s="7" t="str">
        <f t="shared" si="8"/>
        <v>WENESDAY</v>
      </c>
      <c r="L270" t="str">
        <f t="shared" si="9"/>
        <v>Heavy Rain</v>
      </c>
    </row>
    <row r="271" spans="1:12" x14ac:dyDescent="0.25">
      <c r="A271" s="7">
        <v>270</v>
      </c>
      <c r="B271" s="8">
        <v>40555</v>
      </c>
      <c r="C271" s="7">
        <v>1</v>
      </c>
      <c r="D271" s="7">
        <v>0</v>
      </c>
      <c r="E271" s="7">
        <v>1</v>
      </c>
      <c r="F271" s="7">
        <v>16</v>
      </c>
      <c r="G271" s="7" t="b">
        <v>0</v>
      </c>
      <c r="H271" s="7">
        <v>3</v>
      </c>
      <c r="I271" s="7">
        <v>1</v>
      </c>
      <c r="J271" s="7">
        <v>0.22</v>
      </c>
      <c r="K271" s="7" t="str">
        <f t="shared" si="8"/>
        <v>WENESDAY</v>
      </c>
      <c r="L271" t="str">
        <f t="shared" si="9"/>
        <v>Heavy Rain</v>
      </c>
    </row>
    <row r="272" spans="1:12" x14ac:dyDescent="0.25">
      <c r="A272" s="7">
        <v>271</v>
      </c>
      <c r="B272" s="8">
        <v>40555</v>
      </c>
      <c r="C272" s="7">
        <v>1</v>
      </c>
      <c r="D272" s="7">
        <v>0</v>
      </c>
      <c r="E272" s="7">
        <v>1</v>
      </c>
      <c r="F272" s="7">
        <v>17</v>
      </c>
      <c r="G272" s="7" t="b">
        <v>0</v>
      </c>
      <c r="H272" s="7">
        <v>3</v>
      </c>
      <c r="I272" s="7">
        <v>1</v>
      </c>
      <c r="J272" s="7">
        <v>0.2</v>
      </c>
      <c r="K272" s="7" t="str">
        <f t="shared" si="8"/>
        <v>WENESDAY</v>
      </c>
      <c r="L272" t="str">
        <f t="shared" si="9"/>
        <v>Heavy Rain</v>
      </c>
    </row>
    <row r="273" spans="1:12" x14ac:dyDescent="0.25">
      <c r="A273" s="7">
        <v>272</v>
      </c>
      <c r="B273" s="8">
        <v>40555</v>
      </c>
      <c r="C273" s="7">
        <v>1</v>
      </c>
      <c r="D273" s="7">
        <v>0</v>
      </c>
      <c r="E273" s="7">
        <v>1</v>
      </c>
      <c r="F273" s="7">
        <v>18</v>
      </c>
      <c r="G273" s="7" t="b">
        <v>0</v>
      </c>
      <c r="H273" s="7">
        <v>3</v>
      </c>
      <c r="I273" s="7">
        <v>1</v>
      </c>
      <c r="J273" s="7">
        <v>0.2</v>
      </c>
      <c r="K273" s="7" t="str">
        <f t="shared" si="8"/>
        <v>WENESDAY</v>
      </c>
      <c r="L273" t="str">
        <f t="shared" si="9"/>
        <v>Heavy Rain</v>
      </c>
    </row>
    <row r="274" spans="1:12" x14ac:dyDescent="0.25">
      <c r="A274" s="7">
        <v>273</v>
      </c>
      <c r="B274" s="8">
        <v>40555</v>
      </c>
      <c r="C274" s="7">
        <v>1</v>
      </c>
      <c r="D274" s="7">
        <v>0</v>
      </c>
      <c r="E274" s="7">
        <v>1</v>
      </c>
      <c r="F274" s="7">
        <v>19</v>
      </c>
      <c r="G274" s="7" t="b">
        <v>0</v>
      </c>
      <c r="H274" s="7">
        <v>3</v>
      </c>
      <c r="I274" s="7">
        <v>1</v>
      </c>
      <c r="J274" s="7">
        <v>0.18</v>
      </c>
      <c r="K274" s="7" t="str">
        <f t="shared" si="8"/>
        <v>WENESDAY</v>
      </c>
      <c r="L274" t="str">
        <f t="shared" si="9"/>
        <v>Heavy Rain</v>
      </c>
    </row>
    <row r="275" spans="1:12" x14ac:dyDescent="0.25">
      <c r="A275" s="7">
        <v>274</v>
      </c>
      <c r="B275" s="8">
        <v>40555</v>
      </c>
      <c r="C275" s="7">
        <v>1</v>
      </c>
      <c r="D275" s="7">
        <v>0</v>
      </c>
      <c r="E275" s="7">
        <v>1</v>
      </c>
      <c r="F275" s="7">
        <v>20</v>
      </c>
      <c r="G275" s="7" t="b">
        <v>0</v>
      </c>
      <c r="H275" s="7">
        <v>3</v>
      </c>
      <c r="I275" s="7">
        <v>1</v>
      </c>
      <c r="J275" s="7">
        <v>0.16</v>
      </c>
      <c r="K275" s="7" t="str">
        <f t="shared" si="8"/>
        <v>WENESDAY</v>
      </c>
      <c r="L275" t="str">
        <f t="shared" si="9"/>
        <v>Heavy Rain</v>
      </c>
    </row>
    <row r="276" spans="1:12" x14ac:dyDescent="0.25">
      <c r="A276" s="7">
        <v>275</v>
      </c>
      <c r="B276" s="8">
        <v>40555</v>
      </c>
      <c r="C276" s="7">
        <v>1</v>
      </c>
      <c r="D276" s="7">
        <v>0</v>
      </c>
      <c r="E276" s="7">
        <v>1</v>
      </c>
      <c r="F276" s="7">
        <v>21</v>
      </c>
      <c r="G276" s="7" t="b">
        <v>0</v>
      </c>
      <c r="H276" s="7">
        <v>3</v>
      </c>
      <c r="I276" s="7">
        <v>1</v>
      </c>
      <c r="J276" s="7">
        <v>0.16</v>
      </c>
      <c r="K276" s="7" t="str">
        <f t="shared" si="8"/>
        <v>WENESDAY</v>
      </c>
      <c r="L276" t="str">
        <f t="shared" si="9"/>
        <v>Heavy Rain</v>
      </c>
    </row>
    <row r="277" spans="1:12" x14ac:dyDescent="0.25">
      <c r="A277" s="7">
        <v>276</v>
      </c>
      <c r="B277" s="8">
        <v>40555</v>
      </c>
      <c r="C277" s="7">
        <v>1</v>
      </c>
      <c r="D277" s="7">
        <v>0</v>
      </c>
      <c r="E277" s="7">
        <v>1</v>
      </c>
      <c r="F277" s="7">
        <v>22</v>
      </c>
      <c r="G277" s="7" t="b">
        <v>0</v>
      </c>
      <c r="H277" s="7">
        <v>3</v>
      </c>
      <c r="I277" s="7">
        <v>1</v>
      </c>
      <c r="J277" s="7">
        <v>0.16</v>
      </c>
      <c r="K277" s="7" t="str">
        <f t="shared" si="8"/>
        <v>WENESDAY</v>
      </c>
      <c r="L277" t="str">
        <f t="shared" si="9"/>
        <v>Heavy Rain</v>
      </c>
    </row>
    <row r="278" spans="1:12" x14ac:dyDescent="0.25">
      <c r="A278" s="7">
        <v>277</v>
      </c>
      <c r="B278" s="8">
        <v>40555</v>
      </c>
      <c r="C278" s="7">
        <v>1</v>
      </c>
      <c r="D278" s="7">
        <v>0</v>
      </c>
      <c r="E278" s="7">
        <v>1</v>
      </c>
      <c r="F278" s="7">
        <v>23</v>
      </c>
      <c r="G278" s="7" t="b">
        <v>0</v>
      </c>
      <c r="H278" s="7">
        <v>3</v>
      </c>
      <c r="I278" s="7">
        <v>1</v>
      </c>
      <c r="J278" s="7">
        <v>0.14000000000000001</v>
      </c>
      <c r="K278" s="7" t="str">
        <f t="shared" si="8"/>
        <v>WENESDAY</v>
      </c>
      <c r="L278" t="str">
        <f t="shared" si="9"/>
        <v>Heavy Rain</v>
      </c>
    </row>
    <row r="279" spans="1:12" x14ac:dyDescent="0.25">
      <c r="A279" s="7">
        <v>278</v>
      </c>
      <c r="B279" s="8">
        <v>40556</v>
      </c>
      <c r="C279" s="7">
        <v>1</v>
      </c>
      <c r="D279" s="7">
        <v>0</v>
      </c>
      <c r="E279" s="7">
        <v>1</v>
      </c>
      <c r="F279" s="7">
        <v>0</v>
      </c>
      <c r="G279" s="7" t="b">
        <v>0</v>
      </c>
      <c r="H279" s="7">
        <v>4</v>
      </c>
      <c r="I279" s="7">
        <v>1</v>
      </c>
      <c r="J279" s="7">
        <v>0.14000000000000001</v>
      </c>
      <c r="K279" s="7" t="str">
        <f t="shared" si="8"/>
        <v>THUSDAY</v>
      </c>
      <c r="L279" t="str">
        <f t="shared" si="9"/>
        <v>Heavy Rain</v>
      </c>
    </row>
    <row r="280" spans="1:12" x14ac:dyDescent="0.25">
      <c r="A280" s="7">
        <v>279</v>
      </c>
      <c r="B280" s="8">
        <v>40556</v>
      </c>
      <c r="C280" s="7">
        <v>1</v>
      </c>
      <c r="D280" s="7">
        <v>0</v>
      </c>
      <c r="E280" s="7">
        <v>1</v>
      </c>
      <c r="F280" s="7">
        <v>1</v>
      </c>
      <c r="G280" s="7" t="b">
        <v>0</v>
      </c>
      <c r="H280" s="7">
        <v>4</v>
      </c>
      <c r="I280" s="7">
        <v>1</v>
      </c>
      <c r="J280" s="7">
        <v>0.14000000000000001</v>
      </c>
      <c r="K280" s="7" t="str">
        <f t="shared" si="8"/>
        <v>THUSDAY</v>
      </c>
      <c r="L280" t="str">
        <f t="shared" si="9"/>
        <v>Heavy Rain</v>
      </c>
    </row>
    <row r="281" spans="1:12" x14ac:dyDescent="0.25">
      <c r="A281" s="7">
        <v>280</v>
      </c>
      <c r="B281" s="8">
        <v>40556</v>
      </c>
      <c r="C281" s="7">
        <v>1</v>
      </c>
      <c r="D281" s="7">
        <v>0</v>
      </c>
      <c r="E281" s="7">
        <v>1</v>
      </c>
      <c r="F281" s="7">
        <v>2</v>
      </c>
      <c r="G281" s="7" t="b">
        <v>0</v>
      </c>
      <c r="H281" s="7">
        <v>4</v>
      </c>
      <c r="I281" s="7">
        <v>1</v>
      </c>
      <c r="J281" s="7">
        <v>0.14000000000000001</v>
      </c>
      <c r="K281" s="7" t="str">
        <f t="shared" si="8"/>
        <v>THUSDAY</v>
      </c>
      <c r="L281" t="str">
        <f t="shared" si="9"/>
        <v>Heavy Rain</v>
      </c>
    </row>
    <row r="282" spans="1:12" x14ac:dyDescent="0.25">
      <c r="A282" s="7">
        <v>281</v>
      </c>
      <c r="B282" s="8">
        <v>40556</v>
      </c>
      <c r="C282" s="7">
        <v>1</v>
      </c>
      <c r="D282" s="7">
        <v>0</v>
      </c>
      <c r="E282" s="7">
        <v>1</v>
      </c>
      <c r="F282" s="7">
        <v>3</v>
      </c>
      <c r="G282" s="7" t="b">
        <v>0</v>
      </c>
      <c r="H282" s="7">
        <v>4</v>
      </c>
      <c r="I282" s="7">
        <v>1</v>
      </c>
      <c r="J282" s="7">
        <v>0.14000000000000001</v>
      </c>
      <c r="K282" s="7" t="str">
        <f t="shared" si="8"/>
        <v>THUSDAY</v>
      </c>
      <c r="L282" t="str">
        <f t="shared" si="9"/>
        <v>Heavy Rain</v>
      </c>
    </row>
    <row r="283" spans="1:12" x14ac:dyDescent="0.25">
      <c r="A283" s="7">
        <v>282</v>
      </c>
      <c r="B283" s="8">
        <v>40556</v>
      </c>
      <c r="C283" s="7">
        <v>1</v>
      </c>
      <c r="D283" s="7">
        <v>0</v>
      </c>
      <c r="E283" s="7">
        <v>1</v>
      </c>
      <c r="F283" s="7">
        <v>4</v>
      </c>
      <c r="G283" s="7" t="b">
        <v>0</v>
      </c>
      <c r="H283" s="7">
        <v>4</v>
      </c>
      <c r="I283" s="7">
        <v>1</v>
      </c>
      <c r="J283" s="7">
        <v>0.14000000000000001</v>
      </c>
      <c r="K283" s="7" t="str">
        <f t="shared" si="8"/>
        <v>THUSDAY</v>
      </c>
      <c r="L283" t="str">
        <f t="shared" si="9"/>
        <v>Heavy Rain</v>
      </c>
    </row>
    <row r="284" spans="1:12" x14ac:dyDescent="0.25">
      <c r="A284" s="7">
        <v>283</v>
      </c>
      <c r="B284" s="8">
        <v>40556</v>
      </c>
      <c r="C284" s="7">
        <v>1</v>
      </c>
      <c r="D284" s="7">
        <v>0</v>
      </c>
      <c r="E284" s="7">
        <v>1</v>
      </c>
      <c r="F284" s="7">
        <v>5</v>
      </c>
      <c r="G284" s="7" t="b">
        <v>0</v>
      </c>
      <c r="H284" s="7">
        <v>4</v>
      </c>
      <c r="I284" s="7">
        <v>1</v>
      </c>
      <c r="J284" s="7">
        <v>0.14000000000000001</v>
      </c>
      <c r="K284" s="7" t="str">
        <f t="shared" si="8"/>
        <v>THUSDAY</v>
      </c>
      <c r="L284" t="str">
        <f t="shared" si="9"/>
        <v>Heavy Rain</v>
      </c>
    </row>
    <row r="285" spans="1:12" x14ac:dyDescent="0.25">
      <c r="A285" s="7">
        <v>284</v>
      </c>
      <c r="B285" s="8">
        <v>40556</v>
      </c>
      <c r="C285" s="7">
        <v>1</v>
      </c>
      <c r="D285" s="7">
        <v>0</v>
      </c>
      <c r="E285" s="7">
        <v>1</v>
      </c>
      <c r="F285" s="7">
        <v>6</v>
      </c>
      <c r="G285" s="7" t="b">
        <v>0</v>
      </c>
      <c r="H285" s="7">
        <v>4</v>
      </c>
      <c r="I285" s="7">
        <v>1</v>
      </c>
      <c r="J285" s="7">
        <v>0.12</v>
      </c>
      <c r="K285" s="7" t="str">
        <f t="shared" si="8"/>
        <v>THUSDAY</v>
      </c>
      <c r="L285" t="str">
        <f t="shared" si="9"/>
        <v>Heavy Rain</v>
      </c>
    </row>
    <row r="286" spans="1:12" x14ac:dyDescent="0.25">
      <c r="A286" s="7">
        <v>285</v>
      </c>
      <c r="B286" s="8">
        <v>40556</v>
      </c>
      <c r="C286" s="7">
        <v>1</v>
      </c>
      <c r="D286" s="7">
        <v>0</v>
      </c>
      <c r="E286" s="7">
        <v>1</v>
      </c>
      <c r="F286" s="7">
        <v>7</v>
      </c>
      <c r="G286" s="7" t="b">
        <v>0</v>
      </c>
      <c r="H286" s="7">
        <v>4</v>
      </c>
      <c r="I286" s="7">
        <v>1</v>
      </c>
      <c r="J286" s="7">
        <v>0.12</v>
      </c>
      <c r="K286" s="7" t="str">
        <f t="shared" si="8"/>
        <v>THUSDAY</v>
      </c>
      <c r="L286" t="str">
        <f t="shared" si="9"/>
        <v>Heavy Rain</v>
      </c>
    </row>
    <row r="287" spans="1:12" x14ac:dyDescent="0.25">
      <c r="A287" s="7">
        <v>286</v>
      </c>
      <c r="B287" s="8">
        <v>40556</v>
      </c>
      <c r="C287" s="7">
        <v>1</v>
      </c>
      <c r="D287" s="7">
        <v>0</v>
      </c>
      <c r="E287" s="7">
        <v>1</v>
      </c>
      <c r="F287" s="7">
        <v>8</v>
      </c>
      <c r="G287" s="7" t="b">
        <v>0</v>
      </c>
      <c r="H287" s="7">
        <v>4</v>
      </c>
      <c r="I287" s="7">
        <v>1</v>
      </c>
      <c r="J287" s="7">
        <v>0.14000000000000001</v>
      </c>
      <c r="K287" s="7" t="str">
        <f t="shared" si="8"/>
        <v>THUSDAY</v>
      </c>
      <c r="L287" t="str">
        <f t="shared" si="9"/>
        <v>Heavy Rain</v>
      </c>
    </row>
    <row r="288" spans="1:12" x14ac:dyDescent="0.25">
      <c r="A288" s="7">
        <v>287</v>
      </c>
      <c r="B288" s="8">
        <v>40556</v>
      </c>
      <c r="C288" s="7">
        <v>1</v>
      </c>
      <c r="D288" s="7">
        <v>0</v>
      </c>
      <c r="E288" s="7">
        <v>1</v>
      </c>
      <c r="F288" s="7">
        <v>9</v>
      </c>
      <c r="G288" s="7" t="b">
        <v>0</v>
      </c>
      <c r="H288" s="7">
        <v>4</v>
      </c>
      <c r="I288" s="7">
        <v>1</v>
      </c>
      <c r="J288" s="7">
        <v>0.14000000000000001</v>
      </c>
      <c r="K288" s="7" t="str">
        <f t="shared" si="8"/>
        <v>THUSDAY</v>
      </c>
      <c r="L288" t="str">
        <f t="shared" si="9"/>
        <v>Heavy Rain</v>
      </c>
    </row>
    <row r="289" spans="1:12" x14ac:dyDescent="0.25">
      <c r="A289" s="7">
        <v>288</v>
      </c>
      <c r="B289" s="8">
        <v>40556</v>
      </c>
      <c r="C289" s="7">
        <v>1</v>
      </c>
      <c r="D289" s="7">
        <v>0</v>
      </c>
      <c r="E289" s="7">
        <v>1</v>
      </c>
      <c r="F289" s="7">
        <v>10</v>
      </c>
      <c r="G289" s="7" t="b">
        <v>0</v>
      </c>
      <c r="H289" s="7">
        <v>4</v>
      </c>
      <c r="I289" s="7">
        <v>2</v>
      </c>
      <c r="J289" s="7">
        <v>0.16</v>
      </c>
      <c r="K289" s="7" t="str">
        <f t="shared" si="8"/>
        <v>THUSDAY</v>
      </c>
      <c r="L289" t="str">
        <f t="shared" si="9"/>
        <v>Heavy Rain</v>
      </c>
    </row>
    <row r="290" spans="1:12" x14ac:dyDescent="0.25">
      <c r="A290" s="7">
        <v>289</v>
      </c>
      <c r="B290" s="8">
        <v>40556</v>
      </c>
      <c r="C290" s="7">
        <v>1</v>
      </c>
      <c r="D290" s="7">
        <v>0</v>
      </c>
      <c r="E290" s="7">
        <v>1</v>
      </c>
      <c r="F290" s="7">
        <v>11</v>
      </c>
      <c r="G290" s="7" t="b">
        <v>0</v>
      </c>
      <c r="H290" s="7">
        <v>4</v>
      </c>
      <c r="I290" s="7">
        <v>2</v>
      </c>
      <c r="J290" s="7">
        <v>0.2</v>
      </c>
      <c r="K290" s="7" t="str">
        <f t="shared" si="8"/>
        <v>THUSDAY</v>
      </c>
      <c r="L290" t="str">
        <f t="shared" si="9"/>
        <v>Heavy Rain</v>
      </c>
    </row>
    <row r="291" spans="1:12" x14ac:dyDescent="0.25">
      <c r="A291" s="7">
        <v>290</v>
      </c>
      <c r="B291" s="8">
        <v>40556</v>
      </c>
      <c r="C291" s="7">
        <v>1</v>
      </c>
      <c r="D291" s="7">
        <v>0</v>
      </c>
      <c r="E291" s="7">
        <v>1</v>
      </c>
      <c r="F291" s="7">
        <v>12</v>
      </c>
      <c r="G291" s="7" t="b">
        <v>0</v>
      </c>
      <c r="H291" s="7">
        <v>4</v>
      </c>
      <c r="I291" s="7">
        <v>1</v>
      </c>
      <c r="J291" s="7">
        <v>0.2</v>
      </c>
      <c r="K291" s="7" t="str">
        <f t="shared" si="8"/>
        <v>THUSDAY</v>
      </c>
      <c r="L291" t="str">
        <f t="shared" si="9"/>
        <v>Heavy Rain</v>
      </c>
    </row>
    <row r="292" spans="1:12" x14ac:dyDescent="0.25">
      <c r="A292" s="7">
        <v>291</v>
      </c>
      <c r="B292" s="8">
        <v>40556</v>
      </c>
      <c r="C292" s="7">
        <v>1</v>
      </c>
      <c r="D292" s="7">
        <v>0</v>
      </c>
      <c r="E292" s="7">
        <v>1</v>
      </c>
      <c r="F292" s="7">
        <v>13</v>
      </c>
      <c r="G292" s="7" t="b">
        <v>0</v>
      </c>
      <c r="H292" s="7">
        <v>4</v>
      </c>
      <c r="I292" s="7">
        <v>1</v>
      </c>
      <c r="J292" s="7">
        <v>0.22</v>
      </c>
      <c r="K292" s="7" t="str">
        <f t="shared" si="8"/>
        <v>THUSDAY</v>
      </c>
      <c r="L292" t="str">
        <f t="shared" si="9"/>
        <v>Heavy Rain</v>
      </c>
    </row>
    <row r="293" spans="1:12" x14ac:dyDescent="0.25">
      <c r="A293" s="7">
        <v>292</v>
      </c>
      <c r="B293" s="8">
        <v>40556</v>
      </c>
      <c r="C293" s="7">
        <v>1</v>
      </c>
      <c r="D293" s="7">
        <v>0</v>
      </c>
      <c r="E293" s="7">
        <v>1</v>
      </c>
      <c r="F293" s="7">
        <v>14</v>
      </c>
      <c r="G293" s="7" t="b">
        <v>0</v>
      </c>
      <c r="H293" s="7">
        <v>4</v>
      </c>
      <c r="I293" s="7">
        <v>1</v>
      </c>
      <c r="J293" s="7">
        <v>0.22</v>
      </c>
      <c r="K293" s="7" t="str">
        <f t="shared" si="8"/>
        <v>THUSDAY</v>
      </c>
      <c r="L293" t="str">
        <f t="shared" si="9"/>
        <v>Heavy Rain</v>
      </c>
    </row>
    <row r="294" spans="1:12" x14ac:dyDescent="0.25">
      <c r="A294" s="7">
        <v>293</v>
      </c>
      <c r="B294" s="8">
        <v>40556</v>
      </c>
      <c r="C294" s="7">
        <v>1</v>
      </c>
      <c r="D294" s="7">
        <v>0</v>
      </c>
      <c r="E294" s="7">
        <v>1</v>
      </c>
      <c r="F294" s="7">
        <v>15</v>
      </c>
      <c r="G294" s="7" t="b">
        <v>0</v>
      </c>
      <c r="H294" s="7">
        <v>4</v>
      </c>
      <c r="I294" s="7">
        <v>1</v>
      </c>
      <c r="J294" s="7">
        <v>0.24</v>
      </c>
      <c r="K294" s="7" t="str">
        <f t="shared" si="8"/>
        <v>THUSDAY</v>
      </c>
      <c r="L294" t="str">
        <f t="shared" si="9"/>
        <v>Heavy Rain</v>
      </c>
    </row>
    <row r="295" spans="1:12" x14ac:dyDescent="0.25">
      <c r="A295" s="7">
        <v>294</v>
      </c>
      <c r="B295" s="8">
        <v>40556</v>
      </c>
      <c r="C295" s="7">
        <v>1</v>
      </c>
      <c r="D295" s="7">
        <v>0</v>
      </c>
      <c r="E295" s="7">
        <v>1</v>
      </c>
      <c r="F295" s="7">
        <v>16</v>
      </c>
      <c r="G295" s="7" t="b">
        <v>0</v>
      </c>
      <c r="H295" s="7">
        <v>4</v>
      </c>
      <c r="I295" s="7">
        <v>1</v>
      </c>
      <c r="J295" s="7">
        <v>0.24</v>
      </c>
      <c r="K295" s="7" t="str">
        <f t="shared" si="8"/>
        <v>THUSDAY</v>
      </c>
      <c r="L295" t="str">
        <f t="shared" si="9"/>
        <v>Heavy Rain</v>
      </c>
    </row>
    <row r="296" spans="1:12" x14ac:dyDescent="0.25">
      <c r="A296" s="7">
        <v>295</v>
      </c>
      <c r="B296" s="8">
        <v>40556</v>
      </c>
      <c r="C296" s="7">
        <v>1</v>
      </c>
      <c r="D296" s="7">
        <v>0</v>
      </c>
      <c r="E296" s="7">
        <v>1</v>
      </c>
      <c r="F296" s="7">
        <v>17</v>
      </c>
      <c r="G296" s="7" t="b">
        <v>0</v>
      </c>
      <c r="H296" s="7">
        <v>4</v>
      </c>
      <c r="I296" s="7">
        <v>1</v>
      </c>
      <c r="J296" s="7">
        <v>0.2</v>
      </c>
      <c r="K296" s="7" t="str">
        <f t="shared" si="8"/>
        <v>THUSDAY</v>
      </c>
      <c r="L296" t="str">
        <f t="shared" si="9"/>
        <v>Heavy Rain</v>
      </c>
    </row>
    <row r="297" spans="1:12" x14ac:dyDescent="0.25">
      <c r="A297" s="7">
        <v>296</v>
      </c>
      <c r="B297" s="8">
        <v>40556</v>
      </c>
      <c r="C297" s="7">
        <v>1</v>
      </c>
      <c r="D297" s="7">
        <v>0</v>
      </c>
      <c r="E297" s="7">
        <v>1</v>
      </c>
      <c r="F297" s="7">
        <v>18</v>
      </c>
      <c r="G297" s="7" t="b">
        <v>0</v>
      </c>
      <c r="H297" s="7">
        <v>4</v>
      </c>
      <c r="I297" s="7">
        <v>1</v>
      </c>
      <c r="J297" s="7">
        <v>0.2</v>
      </c>
      <c r="K297" s="7" t="str">
        <f t="shared" si="8"/>
        <v>THUSDAY</v>
      </c>
      <c r="L297" t="str">
        <f t="shared" si="9"/>
        <v>Heavy Rain</v>
      </c>
    </row>
    <row r="298" spans="1:12" x14ac:dyDescent="0.25">
      <c r="A298" s="7">
        <v>297</v>
      </c>
      <c r="B298" s="8">
        <v>40556</v>
      </c>
      <c r="C298" s="7">
        <v>1</v>
      </c>
      <c r="D298" s="7">
        <v>0</v>
      </c>
      <c r="E298" s="7">
        <v>1</v>
      </c>
      <c r="F298" s="7">
        <v>19</v>
      </c>
      <c r="G298" s="7" t="b">
        <v>0</v>
      </c>
      <c r="H298" s="7">
        <v>4</v>
      </c>
      <c r="I298" s="7">
        <v>1</v>
      </c>
      <c r="J298" s="7">
        <v>0.16</v>
      </c>
      <c r="K298" s="7" t="str">
        <f t="shared" si="8"/>
        <v>THUSDAY</v>
      </c>
      <c r="L298" t="str">
        <f t="shared" si="9"/>
        <v>Heavy Rain</v>
      </c>
    </row>
    <row r="299" spans="1:12" x14ac:dyDescent="0.25">
      <c r="A299" s="7">
        <v>298</v>
      </c>
      <c r="B299" s="8">
        <v>40556</v>
      </c>
      <c r="C299" s="7">
        <v>1</v>
      </c>
      <c r="D299" s="7">
        <v>0</v>
      </c>
      <c r="E299" s="7">
        <v>1</v>
      </c>
      <c r="F299" s="7">
        <v>20</v>
      </c>
      <c r="G299" s="7" t="b">
        <v>0</v>
      </c>
      <c r="H299" s="7">
        <v>4</v>
      </c>
      <c r="I299" s="7">
        <v>1</v>
      </c>
      <c r="J299" s="7">
        <v>0.16</v>
      </c>
      <c r="K299" s="7" t="str">
        <f t="shared" si="8"/>
        <v>THUSDAY</v>
      </c>
      <c r="L299" t="str">
        <f t="shared" si="9"/>
        <v>Heavy Rain</v>
      </c>
    </row>
    <row r="300" spans="1:12" x14ac:dyDescent="0.25">
      <c r="A300" s="7">
        <v>299</v>
      </c>
      <c r="B300" s="8">
        <v>40556</v>
      </c>
      <c r="C300" s="7">
        <v>1</v>
      </c>
      <c r="D300" s="7">
        <v>0</v>
      </c>
      <c r="E300" s="7">
        <v>1</v>
      </c>
      <c r="F300" s="7">
        <v>21</v>
      </c>
      <c r="G300" s="7" t="b">
        <v>0</v>
      </c>
      <c r="H300" s="7">
        <v>4</v>
      </c>
      <c r="I300" s="7">
        <v>1</v>
      </c>
      <c r="J300" s="7">
        <v>0.14000000000000001</v>
      </c>
      <c r="K300" s="7" t="str">
        <f t="shared" si="8"/>
        <v>THUSDAY</v>
      </c>
      <c r="L300" t="str">
        <f t="shared" si="9"/>
        <v>Heavy Rain</v>
      </c>
    </row>
    <row r="301" spans="1:12" x14ac:dyDescent="0.25">
      <c r="A301" s="7">
        <v>300</v>
      </c>
      <c r="B301" s="8">
        <v>40556</v>
      </c>
      <c r="C301" s="7">
        <v>1</v>
      </c>
      <c r="D301" s="7">
        <v>0</v>
      </c>
      <c r="E301" s="7">
        <v>1</v>
      </c>
      <c r="F301" s="7">
        <v>22</v>
      </c>
      <c r="G301" s="7" t="b">
        <v>0</v>
      </c>
      <c r="H301" s="7">
        <v>4</v>
      </c>
      <c r="I301" s="7">
        <v>1</v>
      </c>
      <c r="J301" s="7">
        <v>0.14000000000000001</v>
      </c>
      <c r="K301" s="7" t="str">
        <f t="shared" si="8"/>
        <v>THUSDAY</v>
      </c>
      <c r="L301" t="str">
        <f t="shared" si="9"/>
        <v>Heavy Rain</v>
      </c>
    </row>
    <row r="302" spans="1:12" x14ac:dyDescent="0.25">
      <c r="A302" s="7">
        <v>301</v>
      </c>
      <c r="B302" s="8">
        <v>40556</v>
      </c>
      <c r="C302" s="7">
        <v>1</v>
      </c>
      <c r="D302" s="7">
        <v>0</v>
      </c>
      <c r="E302" s="7">
        <v>1</v>
      </c>
      <c r="F302" s="7">
        <v>23</v>
      </c>
      <c r="G302" s="7" t="b">
        <v>0</v>
      </c>
      <c r="H302" s="7">
        <v>4</v>
      </c>
      <c r="I302" s="7">
        <v>1</v>
      </c>
      <c r="J302" s="7">
        <v>0.12</v>
      </c>
      <c r="K302" s="7" t="str">
        <f t="shared" si="8"/>
        <v>THUSDAY</v>
      </c>
      <c r="L302" t="str">
        <f t="shared" si="9"/>
        <v>Heavy Rain</v>
      </c>
    </row>
    <row r="303" spans="1:12" x14ac:dyDescent="0.25">
      <c r="A303" s="7">
        <v>302</v>
      </c>
      <c r="B303" s="8">
        <v>40557</v>
      </c>
      <c r="C303" s="7">
        <v>1</v>
      </c>
      <c r="D303" s="7">
        <v>0</v>
      </c>
      <c r="E303" s="7">
        <v>1</v>
      </c>
      <c r="F303" s="7">
        <v>0</v>
      </c>
      <c r="G303" s="7" t="b">
        <v>0</v>
      </c>
      <c r="H303" s="7">
        <v>5</v>
      </c>
      <c r="I303" s="7">
        <v>1</v>
      </c>
      <c r="J303" s="7">
        <v>0.12</v>
      </c>
      <c r="K303" s="7" t="str">
        <f t="shared" si="8"/>
        <v>FRIDAY</v>
      </c>
      <c r="L303" t="str">
        <f t="shared" si="9"/>
        <v>Heavy Rain</v>
      </c>
    </row>
    <row r="304" spans="1:12" x14ac:dyDescent="0.25">
      <c r="A304" s="7">
        <v>303</v>
      </c>
      <c r="B304" s="8">
        <v>40557</v>
      </c>
      <c r="C304" s="7">
        <v>1</v>
      </c>
      <c r="D304" s="7">
        <v>0</v>
      </c>
      <c r="E304" s="7">
        <v>1</v>
      </c>
      <c r="F304" s="7">
        <v>1</v>
      </c>
      <c r="G304" s="7" t="b">
        <v>0</v>
      </c>
      <c r="H304" s="7">
        <v>5</v>
      </c>
      <c r="I304" s="7">
        <v>1</v>
      </c>
      <c r="J304" s="7">
        <v>0.1</v>
      </c>
      <c r="K304" s="7" t="str">
        <f t="shared" si="8"/>
        <v>FRIDAY</v>
      </c>
      <c r="L304" t="str">
        <f t="shared" si="9"/>
        <v>Heavy Rain</v>
      </c>
    </row>
    <row r="305" spans="1:12" x14ac:dyDescent="0.25">
      <c r="A305" s="7">
        <v>304</v>
      </c>
      <c r="B305" s="8">
        <v>40557</v>
      </c>
      <c r="C305" s="7">
        <v>1</v>
      </c>
      <c r="D305" s="7">
        <v>0</v>
      </c>
      <c r="E305" s="7">
        <v>1</v>
      </c>
      <c r="F305" s="7">
        <v>2</v>
      </c>
      <c r="G305" s="7" t="b">
        <v>0</v>
      </c>
      <c r="H305" s="7">
        <v>5</v>
      </c>
      <c r="I305" s="7">
        <v>1</v>
      </c>
      <c r="J305" s="7">
        <v>0.1</v>
      </c>
      <c r="K305" s="7" t="str">
        <f t="shared" si="8"/>
        <v>FRIDAY</v>
      </c>
      <c r="L305" t="str">
        <f t="shared" si="9"/>
        <v>Heavy Rain</v>
      </c>
    </row>
    <row r="306" spans="1:12" x14ac:dyDescent="0.25">
      <c r="A306" s="7">
        <v>305</v>
      </c>
      <c r="B306" s="8">
        <v>40557</v>
      </c>
      <c r="C306" s="7">
        <v>1</v>
      </c>
      <c r="D306" s="7">
        <v>0</v>
      </c>
      <c r="E306" s="7">
        <v>1</v>
      </c>
      <c r="F306" s="7">
        <v>3</v>
      </c>
      <c r="G306" s="7" t="b">
        <v>0</v>
      </c>
      <c r="H306" s="7">
        <v>5</v>
      </c>
      <c r="I306" s="7">
        <v>1</v>
      </c>
      <c r="J306" s="7">
        <v>0.1</v>
      </c>
      <c r="K306" s="7" t="str">
        <f t="shared" si="8"/>
        <v>FRIDAY</v>
      </c>
      <c r="L306" t="str">
        <f t="shared" si="9"/>
        <v>Heavy Rain</v>
      </c>
    </row>
    <row r="307" spans="1:12" x14ac:dyDescent="0.25">
      <c r="A307" s="7">
        <v>306</v>
      </c>
      <c r="B307" s="8">
        <v>40557</v>
      </c>
      <c r="C307" s="7">
        <v>1</v>
      </c>
      <c r="D307" s="7">
        <v>0</v>
      </c>
      <c r="E307" s="7">
        <v>1</v>
      </c>
      <c r="F307" s="7">
        <v>5</v>
      </c>
      <c r="G307" s="7" t="b">
        <v>0</v>
      </c>
      <c r="H307" s="7">
        <v>5</v>
      </c>
      <c r="I307" s="7">
        <v>1</v>
      </c>
      <c r="J307" s="7">
        <v>0.1</v>
      </c>
      <c r="K307" s="7" t="str">
        <f t="shared" si="8"/>
        <v>FRIDAY</v>
      </c>
      <c r="L307" t="str">
        <f t="shared" si="9"/>
        <v>Heavy Rain</v>
      </c>
    </row>
    <row r="308" spans="1:12" x14ac:dyDescent="0.25">
      <c r="A308" s="7">
        <v>307</v>
      </c>
      <c r="B308" s="8">
        <v>40557</v>
      </c>
      <c r="C308" s="7">
        <v>1</v>
      </c>
      <c r="D308" s="7">
        <v>0</v>
      </c>
      <c r="E308" s="7">
        <v>1</v>
      </c>
      <c r="F308" s="7">
        <v>6</v>
      </c>
      <c r="G308" s="7" t="b">
        <v>0</v>
      </c>
      <c r="H308" s="7">
        <v>5</v>
      </c>
      <c r="I308" s="7">
        <v>1</v>
      </c>
      <c r="J308" s="7">
        <v>0.1</v>
      </c>
      <c r="K308" s="7" t="str">
        <f t="shared" si="8"/>
        <v>FRIDAY</v>
      </c>
      <c r="L308" t="str">
        <f t="shared" si="9"/>
        <v>Heavy Rain</v>
      </c>
    </row>
    <row r="309" spans="1:12" x14ac:dyDescent="0.25">
      <c r="A309" s="7">
        <v>308</v>
      </c>
      <c r="B309" s="8">
        <v>40557</v>
      </c>
      <c r="C309" s="7">
        <v>1</v>
      </c>
      <c r="D309" s="7">
        <v>0</v>
      </c>
      <c r="E309" s="7">
        <v>1</v>
      </c>
      <c r="F309" s="7">
        <v>7</v>
      </c>
      <c r="G309" s="7" t="b">
        <v>0</v>
      </c>
      <c r="H309" s="7">
        <v>5</v>
      </c>
      <c r="I309" s="7">
        <v>1</v>
      </c>
      <c r="J309" s="7">
        <v>0.1</v>
      </c>
      <c r="K309" s="7" t="str">
        <f t="shared" si="8"/>
        <v>FRIDAY</v>
      </c>
      <c r="L309" t="str">
        <f t="shared" si="9"/>
        <v>Heavy Rain</v>
      </c>
    </row>
    <row r="310" spans="1:12" x14ac:dyDescent="0.25">
      <c r="A310" s="7">
        <v>309</v>
      </c>
      <c r="B310" s="8">
        <v>40557</v>
      </c>
      <c r="C310" s="7">
        <v>1</v>
      </c>
      <c r="D310" s="7">
        <v>0</v>
      </c>
      <c r="E310" s="7">
        <v>1</v>
      </c>
      <c r="F310" s="7">
        <v>8</v>
      </c>
      <c r="G310" s="7" t="b">
        <v>0</v>
      </c>
      <c r="H310" s="7">
        <v>5</v>
      </c>
      <c r="I310" s="7">
        <v>1</v>
      </c>
      <c r="J310" s="7">
        <v>0.12</v>
      </c>
      <c r="K310" s="7" t="str">
        <f t="shared" si="8"/>
        <v>FRIDAY</v>
      </c>
      <c r="L310" t="str">
        <f t="shared" si="9"/>
        <v>Heavy Rain</v>
      </c>
    </row>
    <row r="311" spans="1:12" x14ac:dyDescent="0.25">
      <c r="A311" s="7">
        <v>310</v>
      </c>
      <c r="B311" s="8">
        <v>40557</v>
      </c>
      <c r="C311" s="7">
        <v>1</v>
      </c>
      <c r="D311" s="7">
        <v>0</v>
      </c>
      <c r="E311" s="7">
        <v>1</v>
      </c>
      <c r="F311" s="7">
        <v>9</v>
      </c>
      <c r="G311" s="7" t="b">
        <v>0</v>
      </c>
      <c r="H311" s="7">
        <v>5</v>
      </c>
      <c r="I311" s="7">
        <v>1</v>
      </c>
      <c r="J311" s="7">
        <v>0.14000000000000001</v>
      </c>
      <c r="K311" s="7" t="str">
        <f t="shared" si="8"/>
        <v>FRIDAY</v>
      </c>
      <c r="L311" t="str">
        <f t="shared" si="9"/>
        <v>Heavy Rain</v>
      </c>
    </row>
    <row r="312" spans="1:12" x14ac:dyDescent="0.25">
      <c r="A312" s="7">
        <v>311</v>
      </c>
      <c r="B312" s="8">
        <v>40557</v>
      </c>
      <c r="C312" s="7">
        <v>1</v>
      </c>
      <c r="D312" s="7">
        <v>0</v>
      </c>
      <c r="E312" s="7">
        <v>1</v>
      </c>
      <c r="F312" s="7">
        <v>10</v>
      </c>
      <c r="G312" s="7" t="b">
        <v>0</v>
      </c>
      <c r="H312" s="7">
        <v>5</v>
      </c>
      <c r="I312" s="7">
        <v>1</v>
      </c>
      <c r="J312" s="7">
        <v>0.18</v>
      </c>
      <c r="K312" s="7" t="str">
        <f t="shared" si="8"/>
        <v>FRIDAY</v>
      </c>
      <c r="L312" t="str">
        <f t="shared" si="9"/>
        <v>Heavy Rain</v>
      </c>
    </row>
    <row r="313" spans="1:12" x14ac:dyDescent="0.25">
      <c r="A313" s="7">
        <v>312</v>
      </c>
      <c r="B313" s="8">
        <v>40557</v>
      </c>
      <c r="C313" s="7">
        <v>1</v>
      </c>
      <c r="D313" s="7">
        <v>0</v>
      </c>
      <c r="E313" s="7">
        <v>1</v>
      </c>
      <c r="F313" s="7">
        <v>11</v>
      </c>
      <c r="G313" s="7" t="b">
        <v>0</v>
      </c>
      <c r="H313" s="7">
        <v>5</v>
      </c>
      <c r="I313" s="7">
        <v>1</v>
      </c>
      <c r="J313" s="7">
        <v>0.18</v>
      </c>
      <c r="K313" s="7" t="str">
        <f t="shared" si="8"/>
        <v>FRIDAY</v>
      </c>
      <c r="L313" t="str">
        <f t="shared" si="9"/>
        <v>Heavy Rain</v>
      </c>
    </row>
    <row r="314" spans="1:12" x14ac:dyDescent="0.25">
      <c r="A314" s="7">
        <v>313</v>
      </c>
      <c r="B314" s="8">
        <v>40557</v>
      </c>
      <c r="C314" s="7">
        <v>1</v>
      </c>
      <c r="D314" s="7">
        <v>0</v>
      </c>
      <c r="E314" s="7">
        <v>1</v>
      </c>
      <c r="F314" s="7">
        <v>12</v>
      </c>
      <c r="G314" s="7" t="b">
        <v>0</v>
      </c>
      <c r="H314" s="7">
        <v>5</v>
      </c>
      <c r="I314" s="7">
        <v>1</v>
      </c>
      <c r="J314" s="7">
        <v>0.2</v>
      </c>
      <c r="K314" s="7" t="str">
        <f t="shared" si="8"/>
        <v>FRIDAY</v>
      </c>
      <c r="L314" t="str">
        <f t="shared" si="9"/>
        <v>Heavy Rain</v>
      </c>
    </row>
    <row r="315" spans="1:12" x14ac:dyDescent="0.25">
      <c r="A315" s="7">
        <v>314</v>
      </c>
      <c r="B315" s="8">
        <v>40557</v>
      </c>
      <c r="C315" s="7">
        <v>1</v>
      </c>
      <c r="D315" s="7">
        <v>0</v>
      </c>
      <c r="E315" s="7">
        <v>1</v>
      </c>
      <c r="F315" s="7">
        <v>13</v>
      </c>
      <c r="G315" s="7" t="b">
        <v>0</v>
      </c>
      <c r="H315" s="7">
        <v>5</v>
      </c>
      <c r="I315" s="7">
        <v>1</v>
      </c>
      <c r="J315" s="7">
        <v>0.22</v>
      </c>
      <c r="K315" s="7" t="str">
        <f t="shared" si="8"/>
        <v>FRIDAY</v>
      </c>
      <c r="L315" t="str">
        <f t="shared" si="9"/>
        <v>Heavy Rain</v>
      </c>
    </row>
    <row r="316" spans="1:12" x14ac:dyDescent="0.25">
      <c r="A316" s="7">
        <v>315</v>
      </c>
      <c r="B316" s="8">
        <v>40557</v>
      </c>
      <c r="C316" s="7">
        <v>1</v>
      </c>
      <c r="D316" s="7">
        <v>0</v>
      </c>
      <c r="E316" s="7">
        <v>1</v>
      </c>
      <c r="F316" s="7">
        <v>14</v>
      </c>
      <c r="G316" s="7" t="b">
        <v>0</v>
      </c>
      <c r="H316" s="7">
        <v>5</v>
      </c>
      <c r="I316" s="7">
        <v>1</v>
      </c>
      <c r="J316" s="7">
        <v>0.22</v>
      </c>
      <c r="K316" s="7" t="str">
        <f t="shared" si="8"/>
        <v>FRIDAY</v>
      </c>
      <c r="L316" t="str">
        <f t="shared" si="9"/>
        <v>Heavy Rain</v>
      </c>
    </row>
    <row r="317" spans="1:12" x14ac:dyDescent="0.25">
      <c r="A317" s="7">
        <v>316</v>
      </c>
      <c r="B317" s="8">
        <v>40557</v>
      </c>
      <c r="C317" s="7">
        <v>1</v>
      </c>
      <c r="D317" s="7">
        <v>0</v>
      </c>
      <c r="E317" s="7">
        <v>1</v>
      </c>
      <c r="F317" s="7">
        <v>15</v>
      </c>
      <c r="G317" s="7" t="b">
        <v>0</v>
      </c>
      <c r="H317" s="7">
        <v>5</v>
      </c>
      <c r="I317" s="7">
        <v>1</v>
      </c>
      <c r="J317" s="7">
        <v>0.24</v>
      </c>
      <c r="K317" s="7" t="str">
        <f t="shared" si="8"/>
        <v>FRIDAY</v>
      </c>
      <c r="L317" t="str">
        <f t="shared" si="9"/>
        <v>Heavy Rain</v>
      </c>
    </row>
    <row r="318" spans="1:12" x14ac:dyDescent="0.25">
      <c r="A318" s="7">
        <v>317</v>
      </c>
      <c r="B318" s="8">
        <v>40557</v>
      </c>
      <c r="C318" s="7">
        <v>1</v>
      </c>
      <c r="D318" s="7">
        <v>0</v>
      </c>
      <c r="E318" s="7">
        <v>1</v>
      </c>
      <c r="F318" s="7">
        <v>16</v>
      </c>
      <c r="G318" s="7" t="b">
        <v>0</v>
      </c>
      <c r="H318" s="7">
        <v>5</v>
      </c>
      <c r="I318" s="7">
        <v>1</v>
      </c>
      <c r="J318" s="7">
        <v>0.22</v>
      </c>
      <c r="K318" s="7" t="str">
        <f t="shared" si="8"/>
        <v>FRIDAY</v>
      </c>
      <c r="L318" t="str">
        <f t="shared" si="9"/>
        <v>Heavy Rain</v>
      </c>
    </row>
    <row r="319" spans="1:12" x14ac:dyDescent="0.25">
      <c r="A319" s="7">
        <v>318</v>
      </c>
      <c r="B319" s="8">
        <v>40557</v>
      </c>
      <c r="C319" s="7">
        <v>1</v>
      </c>
      <c r="D319" s="7">
        <v>0</v>
      </c>
      <c r="E319" s="7">
        <v>1</v>
      </c>
      <c r="F319" s="7">
        <v>17</v>
      </c>
      <c r="G319" s="7" t="b">
        <v>0</v>
      </c>
      <c r="H319" s="7">
        <v>5</v>
      </c>
      <c r="I319" s="7">
        <v>1</v>
      </c>
      <c r="J319" s="7">
        <v>0.22</v>
      </c>
      <c r="K319" s="7" t="str">
        <f t="shared" si="8"/>
        <v>FRIDAY</v>
      </c>
      <c r="L319" t="str">
        <f t="shared" si="9"/>
        <v>Heavy Rain</v>
      </c>
    </row>
    <row r="320" spans="1:12" x14ac:dyDescent="0.25">
      <c r="A320" s="7">
        <v>319</v>
      </c>
      <c r="B320" s="8">
        <v>40557</v>
      </c>
      <c r="C320" s="7">
        <v>1</v>
      </c>
      <c r="D320" s="7">
        <v>0</v>
      </c>
      <c r="E320" s="7">
        <v>1</v>
      </c>
      <c r="F320" s="7">
        <v>18</v>
      </c>
      <c r="G320" s="7" t="b">
        <v>0</v>
      </c>
      <c r="H320" s="7">
        <v>5</v>
      </c>
      <c r="I320" s="7">
        <v>1</v>
      </c>
      <c r="J320" s="7">
        <v>0.2</v>
      </c>
      <c r="K320" s="7" t="str">
        <f t="shared" si="8"/>
        <v>FRIDAY</v>
      </c>
      <c r="L320" t="str">
        <f t="shared" si="9"/>
        <v>Heavy Rain</v>
      </c>
    </row>
    <row r="321" spans="1:12" x14ac:dyDescent="0.25">
      <c r="A321" s="7">
        <v>320</v>
      </c>
      <c r="B321" s="8">
        <v>40557</v>
      </c>
      <c r="C321" s="7">
        <v>1</v>
      </c>
      <c r="D321" s="7">
        <v>0</v>
      </c>
      <c r="E321" s="7">
        <v>1</v>
      </c>
      <c r="F321" s="7">
        <v>19</v>
      </c>
      <c r="G321" s="7" t="b">
        <v>0</v>
      </c>
      <c r="H321" s="7">
        <v>5</v>
      </c>
      <c r="I321" s="7">
        <v>1</v>
      </c>
      <c r="J321" s="7">
        <v>0.16</v>
      </c>
      <c r="K321" s="7" t="str">
        <f t="shared" si="8"/>
        <v>FRIDAY</v>
      </c>
      <c r="L321" t="str">
        <f t="shared" si="9"/>
        <v>Heavy Rain</v>
      </c>
    </row>
    <row r="322" spans="1:12" x14ac:dyDescent="0.25">
      <c r="A322" s="7">
        <v>321</v>
      </c>
      <c r="B322" s="8">
        <v>40557</v>
      </c>
      <c r="C322" s="7">
        <v>1</v>
      </c>
      <c r="D322" s="7">
        <v>0</v>
      </c>
      <c r="E322" s="7">
        <v>1</v>
      </c>
      <c r="F322" s="7">
        <v>20</v>
      </c>
      <c r="G322" s="7" t="b">
        <v>0</v>
      </c>
      <c r="H322" s="7">
        <v>5</v>
      </c>
      <c r="I322" s="7">
        <v>1</v>
      </c>
      <c r="J322" s="7">
        <v>0.18</v>
      </c>
      <c r="K322" s="7" t="str">
        <f t="shared" ref="K322:K385" si="10">CHOOSE(H322+1, "SUNDAY", "MONDAY","TUESDAY", "WENESDAY","THUSDAY", "FRIDAY", "SATARDAY")</f>
        <v>FRIDAY</v>
      </c>
      <c r="L322" t="str">
        <f t="shared" ref="L322:L385" si="11">IF(A322=1,"Clear",IF(A322=2,"Mist",IF(A322=3,"Light Rain/Snow","Heavy Rain")))</f>
        <v>Heavy Rain</v>
      </c>
    </row>
    <row r="323" spans="1:12" x14ac:dyDescent="0.25">
      <c r="A323" s="7">
        <v>322</v>
      </c>
      <c r="B323" s="8">
        <v>40557</v>
      </c>
      <c r="C323" s="7">
        <v>1</v>
      </c>
      <c r="D323" s="7">
        <v>0</v>
      </c>
      <c r="E323" s="7">
        <v>1</v>
      </c>
      <c r="F323" s="7">
        <v>21</v>
      </c>
      <c r="G323" s="7" t="b">
        <v>0</v>
      </c>
      <c r="H323" s="7">
        <v>5</v>
      </c>
      <c r="I323" s="7">
        <v>1</v>
      </c>
      <c r="J323" s="7">
        <v>0.16</v>
      </c>
      <c r="K323" s="7" t="str">
        <f t="shared" si="10"/>
        <v>FRIDAY</v>
      </c>
      <c r="L323" t="str">
        <f t="shared" si="11"/>
        <v>Heavy Rain</v>
      </c>
    </row>
    <row r="324" spans="1:12" x14ac:dyDescent="0.25">
      <c r="A324" s="7">
        <v>323</v>
      </c>
      <c r="B324" s="8">
        <v>40557</v>
      </c>
      <c r="C324" s="7">
        <v>1</v>
      </c>
      <c r="D324" s="7">
        <v>0</v>
      </c>
      <c r="E324" s="7">
        <v>1</v>
      </c>
      <c r="F324" s="7">
        <v>22</v>
      </c>
      <c r="G324" s="7" t="b">
        <v>0</v>
      </c>
      <c r="H324" s="7">
        <v>5</v>
      </c>
      <c r="I324" s="7">
        <v>2</v>
      </c>
      <c r="J324" s="7">
        <v>0.16</v>
      </c>
      <c r="K324" s="7" t="str">
        <f t="shared" si="10"/>
        <v>FRIDAY</v>
      </c>
      <c r="L324" t="str">
        <f t="shared" si="11"/>
        <v>Heavy Rain</v>
      </c>
    </row>
    <row r="325" spans="1:12" x14ac:dyDescent="0.25">
      <c r="A325" s="7">
        <v>324</v>
      </c>
      <c r="B325" s="8">
        <v>40557</v>
      </c>
      <c r="C325" s="7">
        <v>1</v>
      </c>
      <c r="D325" s="7">
        <v>0</v>
      </c>
      <c r="E325" s="7">
        <v>1</v>
      </c>
      <c r="F325" s="7">
        <v>23</v>
      </c>
      <c r="G325" s="7" t="b">
        <v>0</v>
      </c>
      <c r="H325" s="7">
        <v>5</v>
      </c>
      <c r="I325" s="7">
        <v>2</v>
      </c>
      <c r="J325" s="7">
        <v>0.18</v>
      </c>
      <c r="K325" s="7" t="str">
        <f t="shared" si="10"/>
        <v>FRIDAY</v>
      </c>
      <c r="L325" t="str">
        <f t="shared" si="11"/>
        <v>Heavy Rain</v>
      </c>
    </row>
    <row r="326" spans="1:12" x14ac:dyDescent="0.25">
      <c r="A326" s="7">
        <v>325</v>
      </c>
      <c r="B326" s="8">
        <v>40558</v>
      </c>
      <c r="C326" s="7">
        <v>1</v>
      </c>
      <c r="D326" s="7">
        <v>0</v>
      </c>
      <c r="E326" s="7">
        <v>1</v>
      </c>
      <c r="F326" s="7">
        <v>0</v>
      </c>
      <c r="G326" s="7" t="b">
        <v>0</v>
      </c>
      <c r="H326" s="7">
        <v>6</v>
      </c>
      <c r="I326" s="7">
        <v>1</v>
      </c>
      <c r="J326" s="7">
        <v>0.18</v>
      </c>
      <c r="K326" s="7" t="str">
        <f t="shared" si="10"/>
        <v>SATARDAY</v>
      </c>
      <c r="L326" t="str">
        <f t="shared" si="11"/>
        <v>Heavy Rain</v>
      </c>
    </row>
    <row r="327" spans="1:12" x14ac:dyDescent="0.25">
      <c r="A327" s="7">
        <v>326</v>
      </c>
      <c r="B327" s="8">
        <v>40558</v>
      </c>
      <c r="C327" s="7">
        <v>1</v>
      </c>
      <c r="D327" s="7">
        <v>0</v>
      </c>
      <c r="E327" s="7">
        <v>1</v>
      </c>
      <c r="F327" s="7">
        <v>1</v>
      </c>
      <c r="G327" s="7" t="b">
        <v>0</v>
      </c>
      <c r="H327" s="7">
        <v>6</v>
      </c>
      <c r="I327" s="7">
        <v>2</v>
      </c>
      <c r="J327" s="7">
        <v>0.16</v>
      </c>
      <c r="K327" s="7" t="str">
        <f t="shared" si="10"/>
        <v>SATARDAY</v>
      </c>
      <c r="L327" t="str">
        <f t="shared" si="11"/>
        <v>Heavy Rain</v>
      </c>
    </row>
    <row r="328" spans="1:12" x14ac:dyDescent="0.25">
      <c r="A328" s="7">
        <v>327</v>
      </c>
      <c r="B328" s="8">
        <v>40558</v>
      </c>
      <c r="C328" s="7">
        <v>1</v>
      </c>
      <c r="D328" s="7">
        <v>0</v>
      </c>
      <c r="E328" s="7">
        <v>1</v>
      </c>
      <c r="F328" s="7">
        <v>2</v>
      </c>
      <c r="G328" s="7" t="b">
        <v>0</v>
      </c>
      <c r="H328" s="7">
        <v>6</v>
      </c>
      <c r="I328" s="7">
        <v>2</v>
      </c>
      <c r="J328" s="7">
        <v>0.16</v>
      </c>
      <c r="K328" s="7" t="str">
        <f t="shared" si="10"/>
        <v>SATARDAY</v>
      </c>
      <c r="L328" t="str">
        <f t="shared" si="11"/>
        <v>Heavy Rain</v>
      </c>
    </row>
    <row r="329" spans="1:12" x14ac:dyDescent="0.25">
      <c r="A329" s="7">
        <v>328</v>
      </c>
      <c r="B329" s="8">
        <v>40558</v>
      </c>
      <c r="C329" s="7">
        <v>1</v>
      </c>
      <c r="D329" s="7">
        <v>0</v>
      </c>
      <c r="E329" s="7">
        <v>1</v>
      </c>
      <c r="F329" s="7">
        <v>3</v>
      </c>
      <c r="G329" s="7" t="b">
        <v>0</v>
      </c>
      <c r="H329" s="7">
        <v>6</v>
      </c>
      <c r="I329" s="7">
        <v>2</v>
      </c>
      <c r="J329" s="7">
        <v>0.16</v>
      </c>
      <c r="K329" s="7" t="str">
        <f t="shared" si="10"/>
        <v>SATARDAY</v>
      </c>
      <c r="L329" t="str">
        <f t="shared" si="11"/>
        <v>Heavy Rain</v>
      </c>
    </row>
    <row r="330" spans="1:12" x14ac:dyDescent="0.25">
      <c r="A330" s="7">
        <v>329</v>
      </c>
      <c r="B330" s="8">
        <v>40558</v>
      </c>
      <c r="C330" s="7">
        <v>1</v>
      </c>
      <c r="D330" s="7">
        <v>0</v>
      </c>
      <c r="E330" s="7">
        <v>1</v>
      </c>
      <c r="F330" s="7">
        <v>4</v>
      </c>
      <c r="G330" s="7" t="b">
        <v>0</v>
      </c>
      <c r="H330" s="7">
        <v>6</v>
      </c>
      <c r="I330" s="7">
        <v>2</v>
      </c>
      <c r="J330" s="7">
        <v>0.16</v>
      </c>
      <c r="K330" s="7" t="str">
        <f t="shared" si="10"/>
        <v>SATARDAY</v>
      </c>
      <c r="L330" t="str">
        <f t="shared" si="11"/>
        <v>Heavy Rain</v>
      </c>
    </row>
    <row r="331" spans="1:12" x14ac:dyDescent="0.25">
      <c r="A331" s="7">
        <v>330</v>
      </c>
      <c r="B331" s="8">
        <v>40558</v>
      </c>
      <c r="C331" s="7">
        <v>1</v>
      </c>
      <c r="D331" s="7">
        <v>0</v>
      </c>
      <c r="E331" s="7">
        <v>1</v>
      </c>
      <c r="F331" s="7">
        <v>5</v>
      </c>
      <c r="G331" s="7" t="b">
        <v>0</v>
      </c>
      <c r="H331" s="7">
        <v>6</v>
      </c>
      <c r="I331" s="7">
        <v>1</v>
      </c>
      <c r="J331" s="7">
        <v>0.16</v>
      </c>
      <c r="K331" s="7" t="str">
        <f t="shared" si="10"/>
        <v>SATARDAY</v>
      </c>
      <c r="L331" t="str">
        <f t="shared" si="11"/>
        <v>Heavy Rain</v>
      </c>
    </row>
    <row r="332" spans="1:12" x14ac:dyDescent="0.25">
      <c r="A332" s="7">
        <v>331</v>
      </c>
      <c r="B332" s="8">
        <v>40558</v>
      </c>
      <c r="C332" s="7">
        <v>1</v>
      </c>
      <c r="D332" s="7">
        <v>0</v>
      </c>
      <c r="E332" s="7">
        <v>1</v>
      </c>
      <c r="F332" s="7">
        <v>6</v>
      </c>
      <c r="G332" s="7" t="b">
        <v>0</v>
      </c>
      <c r="H332" s="7">
        <v>6</v>
      </c>
      <c r="I332" s="7">
        <v>1</v>
      </c>
      <c r="J332" s="7">
        <v>0.14000000000000001</v>
      </c>
      <c r="K332" s="7" t="str">
        <f t="shared" si="10"/>
        <v>SATARDAY</v>
      </c>
      <c r="L332" t="str">
        <f t="shared" si="11"/>
        <v>Heavy Rain</v>
      </c>
    </row>
    <row r="333" spans="1:12" x14ac:dyDescent="0.25">
      <c r="A333" s="7">
        <v>332</v>
      </c>
      <c r="B333" s="8">
        <v>40558</v>
      </c>
      <c r="C333" s="7">
        <v>1</v>
      </c>
      <c r="D333" s="7">
        <v>0</v>
      </c>
      <c r="E333" s="7">
        <v>1</v>
      </c>
      <c r="F333" s="7">
        <v>7</v>
      </c>
      <c r="G333" s="7" t="b">
        <v>0</v>
      </c>
      <c r="H333" s="7">
        <v>6</v>
      </c>
      <c r="I333" s="7">
        <v>1</v>
      </c>
      <c r="J333" s="7">
        <v>0.14000000000000001</v>
      </c>
      <c r="K333" s="7" t="str">
        <f t="shared" si="10"/>
        <v>SATARDAY</v>
      </c>
      <c r="L333" t="str">
        <f t="shared" si="11"/>
        <v>Heavy Rain</v>
      </c>
    </row>
    <row r="334" spans="1:12" x14ac:dyDescent="0.25">
      <c r="A334" s="7">
        <v>333</v>
      </c>
      <c r="B334" s="8">
        <v>40558</v>
      </c>
      <c r="C334" s="7">
        <v>1</v>
      </c>
      <c r="D334" s="7">
        <v>0</v>
      </c>
      <c r="E334" s="7">
        <v>1</v>
      </c>
      <c r="F334" s="7">
        <v>8</v>
      </c>
      <c r="G334" s="7" t="b">
        <v>0</v>
      </c>
      <c r="H334" s="7">
        <v>6</v>
      </c>
      <c r="I334" s="7">
        <v>1</v>
      </c>
      <c r="J334" s="7">
        <v>0.14000000000000001</v>
      </c>
      <c r="K334" s="7" t="str">
        <f t="shared" si="10"/>
        <v>SATARDAY</v>
      </c>
      <c r="L334" t="str">
        <f t="shared" si="11"/>
        <v>Heavy Rain</v>
      </c>
    </row>
    <row r="335" spans="1:12" x14ac:dyDescent="0.25">
      <c r="A335" s="7">
        <v>334</v>
      </c>
      <c r="B335" s="8">
        <v>40558</v>
      </c>
      <c r="C335" s="7">
        <v>1</v>
      </c>
      <c r="D335" s="7">
        <v>0</v>
      </c>
      <c r="E335" s="7">
        <v>1</v>
      </c>
      <c r="F335" s="7">
        <v>9</v>
      </c>
      <c r="G335" s="7" t="b">
        <v>0</v>
      </c>
      <c r="H335" s="7">
        <v>6</v>
      </c>
      <c r="I335" s="7">
        <v>1</v>
      </c>
      <c r="J335" s="7">
        <v>0.16</v>
      </c>
      <c r="K335" s="7" t="str">
        <f t="shared" si="10"/>
        <v>SATARDAY</v>
      </c>
      <c r="L335" t="str">
        <f t="shared" si="11"/>
        <v>Heavy Rain</v>
      </c>
    </row>
    <row r="336" spans="1:12" x14ac:dyDescent="0.25">
      <c r="A336" s="7">
        <v>335</v>
      </c>
      <c r="B336" s="8">
        <v>40558</v>
      </c>
      <c r="C336" s="7">
        <v>1</v>
      </c>
      <c r="D336" s="7">
        <v>0</v>
      </c>
      <c r="E336" s="7">
        <v>1</v>
      </c>
      <c r="F336" s="7">
        <v>10</v>
      </c>
      <c r="G336" s="7" t="b">
        <v>0</v>
      </c>
      <c r="H336" s="7">
        <v>6</v>
      </c>
      <c r="I336" s="7">
        <v>1</v>
      </c>
      <c r="J336" s="7">
        <v>0.18</v>
      </c>
      <c r="K336" s="7" t="str">
        <f t="shared" si="10"/>
        <v>SATARDAY</v>
      </c>
      <c r="L336" t="str">
        <f t="shared" si="11"/>
        <v>Heavy Rain</v>
      </c>
    </row>
    <row r="337" spans="1:12" x14ac:dyDescent="0.25">
      <c r="A337" s="7">
        <v>336</v>
      </c>
      <c r="B337" s="8">
        <v>40558</v>
      </c>
      <c r="C337" s="7">
        <v>1</v>
      </c>
      <c r="D337" s="7">
        <v>0</v>
      </c>
      <c r="E337" s="7">
        <v>1</v>
      </c>
      <c r="F337" s="7">
        <v>11</v>
      </c>
      <c r="G337" s="7" t="b">
        <v>0</v>
      </c>
      <c r="H337" s="7">
        <v>6</v>
      </c>
      <c r="I337" s="7">
        <v>1</v>
      </c>
      <c r="J337" s="7">
        <v>0.2</v>
      </c>
      <c r="K337" s="7" t="str">
        <f t="shared" si="10"/>
        <v>SATARDAY</v>
      </c>
      <c r="L337" t="str">
        <f t="shared" si="11"/>
        <v>Heavy Rain</v>
      </c>
    </row>
    <row r="338" spans="1:12" x14ac:dyDescent="0.25">
      <c r="A338" s="7">
        <v>337</v>
      </c>
      <c r="B338" s="8">
        <v>40558</v>
      </c>
      <c r="C338" s="7">
        <v>1</v>
      </c>
      <c r="D338" s="7">
        <v>0</v>
      </c>
      <c r="E338" s="7">
        <v>1</v>
      </c>
      <c r="F338" s="7">
        <v>12</v>
      </c>
      <c r="G338" s="7" t="b">
        <v>0</v>
      </c>
      <c r="H338" s="7">
        <v>6</v>
      </c>
      <c r="I338" s="7">
        <v>1</v>
      </c>
      <c r="J338" s="7">
        <v>0.24</v>
      </c>
      <c r="K338" s="7" t="str">
        <f t="shared" si="10"/>
        <v>SATARDAY</v>
      </c>
      <c r="L338" t="str">
        <f t="shared" si="11"/>
        <v>Heavy Rain</v>
      </c>
    </row>
    <row r="339" spans="1:12" x14ac:dyDescent="0.25">
      <c r="A339" s="7">
        <v>338</v>
      </c>
      <c r="B339" s="8">
        <v>40558</v>
      </c>
      <c r="C339" s="7">
        <v>1</v>
      </c>
      <c r="D339" s="7">
        <v>0</v>
      </c>
      <c r="E339" s="7">
        <v>1</v>
      </c>
      <c r="F339" s="7">
        <v>13</v>
      </c>
      <c r="G339" s="7" t="b">
        <v>0</v>
      </c>
      <c r="H339" s="7">
        <v>6</v>
      </c>
      <c r="I339" s="7">
        <v>1</v>
      </c>
      <c r="J339" s="7">
        <v>0.28000000000000003</v>
      </c>
      <c r="K339" s="7" t="str">
        <f t="shared" si="10"/>
        <v>SATARDAY</v>
      </c>
      <c r="L339" t="str">
        <f t="shared" si="11"/>
        <v>Heavy Rain</v>
      </c>
    </row>
    <row r="340" spans="1:12" x14ac:dyDescent="0.25">
      <c r="A340" s="7">
        <v>339</v>
      </c>
      <c r="B340" s="8">
        <v>40558</v>
      </c>
      <c r="C340" s="7">
        <v>1</v>
      </c>
      <c r="D340" s="7">
        <v>0</v>
      </c>
      <c r="E340" s="7">
        <v>1</v>
      </c>
      <c r="F340" s="7">
        <v>14</v>
      </c>
      <c r="G340" s="7" t="b">
        <v>0</v>
      </c>
      <c r="H340" s="7">
        <v>6</v>
      </c>
      <c r="I340" s="7">
        <v>1</v>
      </c>
      <c r="J340" s="7">
        <v>0.3</v>
      </c>
      <c r="K340" s="7" t="str">
        <f t="shared" si="10"/>
        <v>SATARDAY</v>
      </c>
      <c r="L340" t="str">
        <f t="shared" si="11"/>
        <v>Heavy Rain</v>
      </c>
    </row>
    <row r="341" spans="1:12" x14ac:dyDescent="0.25">
      <c r="A341" s="7">
        <v>340</v>
      </c>
      <c r="B341" s="8">
        <v>40558</v>
      </c>
      <c r="C341" s="7">
        <v>1</v>
      </c>
      <c r="D341" s="7">
        <v>0</v>
      </c>
      <c r="E341" s="7">
        <v>1</v>
      </c>
      <c r="F341" s="7">
        <v>15</v>
      </c>
      <c r="G341" s="7" t="b">
        <v>0</v>
      </c>
      <c r="H341" s="7">
        <v>6</v>
      </c>
      <c r="I341" s="7">
        <v>2</v>
      </c>
      <c r="J341" s="7">
        <v>0.32</v>
      </c>
      <c r="K341" s="7" t="str">
        <f t="shared" si="10"/>
        <v>SATARDAY</v>
      </c>
      <c r="L341" t="str">
        <f t="shared" si="11"/>
        <v>Heavy Rain</v>
      </c>
    </row>
    <row r="342" spans="1:12" x14ac:dyDescent="0.25">
      <c r="A342" s="7">
        <v>341</v>
      </c>
      <c r="B342" s="8">
        <v>40558</v>
      </c>
      <c r="C342" s="7">
        <v>1</v>
      </c>
      <c r="D342" s="7">
        <v>0</v>
      </c>
      <c r="E342" s="7">
        <v>1</v>
      </c>
      <c r="F342" s="7">
        <v>16</v>
      </c>
      <c r="G342" s="7" t="b">
        <v>0</v>
      </c>
      <c r="H342" s="7">
        <v>6</v>
      </c>
      <c r="I342" s="7">
        <v>2</v>
      </c>
      <c r="J342" s="7">
        <v>0.34</v>
      </c>
      <c r="K342" s="7" t="str">
        <f t="shared" si="10"/>
        <v>SATARDAY</v>
      </c>
      <c r="L342" t="str">
        <f t="shared" si="11"/>
        <v>Heavy Rain</v>
      </c>
    </row>
    <row r="343" spans="1:12" x14ac:dyDescent="0.25">
      <c r="A343" s="7">
        <v>342</v>
      </c>
      <c r="B343" s="8">
        <v>40558</v>
      </c>
      <c r="C343" s="7">
        <v>1</v>
      </c>
      <c r="D343" s="7">
        <v>0</v>
      </c>
      <c r="E343" s="7">
        <v>1</v>
      </c>
      <c r="F343" s="7">
        <v>17</v>
      </c>
      <c r="G343" s="7" t="b">
        <v>0</v>
      </c>
      <c r="H343" s="7">
        <v>6</v>
      </c>
      <c r="I343" s="7">
        <v>2</v>
      </c>
      <c r="J343" s="7">
        <v>0.32</v>
      </c>
      <c r="K343" s="7" t="str">
        <f t="shared" si="10"/>
        <v>SATARDAY</v>
      </c>
      <c r="L343" t="str">
        <f t="shared" si="11"/>
        <v>Heavy Rain</v>
      </c>
    </row>
    <row r="344" spans="1:12" x14ac:dyDescent="0.25">
      <c r="A344" s="7">
        <v>343</v>
      </c>
      <c r="B344" s="8">
        <v>40558</v>
      </c>
      <c r="C344" s="7">
        <v>1</v>
      </c>
      <c r="D344" s="7">
        <v>0</v>
      </c>
      <c r="E344" s="7">
        <v>1</v>
      </c>
      <c r="F344" s="7">
        <v>18</v>
      </c>
      <c r="G344" s="7" t="b">
        <v>0</v>
      </c>
      <c r="H344" s="7">
        <v>6</v>
      </c>
      <c r="I344" s="7">
        <v>2</v>
      </c>
      <c r="J344" s="7">
        <v>0.3</v>
      </c>
      <c r="K344" s="7" t="str">
        <f t="shared" si="10"/>
        <v>SATARDAY</v>
      </c>
      <c r="L344" t="str">
        <f t="shared" si="11"/>
        <v>Heavy Rain</v>
      </c>
    </row>
    <row r="345" spans="1:12" x14ac:dyDescent="0.25">
      <c r="A345" s="7">
        <v>344</v>
      </c>
      <c r="B345" s="8">
        <v>40558</v>
      </c>
      <c r="C345" s="7">
        <v>1</v>
      </c>
      <c r="D345" s="7">
        <v>0</v>
      </c>
      <c r="E345" s="7">
        <v>1</v>
      </c>
      <c r="F345" s="7">
        <v>19</v>
      </c>
      <c r="G345" s="7" t="b">
        <v>0</v>
      </c>
      <c r="H345" s="7">
        <v>6</v>
      </c>
      <c r="I345" s="7">
        <v>2</v>
      </c>
      <c r="J345" s="7">
        <v>0.32</v>
      </c>
      <c r="K345" s="7" t="str">
        <f t="shared" si="10"/>
        <v>SATARDAY</v>
      </c>
      <c r="L345" t="str">
        <f t="shared" si="11"/>
        <v>Heavy Rain</v>
      </c>
    </row>
    <row r="346" spans="1:12" x14ac:dyDescent="0.25">
      <c r="A346" s="7">
        <v>345</v>
      </c>
      <c r="B346" s="8">
        <v>40558</v>
      </c>
      <c r="C346" s="7">
        <v>1</v>
      </c>
      <c r="D346" s="7">
        <v>0</v>
      </c>
      <c r="E346" s="7">
        <v>1</v>
      </c>
      <c r="F346" s="7">
        <v>20</v>
      </c>
      <c r="G346" s="7" t="b">
        <v>0</v>
      </c>
      <c r="H346" s="7">
        <v>6</v>
      </c>
      <c r="I346" s="7">
        <v>2</v>
      </c>
      <c r="J346" s="7">
        <v>0.32</v>
      </c>
      <c r="K346" s="7" t="str">
        <f t="shared" si="10"/>
        <v>SATARDAY</v>
      </c>
      <c r="L346" t="str">
        <f t="shared" si="11"/>
        <v>Heavy Rain</v>
      </c>
    </row>
    <row r="347" spans="1:12" x14ac:dyDescent="0.25">
      <c r="A347" s="7">
        <v>346</v>
      </c>
      <c r="B347" s="8">
        <v>40558</v>
      </c>
      <c r="C347" s="7">
        <v>1</v>
      </c>
      <c r="D347" s="7">
        <v>0</v>
      </c>
      <c r="E347" s="7">
        <v>1</v>
      </c>
      <c r="F347" s="7">
        <v>21</v>
      </c>
      <c r="G347" s="7" t="b">
        <v>0</v>
      </c>
      <c r="H347" s="7">
        <v>6</v>
      </c>
      <c r="I347" s="7">
        <v>2</v>
      </c>
      <c r="J347" s="7">
        <v>0.32</v>
      </c>
      <c r="K347" s="7" t="str">
        <f t="shared" si="10"/>
        <v>SATARDAY</v>
      </c>
      <c r="L347" t="str">
        <f t="shared" si="11"/>
        <v>Heavy Rain</v>
      </c>
    </row>
    <row r="348" spans="1:12" x14ac:dyDescent="0.25">
      <c r="A348" s="7">
        <v>347</v>
      </c>
      <c r="B348" s="8">
        <v>40558</v>
      </c>
      <c r="C348" s="7">
        <v>1</v>
      </c>
      <c r="D348" s="7">
        <v>0</v>
      </c>
      <c r="E348" s="7">
        <v>1</v>
      </c>
      <c r="F348" s="7">
        <v>22</v>
      </c>
      <c r="G348" s="7" t="b">
        <v>0</v>
      </c>
      <c r="H348" s="7">
        <v>6</v>
      </c>
      <c r="I348" s="7">
        <v>2</v>
      </c>
      <c r="J348" s="7">
        <v>0.3</v>
      </c>
      <c r="K348" s="7" t="str">
        <f t="shared" si="10"/>
        <v>SATARDAY</v>
      </c>
      <c r="L348" t="str">
        <f t="shared" si="11"/>
        <v>Heavy Rain</v>
      </c>
    </row>
    <row r="349" spans="1:12" x14ac:dyDescent="0.25">
      <c r="A349" s="7">
        <v>348</v>
      </c>
      <c r="B349" s="8">
        <v>40558</v>
      </c>
      <c r="C349" s="7">
        <v>1</v>
      </c>
      <c r="D349" s="7">
        <v>0</v>
      </c>
      <c r="E349" s="7">
        <v>1</v>
      </c>
      <c r="F349" s="7">
        <v>23</v>
      </c>
      <c r="G349" s="7" t="b">
        <v>0</v>
      </c>
      <c r="H349" s="7">
        <v>6</v>
      </c>
      <c r="I349" s="7">
        <v>1</v>
      </c>
      <c r="J349" s="7">
        <v>0.3</v>
      </c>
      <c r="K349" s="7" t="str">
        <f t="shared" si="10"/>
        <v>SATARDAY</v>
      </c>
      <c r="L349" t="str">
        <f t="shared" si="11"/>
        <v>Heavy Rain</v>
      </c>
    </row>
    <row r="350" spans="1:12" x14ac:dyDescent="0.25">
      <c r="A350" s="7">
        <v>349</v>
      </c>
      <c r="B350" s="8">
        <v>40559</v>
      </c>
      <c r="C350" s="7">
        <v>1</v>
      </c>
      <c r="D350" s="7">
        <v>0</v>
      </c>
      <c r="E350" s="7">
        <v>1</v>
      </c>
      <c r="F350" s="7">
        <v>0</v>
      </c>
      <c r="G350" s="7" t="b">
        <v>0</v>
      </c>
      <c r="H350" s="7">
        <v>0</v>
      </c>
      <c r="I350" s="7">
        <v>1</v>
      </c>
      <c r="J350" s="7">
        <v>0.26</v>
      </c>
      <c r="K350" s="7" t="str">
        <f t="shared" si="10"/>
        <v>SUNDAY</v>
      </c>
      <c r="L350" t="str">
        <f t="shared" si="11"/>
        <v>Heavy Rain</v>
      </c>
    </row>
    <row r="351" spans="1:12" x14ac:dyDescent="0.25">
      <c r="A351" s="7">
        <v>350</v>
      </c>
      <c r="B351" s="8">
        <v>40559</v>
      </c>
      <c r="C351" s="7">
        <v>1</v>
      </c>
      <c r="D351" s="7">
        <v>0</v>
      </c>
      <c r="E351" s="7">
        <v>1</v>
      </c>
      <c r="F351" s="7">
        <v>1</v>
      </c>
      <c r="G351" s="7" t="b">
        <v>0</v>
      </c>
      <c r="H351" s="7">
        <v>0</v>
      </c>
      <c r="I351" s="7">
        <v>1</v>
      </c>
      <c r="J351" s="7">
        <v>0.26</v>
      </c>
      <c r="K351" s="7" t="str">
        <f t="shared" si="10"/>
        <v>SUNDAY</v>
      </c>
      <c r="L351" t="str">
        <f t="shared" si="11"/>
        <v>Heavy Rain</v>
      </c>
    </row>
    <row r="352" spans="1:12" x14ac:dyDescent="0.25">
      <c r="A352" s="7">
        <v>351</v>
      </c>
      <c r="B352" s="8">
        <v>40559</v>
      </c>
      <c r="C352" s="7">
        <v>1</v>
      </c>
      <c r="D352" s="7">
        <v>0</v>
      </c>
      <c r="E352" s="7">
        <v>1</v>
      </c>
      <c r="F352" s="7">
        <v>2</v>
      </c>
      <c r="G352" s="7" t="b">
        <v>0</v>
      </c>
      <c r="H352" s="7">
        <v>0</v>
      </c>
      <c r="I352" s="7">
        <v>1</v>
      </c>
      <c r="J352" s="7">
        <v>0.26</v>
      </c>
      <c r="K352" s="7" t="str">
        <f t="shared" si="10"/>
        <v>SUNDAY</v>
      </c>
      <c r="L352" t="str">
        <f t="shared" si="11"/>
        <v>Heavy Rain</v>
      </c>
    </row>
    <row r="353" spans="1:12" x14ac:dyDescent="0.25">
      <c r="A353" s="7">
        <v>352</v>
      </c>
      <c r="B353" s="8">
        <v>40559</v>
      </c>
      <c r="C353" s="7">
        <v>1</v>
      </c>
      <c r="D353" s="7">
        <v>0</v>
      </c>
      <c r="E353" s="7">
        <v>1</v>
      </c>
      <c r="F353" s="7">
        <v>3</v>
      </c>
      <c r="G353" s="7" t="b">
        <v>0</v>
      </c>
      <c r="H353" s="7">
        <v>0</v>
      </c>
      <c r="I353" s="7">
        <v>1</v>
      </c>
      <c r="J353" s="7">
        <v>0.22</v>
      </c>
      <c r="K353" s="7" t="str">
        <f t="shared" si="10"/>
        <v>SUNDAY</v>
      </c>
      <c r="L353" t="str">
        <f t="shared" si="11"/>
        <v>Heavy Rain</v>
      </c>
    </row>
    <row r="354" spans="1:12" x14ac:dyDescent="0.25">
      <c r="A354" s="7">
        <v>353</v>
      </c>
      <c r="B354" s="8">
        <v>40559</v>
      </c>
      <c r="C354" s="7">
        <v>1</v>
      </c>
      <c r="D354" s="7">
        <v>0</v>
      </c>
      <c r="E354" s="7">
        <v>1</v>
      </c>
      <c r="F354" s="7">
        <v>4</v>
      </c>
      <c r="G354" s="7" t="b">
        <v>0</v>
      </c>
      <c r="H354" s="7">
        <v>0</v>
      </c>
      <c r="I354" s="7">
        <v>1</v>
      </c>
      <c r="J354" s="7">
        <v>0.26</v>
      </c>
      <c r="K354" s="7" t="str">
        <f t="shared" si="10"/>
        <v>SUNDAY</v>
      </c>
      <c r="L354" t="str">
        <f t="shared" si="11"/>
        <v>Heavy Rain</v>
      </c>
    </row>
    <row r="355" spans="1:12" x14ac:dyDescent="0.25">
      <c r="A355" s="7">
        <v>354</v>
      </c>
      <c r="B355" s="8">
        <v>40559</v>
      </c>
      <c r="C355" s="7">
        <v>1</v>
      </c>
      <c r="D355" s="7">
        <v>0</v>
      </c>
      <c r="E355" s="7">
        <v>1</v>
      </c>
      <c r="F355" s="7">
        <v>5</v>
      </c>
      <c r="G355" s="7" t="b">
        <v>0</v>
      </c>
      <c r="H355" s="7">
        <v>0</v>
      </c>
      <c r="I355" s="7">
        <v>2</v>
      </c>
      <c r="J355" s="7">
        <v>0.26</v>
      </c>
      <c r="K355" s="7" t="str">
        <f t="shared" si="10"/>
        <v>SUNDAY</v>
      </c>
      <c r="L355" t="str">
        <f t="shared" si="11"/>
        <v>Heavy Rain</v>
      </c>
    </row>
    <row r="356" spans="1:12" x14ac:dyDescent="0.25">
      <c r="A356" s="7">
        <v>355</v>
      </c>
      <c r="B356" s="8">
        <v>40559</v>
      </c>
      <c r="C356" s="7">
        <v>1</v>
      </c>
      <c r="D356" s="7">
        <v>0</v>
      </c>
      <c r="E356" s="7">
        <v>1</v>
      </c>
      <c r="F356" s="7">
        <v>6</v>
      </c>
      <c r="G356" s="7" t="b">
        <v>0</v>
      </c>
      <c r="H356" s="7">
        <v>0</v>
      </c>
      <c r="I356" s="7">
        <v>2</v>
      </c>
      <c r="J356" s="7">
        <v>0.26</v>
      </c>
      <c r="K356" s="7" t="str">
        <f t="shared" si="10"/>
        <v>SUNDAY</v>
      </c>
      <c r="L356" t="str">
        <f t="shared" si="11"/>
        <v>Heavy Rain</v>
      </c>
    </row>
    <row r="357" spans="1:12" x14ac:dyDescent="0.25">
      <c r="A357" s="7">
        <v>356</v>
      </c>
      <c r="B357" s="8">
        <v>40559</v>
      </c>
      <c r="C357" s="7">
        <v>1</v>
      </c>
      <c r="D357" s="7">
        <v>0</v>
      </c>
      <c r="E357" s="7">
        <v>1</v>
      </c>
      <c r="F357" s="7">
        <v>7</v>
      </c>
      <c r="G357" s="7" t="b">
        <v>0</v>
      </c>
      <c r="H357" s="7">
        <v>0</v>
      </c>
      <c r="I357" s="7">
        <v>2</v>
      </c>
      <c r="J357" s="7">
        <v>0.24</v>
      </c>
      <c r="K357" s="7" t="str">
        <f t="shared" si="10"/>
        <v>SUNDAY</v>
      </c>
      <c r="L357" t="str">
        <f t="shared" si="11"/>
        <v>Heavy Rain</v>
      </c>
    </row>
    <row r="358" spans="1:12" x14ac:dyDescent="0.25">
      <c r="A358" s="7">
        <v>357</v>
      </c>
      <c r="B358" s="8">
        <v>40559</v>
      </c>
      <c r="C358" s="7">
        <v>1</v>
      </c>
      <c r="D358" s="7">
        <v>0</v>
      </c>
      <c r="E358" s="7">
        <v>1</v>
      </c>
      <c r="F358" s="7">
        <v>8</v>
      </c>
      <c r="G358" s="7" t="b">
        <v>0</v>
      </c>
      <c r="H358" s="7">
        <v>0</v>
      </c>
      <c r="I358" s="7">
        <v>1</v>
      </c>
      <c r="J358" s="7">
        <v>0.22</v>
      </c>
      <c r="K358" s="7" t="str">
        <f t="shared" si="10"/>
        <v>SUNDAY</v>
      </c>
      <c r="L358" t="str">
        <f t="shared" si="11"/>
        <v>Heavy Rain</v>
      </c>
    </row>
    <row r="359" spans="1:12" x14ac:dyDescent="0.25">
      <c r="A359" s="7">
        <v>358</v>
      </c>
      <c r="B359" s="8">
        <v>40559</v>
      </c>
      <c r="C359" s="7">
        <v>1</v>
      </c>
      <c r="D359" s="7">
        <v>0</v>
      </c>
      <c r="E359" s="7">
        <v>1</v>
      </c>
      <c r="F359" s="7">
        <v>9</v>
      </c>
      <c r="G359" s="7" t="b">
        <v>0</v>
      </c>
      <c r="H359" s="7">
        <v>0</v>
      </c>
      <c r="I359" s="7">
        <v>1</v>
      </c>
      <c r="J359" s="7">
        <v>0.22</v>
      </c>
      <c r="K359" s="7" t="str">
        <f t="shared" si="10"/>
        <v>SUNDAY</v>
      </c>
      <c r="L359" t="str">
        <f t="shared" si="11"/>
        <v>Heavy Rain</v>
      </c>
    </row>
    <row r="360" spans="1:12" x14ac:dyDescent="0.25">
      <c r="A360" s="7">
        <v>359</v>
      </c>
      <c r="B360" s="8">
        <v>40559</v>
      </c>
      <c r="C360" s="7">
        <v>1</v>
      </c>
      <c r="D360" s="7">
        <v>0</v>
      </c>
      <c r="E360" s="7">
        <v>1</v>
      </c>
      <c r="F360" s="7">
        <v>10</v>
      </c>
      <c r="G360" s="7" t="b">
        <v>0</v>
      </c>
      <c r="H360" s="7">
        <v>0</v>
      </c>
      <c r="I360" s="7">
        <v>1</v>
      </c>
      <c r="J360" s="7">
        <v>0.22</v>
      </c>
      <c r="K360" s="7" t="str">
        <f t="shared" si="10"/>
        <v>SUNDAY</v>
      </c>
      <c r="L360" t="str">
        <f t="shared" si="11"/>
        <v>Heavy Rain</v>
      </c>
    </row>
    <row r="361" spans="1:12" x14ac:dyDescent="0.25">
      <c r="A361" s="7">
        <v>360</v>
      </c>
      <c r="B361" s="8">
        <v>40559</v>
      </c>
      <c r="C361" s="7">
        <v>1</v>
      </c>
      <c r="D361" s="7">
        <v>0</v>
      </c>
      <c r="E361" s="7">
        <v>1</v>
      </c>
      <c r="F361" s="7">
        <v>11</v>
      </c>
      <c r="G361" s="7" t="b">
        <v>0</v>
      </c>
      <c r="H361" s="7">
        <v>0</v>
      </c>
      <c r="I361" s="7">
        <v>1</v>
      </c>
      <c r="J361" s="7">
        <v>0.24</v>
      </c>
      <c r="K361" s="7" t="str">
        <f t="shared" si="10"/>
        <v>SUNDAY</v>
      </c>
      <c r="L361" t="str">
        <f t="shared" si="11"/>
        <v>Heavy Rain</v>
      </c>
    </row>
    <row r="362" spans="1:12" x14ac:dyDescent="0.25">
      <c r="A362" s="7">
        <v>361</v>
      </c>
      <c r="B362" s="8">
        <v>40559</v>
      </c>
      <c r="C362" s="7">
        <v>1</v>
      </c>
      <c r="D362" s="7">
        <v>0</v>
      </c>
      <c r="E362" s="7">
        <v>1</v>
      </c>
      <c r="F362" s="7">
        <v>12</v>
      </c>
      <c r="G362" s="7" t="b">
        <v>0</v>
      </c>
      <c r="H362" s="7">
        <v>0</v>
      </c>
      <c r="I362" s="7">
        <v>1</v>
      </c>
      <c r="J362" s="7">
        <v>0.24</v>
      </c>
      <c r="K362" s="7" t="str">
        <f t="shared" si="10"/>
        <v>SUNDAY</v>
      </c>
      <c r="L362" t="str">
        <f t="shared" si="11"/>
        <v>Heavy Rain</v>
      </c>
    </row>
    <row r="363" spans="1:12" x14ac:dyDescent="0.25">
      <c r="A363" s="7">
        <v>362</v>
      </c>
      <c r="B363" s="8">
        <v>40559</v>
      </c>
      <c r="C363" s="7">
        <v>1</v>
      </c>
      <c r="D363" s="7">
        <v>0</v>
      </c>
      <c r="E363" s="7">
        <v>1</v>
      </c>
      <c r="F363" s="7">
        <v>13</v>
      </c>
      <c r="G363" s="7" t="b">
        <v>0</v>
      </c>
      <c r="H363" s="7">
        <v>0</v>
      </c>
      <c r="I363" s="7">
        <v>1</v>
      </c>
      <c r="J363" s="7">
        <v>0.26</v>
      </c>
      <c r="K363" s="7" t="str">
        <f t="shared" si="10"/>
        <v>SUNDAY</v>
      </c>
      <c r="L363" t="str">
        <f t="shared" si="11"/>
        <v>Heavy Rain</v>
      </c>
    </row>
    <row r="364" spans="1:12" x14ac:dyDescent="0.25">
      <c r="A364" s="7">
        <v>363</v>
      </c>
      <c r="B364" s="8">
        <v>40559</v>
      </c>
      <c r="C364" s="7">
        <v>1</v>
      </c>
      <c r="D364" s="7">
        <v>0</v>
      </c>
      <c r="E364" s="7">
        <v>1</v>
      </c>
      <c r="F364" s="7">
        <v>14</v>
      </c>
      <c r="G364" s="7" t="b">
        <v>0</v>
      </c>
      <c r="H364" s="7">
        <v>0</v>
      </c>
      <c r="I364" s="7">
        <v>1</v>
      </c>
      <c r="J364" s="7">
        <v>0.28000000000000003</v>
      </c>
      <c r="K364" s="7" t="str">
        <f t="shared" si="10"/>
        <v>SUNDAY</v>
      </c>
      <c r="L364" t="str">
        <f t="shared" si="11"/>
        <v>Heavy Rain</v>
      </c>
    </row>
    <row r="365" spans="1:12" x14ac:dyDescent="0.25">
      <c r="A365" s="7">
        <v>364</v>
      </c>
      <c r="B365" s="8">
        <v>40559</v>
      </c>
      <c r="C365" s="7">
        <v>1</v>
      </c>
      <c r="D365" s="7">
        <v>0</v>
      </c>
      <c r="E365" s="7">
        <v>1</v>
      </c>
      <c r="F365" s="7">
        <v>15</v>
      </c>
      <c r="G365" s="7" t="b">
        <v>0</v>
      </c>
      <c r="H365" s="7">
        <v>0</v>
      </c>
      <c r="I365" s="7">
        <v>1</v>
      </c>
      <c r="J365" s="7">
        <v>0.26</v>
      </c>
      <c r="K365" s="7" t="str">
        <f t="shared" si="10"/>
        <v>SUNDAY</v>
      </c>
      <c r="L365" t="str">
        <f t="shared" si="11"/>
        <v>Heavy Rain</v>
      </c>
    </row>
    <row r="366" spans="1:12" x14ac:dyDescent="0.25">
      <c r="A366" s="7">
        <v>365</v>
      </c>
      <c r="B366" s="8">
        <v>40559</v>
      </c>
      <c r="C366" s="7">
        <v>1</v>
      </c>
      <c r="D366" s="7">
        <v>0</v>
      </c>
      <c r="E366" s="7">
        <v>1</v>
      </c>
      <c r="F366" s="7">
        <v>16</v>
      </c>
      <c r="G366" s="7" t="b">
        <v>0</v>
      </c>
      <c r="H366" s="7">
        <v>0</v>
      </c>
      <c r="I366" s="7">
        <v>1</v>
      </c>
      <c r="J366" s="7">
        <v>0.24</v>
      </c>
      <c r="K366" s="7" t="str">
        <f t="shared" si="10"/>
        <v>SUNDAY</v>
      </c>
      <c r="L366" t="str">
        <f t="shared" si="11"/>
        <v>Heavy Rain</v>
      </c>
    </row>
    <row r="367" spans="1:12" x14ac:dyDescent="0.25">
      <c r="A367" s="7">
        <v>366</v>
      </c>
      <c r="B367" s="8">
        <v>40559</v>
      </c>
      <c r="C367" s="7">
        <v>1</v>
      </c>
      <c r="D367" s="7">
        <v>0</v>
      </c>
      <c r="E367" s="7">
        <v>1</v>
      </c>
      <c r="F367" s="7">
        <v>17</v>
      </c>
      <c r="G367" s="7" t="b">
        <v>0</v>
      </c>
      <c r="H367" s="7">
        <v>0</v>
      </c>
      <c r="I367" s="7">
        <v>1</v>
      </c>
      <c r="J367" s="7">
        <v>0.22</v>
      </c>
      <c r="K367" s="7" t="str">
        <f t="shared" si="10"/>
        <v>SUNDAY</v>
      </c>
      <c r="L367" t="str">
        <f t="shared" si="11"/>
        <v>Heavy Rain</v>
      </c>
    </row>
    <row r="368" spans="1:12" x14ac:dyDescent="0.25">
      <c r="A368" s="7">
        <v>367</v>
      </c>
      <c r="B368" s="8">
        <v>40559</v>
      </c>
      <c r="C368" s="7">
        <v>1</v>
      </c>
      <c r="D368" s="7">
        <v>0</v>
      </c>
      <c r="E368" s="7">
        <v>1</v>
      </c>
      <c r="F368" s="7">
        <v>18</v>
      </c>
      <c r="G368" s="7" t="b">
        <v>0</v>
      </c>
      <c r="H368" s="7">
        <v>0</v>
      </c>
      <c r="I368" s="7">
        <v>1</v>
      </c>
      <c r="J368" s="7">
        <v>0.2</v>
      </c>
      <c r="K368" s="7" t="str">
        <f t="shared" si="10"/>
        <v>SUNDAY</v>
      </c>
      <c r="L368" t="str">
        <f t="shared" si="11"/>
        <v>Heavy Rain</v>
      </c>
    </row>
    <row r="369" spans="1:12" x14ac:dyDescent="0.25">
      <c r="A369" s="7">
        <v>368</v>
      </c>
      <c r="B369" s="8">
        <v>40559</v>
      </c>
      <c r="C369" s="7">
        <v>1</v>
      </c>
      <c r="D369" s="7">
        <v>0</v>
      </c>
      <c r="E369" s="7">
        <v>1</v>
      </c>
      <c r="F369" s="7">
        <v>19</v>
      </c>
      <c r="G369" s="7" t="b">
        <v>0</v>
      </c>
      <c r="H369" s="7">
        <v>0</v>
      </c>
      <c r="I369" s="7">
        <v>1</v>
      </c>
      <c r="J369" s="7">
        <v>0.18</v>
      </c>
      <c r="K369" s="7" t="str">
        <f t="shared" si="10"/>
        <v>SUNDAY</v>
      </c>
      <c r="L369" t="str">
        <f t="shared" si="11"/>
        <v>Heavy Rain</v>
      </c>
    </row>
    <row r="370" spans="1:12" x14ac:dyDescent="0.25">
      <c r="A370" s="7">
        <v>369</v>
      </c>
      <c r="B370" s="8">
        <v>40559</v>
      </c>
      <c r="C370" s="7">
        <v>1</v>
      </c>
      <c r="D370" s="7">
        <v>0</v>
      </c>
      <c r="E370" s="7">
        <v>1</v>
      </c>
      <c r="F370" s="7">
        <v>20</v>
      </c>
      <c r="G370" s="7" t="b">
        <v>0</v>
      </c>
      <c r="H370" s="7">
        <v>0</v>
      </c>
      <c r="I370" s="7">
        <v>1</v>
      </c>
      <c r="J370" s="7">
        <v>0.18</v>
      </c>
      <c r="K370" s="7" t="str">
        <f t="shared" si="10"/>
        <v>SUNDAY</v>
      </c>
      <c r="L370" t="str">
        <f t="shared" si="11"/>
        <v>Heavy Rain</v>
      </c>
    </row>
    <row r="371" spans="1:12" x14ac:dyDescent="0.25">
      <c r="A371" s="7">
        <v>370</v>
      </c>
      <c r="B371" s="8">
        <v>40559</v>
      </c>
      <c r="C371" s="7">
        <v>1</v>
      </c>
      <c r="D371" s="7">
        <v>0</v>
      </c>
      <c r="E371" s="7">
        <v>1</v>
      </c>
      <c r="F371" s="7">
        <v>21</v>
      </c>
      <c r="G371" s="7" t="b">
        <v>0</v>
      </c>
      <c r="H371" s="7">
        <v>0</v>
      </c>
      <c r="I371" s="7">
        <v>1</v>
      </c>
      <c r="J371" s="7">
        <v>0.18</v>
      </c>
      <c r="K371" s="7" t="str">
        <f t="shared" si="10"/>
        <v>SUNDAY</v>
      </c>
      <c r="L371" t="str">
        <f t="shared" si="11"/>
        <v>Heavy Rain</v>
      </c>
    </row>
    <row r="372" spans="1:12" x14ac:dyDescent="0.25">
      <c r="A372" s="7">
        <v>371</v>
      </c>
      <c r="B372" s="8">
        <v>40559</v>
      </c>
      <c r="C372" s="7">
        <v>1</v>
      </c>
      <c r="D372" s="7">
        <v>0</v>
      </c>
      <c r="E372" s="7">
        <v>1</v>
      </c>
      <c r="F372" s="7">
        <v>22</v>
      </c>
      <c r="G372" s="7" t="b">
        <v>0</v>
      </c>
      <c r="H372" s="7">
        <v>0</v>
      </c>
      <c r="I372" s="7">
        <v>2</v>
      </c>
      <c r="J372" s="7">
        <v>0.2</v>
      </c>
      <c r="K372" s="7" t="str">
        <f t="shared" si="10"/>
        <v>SUNDAY</v>
      </c>
      <c r="L372" t="str">
        <f t="shared" si="11"/>
        <v>Heavy Rain</v>
      </c>
    </row>
    <row r="373" spans="1:12" x14ac:dyDescent="0.25">
      <c r="A373" s="7">
        <v>372</v>
      </c>
      <c r="B373" s="8">
        <v>40559</v>
      </c>
      <c r="C373" s="7">
        <v>1</v>
      </c>
      <c r="D373" s="7">
        <v>0</v>
      </c>
      <c r="E373" s="7">
        <v>1</v>
      </c>
      <c r="F373" s="7">
        <v>23</v>
      </c>
      <c r="G373" s="7" t="b">
        <v>0</v>
      </c>
      <c r="H373" s="7">
        <v>0</v>
      </c>
      <c r="I373" s="7">
        <v>2</v>
      </c>
      <c r="J373" s="7">
        <v>0.2</v>
      </c>
      <c r="K373" s="7" t="str">
        <f t="shared" si="10"/>
        <v>SUNDAY</v>
      </c>
      <c r="L373" t="str">
        <f t="shared" si="11"/>
        <v>Heavy Rain</v>
      </c>
    </row>
    <row r="374" spans="1:12" x14ac:dyDescent="0.25">
      <c r="A374" s="7">
        <v>373</v>
      </c>
      <c r="B374" s="8">
        <v>40560</v>
      </c>
      <c r="C374" s="7">
        <v>1</v>
      </c>
      <c r="D374" s="7">
        <v>0</v>
      </c>
      <c r="E374" s="7">
        <v>1</v>
      </c>
      <c r="F374" s="7">
        <v>0</v>
      </c>
      <c r="G374" s="7" t="b">
        <v>1</v>
      </c>
      <c r="H374" s="7">
        <v>1</v>
      </c>
      <c r="I374" s="7">
        <v>2</v>
      </c>
      <c r="J374" s="7">
        <v>0.2</v>
      </c>
      <c r="K374" s="7" t="str">
        <f t="shared" si="10"/>
        <v>MONDAY</v>
      </c>
      <c r="L374" t="str">
        <f t="shared" si="11"/>
        <v>Heavy Rain</v>
      </c>
    </row>
    <row r="375" spans="1:12" x14ac:dyDescent="0.25">
      <c r="A375" s="7">
        <v>374</v>
      </c>
      <c r="B375" s="8">
        <v>40560</v>
      </c>
      <c r="C375" s="7">
        <v>1</v>
      </c>
      <c r="D375" s="7">
        <v>0</v>
      </c>
      <c r="E375" s="7">
        <v>1</v>
      </c>
      <c r="F375" s="7">
        <v>1</v>
      </c>
      <c r="G375" s="7" t="b">
        <v>1</v>
      </c>
      <c r="H375" s="7">
        <v>1</v>
      </c>
      <c r="I375" s="7">
        <v>2</v>
      </c>
      <c r="J375" s="7">
        <v>0.2</v>
      </c>
      <c r="K375" s="7" t="str">
        <f t="shared" si="10"/>
        <v>MONDAY</v>
      </c>
      <c r="L375" t="str">
        <f t="shared" si="11"/>
        <v>Heavy Rain</v>
      </c>
    </row>
    <row r="376" spans="1:12" x14ac:dyDescent="0.25">
      <c r="A376" s="7">
        <v>375</v>
      </c>
      <c r="B376" s="8">
        <v>40560</v>
      </c>
      <c r="C376" s="7">
        <v>1</v>
      </c>
      <c r="D376" s="7">
        <v>0</v>
      </c>
      <c r="E376" s="7">
        <v>1</v>
      </c>
      <c r="F376" s="7">
        <v>2</v>
      </c>
      <c r="G376" s="7" t="b">
        <v>1</v>
      </c>
      <c r="H376" s="7">
        <v>1</v>
      </c>
      <c r="I376" s="7">
        <v>2</v>
      </c>
      <c r="J376" s="7">
        <v>0.18</v>
      </c>
      <c r="K376" s="7" t="str">
        <f t="shared" si="10"/>
        <v>MONDAY</v>
      </c>
      <c r="L376" t="str">
        <f t="shared" si="11"/>
        <v>Heavy Rain</v>
      </c>
    </row>
    <row r="377" spans="1:12" x14ac:dyDescent="0.25">
      <c r="A377" s="7">
        <v>376</v>
      </c>
      <c r="B377" s="8">
        <v>40560</v>
      </c>
      <c r="C377" s="7">
        <v>1</v>
      </c>
      <c r="D377" s="7">
        <v>0</v>
      </c>
      <c r="E377" s="7">
        <v>1</v>
      </c>
      <c r="F377" s="7">
        <v>3</v>
      </c>
      <c r="G377" s="7" t="b">
        <v>1</v>
      </c>
      <c r="H377" s="7">
        <v>1</v>
      </c>
      <c r="I377" s="7">
        <v>2</v>
      </c>
      <c r="J377" s="7">
        <v>0.18</v>
      </c>
      <c r="K377" s="7" t="str">
        <f t="shared" si="10"/>
        <v>MONDAY</v>
      </c>
      <c r="L377" t="str">
        <f t="shared" si="11"/>
        <v>Heavy Rain</v>
      </c>
    </row>
    <row r="378" spans="1:12" x14ac:dyDescent="0.25">
      <c r="A378" s="7">
        <v>377</v>
      </c>
      <c r="B378" s="8">
        <v>40560</v>
      </c>
      <c r="C378" s="7">
        <v>1</v>
      </c>
      <c r="D378" s="7">
        <v>0</v>
      </c>
      <c r="E378" s="7">
        <v>1</v>
      </c>
      <c r="F378" s="7">
        <v>4</v>
      </c>
      <c r="G378" s="7" t="b">
        <v>1</v>
      </c>
      <c r="H378" s="7">
        <v>1</v>
      </c>
      <c r="I378" s="7">
        <v>2</v>
      </c>
      <c r="J378" s="7">
        <v>0.18</v>
      </c>
      <c r="K378" s="7" t="str">
        <f t="shared" si="10"/>
        <v>MONDAY</v>
      </c>
      <c r="L378" t="str">
        <f t="shared" si="11"/>
        <v>Heavy Rain</v>
      </c>
    </row>
    <row r="379" spans="1:12" x14ac:dyDescent="0.25">
      <c r="A379" s="7">
        <v>378</v>
      </c>
      <c r="B379" s="8">
        <v>40560</v>
      </c>
      <c r="C379" s="7">
        <v>1</v>
      </c>
      <c r="D379" s="7">
        <v>0</v>
      </c>
      <c r="E379" s="7">
        <v>1</v>
      </c>
      <c r="F379" s="7">
        <v>5</v>
      </c>
      <c r="G379" s="7" t="b">
        <v>1</v>
      </c>
      <c r="H379" s="7">
        <v>1</v>
      </c>
      <c r="I379" s="7">
        <v>2</v>
      </c>
      <c r="J379" s="7">
        <v>0.18</v>
      </c>
      <c r="K379" s="7" t="str">
        <f t="shared" si="10"/>
        <v>MONDAY</v>
      </c>
      <c r="L379" t="str">
        <f t="shared" si="11"/>
        <v>Heavy Rain</v>
      </c>
    </row>
    <row r="380" spans="1:12" x14ac:dyDescent="0.25">
      <c r="A380" s="7">
        <v>379</v>
      </c>
      <c r="B380" s="8">
        <v>40560</v>
      </c>
      <c r="C380" s="7">
        <v>1</v>
      </c>
      <c r="D380" s="7">
        <v>0</v>
      </c>
      <c r="E380" s="7">
        <v>1</v>
      </c>
      <c r="F380" s="7">
        <v>6</v>
      </c>
      <c r="G380" s="7" t="b">
        <v>1</v>
      </c>
      <c r="H380" s="7">
        <v>1</v>
      </c>
      <c r="I380" s="7">
        <v>2</v>
      </c>
      <c r="J380" s="7">
        <v>0.18</v>
      </c>
      <c r="K380" s="7" t="str">
        <f t="shared" si="10"/>
        <v>MONDAY</v>
      </c>
      <c r="L380" t="str">
        <f t="shared" si="11"/>
        <v>Heavy Rain</v>
      </c>
    </row>
    <row r="381" spans="1:12" x14ac:dyDescent="0.25">
      <c r="A381" s="7">
        <v>380</v>
      </c>
      <c r="B381" s="8">
        <v>40560</v>
      </c>
      <c r="C381" s="7">
        <v>1</v>
      </c>
      <c r="D381" s="7">
        <v>0</v>
      </c>
      <c r="E381" s="7">
        <v>1</v>
      </c>
      <c r="F381" s="7">
        <v>7</v>
      </c>
      <c r="G381" s="7" t="b">
        <v>1</v>
      </c>
      <c r="H381" s="7">
        <v>1</v>
      </c>
      <c r="I381" s="7">
        <v>2</v>
      </c>
      <c r="J381" s="7">
        <v>0.16</v>
      </c>
      <c r="K381" s="7" t="str">
        <f t="shared" si="10"/>
        <v>MONDAY</v>
      </c>
      <c r="L381" t="str">
        <f t="shared" si="11"/>
        <v>Heavy Rain</v>
      </c>
    </row>
    <row r="382" spans="1:12" x14ac:dyDescent="0.25">
      <c r="A382" s="7">
        <v>381</v>
      </c>
      <c r="B382" s="8">
        <v>40560</v>
      </c>
      <c r="C382" s="7">
        <v>1</v>
      </c>
      <c r="D382" s="7">
        <v>0</v>
      </c>
      <c r="E382" s="7">
        <v>1</v>
      </c>
      <c r="F382" s="7">
        <v>8</v>
      </c>
      <c r="G382" s="7" t="b">
        <v>1</v>
      </c>
      <c r="H382" s="7">
        <v>1</v>
      </c>
      <c r="I382" s="7">
        <v>2</v>
      </c>
      <c r="J382" s="7">
        <v>0.16</v>
      </c>
      <c r="K382" s="7" t="str">
        <f t="shared" si="10"/>
        <v>MONDAY</v>
      </c>
      <c r="L382" t="str">
        <f t="shared" si="11"/>
        <v>Heavy Rain</v>
      </c>
    </row>
    <row r="383" spans="1:12" x14ac:dyDescent="0.25">
      <c r="A383" s="7">
        <v>382</v>
      </c>
      <c r="B383" s="8">
        <v>40560</v>
      </c>
      <c r="C383" s="7">
        <v>1</v>
      </c>
      <c r="D383" s="7">
        <v>0</v>
      </c>
      <c r="E383" s="7">
        <v>1</v>
      </c>
      <c r="F383" s="7">
        <v>9</v>
      </c>
      <c r="G383" s="7" t="b">
        <v>1</v>
      </c>
      <c r="H383" s="7">
        <v>1</v>
      </c>
      <c r="I383" s="7">
        <v>2</v>
      </c>
      <c r="J383" s="7">
        <v>0.16</v>
      </c>
      <c r="K383" s="7" t="str">
        <f t="shared" si="10"/>
        <v>MONDAY</v>
      </c>
      <c r="L383" t="str">
        <f t="shared" si="11"/>
        <v>Heavy Rain</v>
      </c>
    </row>
    <row r="384" spans="1:12" x14ac:dyDescent="0.25">
      <c r="A384" s="7">
        <v>383</v>
      </c>
      <c r="B384" s="8">
        <v>40560</v>
      </c>
      <c r="C384" s="7">
        <v>1</v>
      </c>
      <c r="D384" s="7">
        <v>0</v>
      </c>
      <c r="E384" s="7">
        <v>1</v>
      </c>
      <c r="F384" s="7">
        <v>10</v>
      </c>
      <c r="G384" s="7" t="b">
        <v>1</v>
      </c>
      <c r="H384" s="7">
        <v>1</v>
      </c>
      <c r="I384" s="7">
        <v>2</v>
      </c>
      <c r="J384" s="7">
        <v>0.16</v>
      </c>
      <c r="K384" s="7" t="str">
        <f t="shared" si="10"/>
        <v>MONDAY</v>
      </c>
      <c r="L384" t="str">
        <f t="shared" si="11"/>
        <v>Heavy Rain</v>
      </c>
    </row>
    <row r="385" spans="1:12" x14ac:dyDescent="0.25">
      <c r="A385" s="7">
        <v>384</v>
      </c>
      <c r="B385" s="8">
        <v>40560</v>
      </c>
      <c r="C385" s="7">
        <v>1</v>
      </c>
      <c r="D385" s="7">
        <v>0</v>
      </c>
      <c r="E385" s="7">
        <v>1</v>
      </c>
      <c r="F385" s="7">
        <v>11</v>
      </c>
      <c r="G385" s="7" t="b">
        <v>1</v>
      </c>
      <c r="H385" s="7">
        <v>1</v>
      </c>
      <c r="I385" s="7">
        <v>2</v>
      </c>
      <c r="J385" s="7">
        <v>0.16</v>
      </c>
      <c r="K385" s="7" t="str">
        <f t="shared" si="10"/>
        <v>MONDAY</v>
      </c>
      <c r="L385" t="str">
        <f t="shared" si="11"/>
        <v>Heavy Rain</v>
      </c>
    </row>
    <row r="386" spans="1:12" x14ac:dyDescent="0.25">
      <c r="A386" s="7">
        <v>385</v>
      </c>
      <c r="B386" s="8">
        <v>40560</v>
      </c>
      <c r="C386" s="7">
        <v>1</v>
      </c>
      <c r="D386" s="7">
        <v>0</v>
      </c>
      <c r="E386" s="7">
        <v>1</v>
      </c>
      <c r="F386" s="7">
        <v>12</v>
      </c>
      <c r="G386" s="7" t="b">
        <v>1</v>
      </c>
      <c r="H386" s="7">
        <v>1</v>
      </c>
      <c r="I386" s="7">
        <v>2</v>
      </c>
      <c r="J386" s="7">
        <v>0.18</v>
      </c>
      <c r="K386" s="7" t="str">
        <f t="shared" ref="K386:K449" si="12">CHOOSE(H386+1, "SUNDAY", "MONDAY","TUESDAY", "WENESDAY","THUSDAY", "FRIDAY", "SATARDAY")</f>
        <v>MONDAY</v>
      </c>
      <c r="L386" t="str">
        <f t="shared" ref="L386:L449" si="13">IF(A386=1,"Clear",IF(A386=2,"Mist",IF(A386=3,"Light Rain/Snow","Heavy Rain")))</f>
        <v>Heavy Rain</v>
      </c>
    </row>
    <row r="387" spans="1:12" x14ac:dyDescent="0.25">
      <c r="A387" s="7">
        <v>386</v>
      </c>
      <c r="B387" s="8">
        <v>40560</v>
      </c>
      <c r="C387" s="7">
        <v>1</v>
      </c>
      <c r="D387" s="7">
        <v>0</v>
      </c>
      <c r="E387" s="7">
        <v>1</v>
      </c>
      <c r="F387" s="7">
        <v>13</v>
      </c>
      <c r="G387" s="7" t="b">
        <v>1</v>
      </c>
      <c r="H387" s="7">
        <v>1</v>
      </c>
      <c r="I387" s="7">
        <v>2</v>
      </c>
      <c r="J387" s="7">
        <v>0.18</v>
      </c>
      <c r="K387" s="7" t="str">
        <f t="shared" si="12"/>
        <v>MONDAY</v>
      </c>
      <c r="L387" t="str">
        <f t="shared" si="13"/>
        <v>Heavy Rain</v>
      </c>
    </row>
    <row r="388" spans="1:12" x14ac:dyDescent="0.25">
      <c r="A388" s="7">
        <v>387</v>
      </c>
      <c r="B388" s="8">
        <v>40560</v>
      </c>
      <c r="C388" s="7">
        <v>1</v>
      </c>
      <c r="D388" s="7">
        <v>0</v>
      </c>
      <c r="E388" s="7">
        <v>1</v>
      </c>
      <c r="F388" s="7">
        <v>14</v>
      </c>
      <c r="G388" s="7" t="b">
        <v>1</v>
      </c>
      <c r="H388" s="7">
        <v>1</v>
      </c>
      <c r="I388" s="7">
        <v>2</v>
      </c>
      <c r="J388" s="7">
        <v>0.18</v>
      </c>
      <c r="K388" s="7" t="str">
        <f t="shared" si="12"/>
        <v>MONDAY</v>
      </c>
      <c r="L388" t="str">
        <f t="shared" si="13"/>
        <v>Heavy Rain</v>
      </c>
    </row>
    <row r="389" spans="1:12" x14ac:dyDescent="0.25">
      <c r="A389" s="7">
        <v>388</v>
      </c>
      <c r="B389" s="8">
        <v>40560</v>
      </c>
      <c r="C389" s="7">
        <v>1</v>
      </c>
      <c r="D389" s="7">
        <v>0</v>
      </c>
      <c r="E389" s="7">
        <v>1</v>
      </c>
      <c r="F389" s="7">
        <v>15</v>
      </c>
      <c r="G389" s="7" t="b">
        <v>1</v>
      </c>
      <c r="H389" s="7">
        <v>1</v>
      </c>
      <c r="I389" s="7">
        <v>2</v>
      </c>
      <c r="J389" s="7">
        <v>0.2</v>
      </c>
      <c r="K389" s="7" t="str">
        <f t="shared" si="12"/>
        <v>MONDAY</v>
      </c>
      <c r="L389" t="str">
        <f t="shared" si="13"/>
        <v>Heavy Rain</v>
      </c>
    </row>
    <row r="390" spans="1:12" x14ac:dyDescent="0.25">
      <c r="A390" s="7">
        <v>389</v>
      </c>
      <c r="B390" s="8">
        <v>40560</v>
      </c>
      <c r="C390" s="7">
        <v>1</v>
      </c>
      <c r="D390" s="7">
        <v>0</v>
      </c>
      <c r="E390" s="7">
        <v>1</v>
      </c>
      <c r="F390" s="7">
        <v>16</v>
      </c>
      <c r="G390" s="7" t="b">
        <v>1</v>
      </c>
      <c r="H390" s="7">
        <v>1</v>
      </c>
      <c r="I390" s="7">
        <v>2</v>
      </c>
      <c r="J390" s="7">
        <v>0.2</v>
      </c>
      <c r="K390" s="7" t="str">
        <f t="shared" si="12"/>
        <v>MONDAY</v>
      </c>
      <c r="L390" t="str">
        <f t="shared" si="13"/>
        <v>Heavy Rain</v>
      </c>
    </row>
    <row r="391" spans="1:12" x14ac:dyDescent="0.25">
      <c r="A391" s="7">
        <v>390</v>
      </c>
      <c r="B391" s="8">
        <v>40560</v>
      </c>
      <c r="C391" s="7">
        <v>1</v>
      </c>
      <c r="D391" s="7">
        <v>0</v>
      </c>
      <c r="E391" s="7">
        <v>1</v>
      </c>
      <c r="F391" s="7">
        <v>17</v>
      </c>
      <c r="G391" s="7" t="b">
        <v>1</v>
      </c>
      <c r="H391" s="7">
        <v>1</v>
      </c>
      <c r="I391" s="7">
        <v>1</v>
      </c>
      <c r="J391" s="7">
        <v>0.2</v>
      </c>
      <c r="K391" s="7" t="str">
        <f t="shared" si="12"/>
        <v>MONDAY</v>
      </c>
      <c r="L391" t="str">
        <f t="shared" si="13"/>
        <v>Heavy Rain</v>
      </c>
    </row>
    <row r="392" spans="1:12" x14ac:dyDescent="0.25">
      <c r="A392" s="7">
        <v>391</v>
      </c>
      <c r="B392" s="8">
        <v>40560</v>
      </c>
      <c r="C392" s="7">
        <v>1</v>
      </c>
      <c r="D392" s="7">
        <v>0</v>
      </c>
      <c r="E392" s="7">
        <v>1</v>
      </c>
      <c r="F392" s="7">
        <v>18</v>
      </c>
      <c r="G392" s="7" t="b">
        <v>1</v>
      </c>
      <c r="H392" s="7">
        <v>1</v>
      </c>
      <c r="I392" s="7">
        <v>2</v>
      </c>
      <c r="J392" s="7">
        <v>0.18</v>
      </c>
      <c r="K392" s="7" t="str">
        <f t="shared" si="12"/>
        <v>MONDAY</v>
      </c>
      <c r="L392" t="str">
        <f t="shared" si="13"/>
        <v>Heavy Rain</v>
      </c>
    </row>
    <row r="393" spans="1:12" x14ac:dyDescent="0.25">
      <c r="A393" s="7">
        <v>392</v>
      </c>
      <c r="B393" s="8">
        <v>40560</v>
      </c>
      <c r="C393" s="7">
        <v>1</v>
      </c>
      <c r="D393" s="7">
        <v>0</v>
      </c>
      <c r="E393" s="7">
        <v>1</v>
      </c>
      <c r="F393" s="7">
        <v>19</v>
      </c>
      <c r="G393" s="7" t="b">
        <v>1</v>
      </c>
      <c r="H393" s="7">
        <v>1</v>
      </c>
      <c r="I393" s="7">
        <v>3</v>
      </c>
      <c r="J393" s="7">
        <v>0.18</v>
      </c>
      <c r="K393" s="7" t="str">
        <f t="shared" si="12"/>
        <v>MONDAY</v>
      </c>
      <c r="L393" t="str">
        <f t="shared" si="13"/>
        <v>Heavy Rain</v>
      </c>
    </row>
    <row r="394" spans="1:12" x14ac:dyDescent="0.25">
      <c r="A394" s="7">
        <v>393</v>
      </c>
      <c r="B394" s="8">
        <v>40560</v>
      </c>
      <c r="C394" s="7">
        <v>1</v>
      </c>
      <c r="D394" s="7">
        <v>0</v>
      </c>
      <c r="E394" s="7">
        <v>1</v>
      </c>
      <c r="F394" s="7">
        <v>20</v>
      </c>
      <c r="G394" s="7" t="b">
        <v>1</v>
      </c>
      <c r="H394" s="7">
        <v>1</v>
      </c>
      <c r="I394" s="7">
        <v>3</v>
      </c>
      <c r="J394" s="7">
        <v>0.16</v>
      </c>
      <c r="K394" s="7" t="str">
        <f t="shared" si="12"/>
        <v>MONDAY</v>
      </c>
      <c r="L394" t="str">
        <f t="shared" si="13"/>
        <v>Heavy Rain</v>
      </c>
    </row>
    <row r="395" spans="1:12" x14ac:dyDescent="0.25">
      <c r="A395" s="7">
        <v>394</v>
      </c>
      <c r="B395" s="8">
        <v>40560</v>
      </c>
      <c r="C395" s="7">
        <v>1</v>
      </c>
      <c r="D395" s="7">
        <v>0</v>
      </c>
      <c r="E395" s="7">
        <v>1</v>
      </c>
      <c r="F395" s="7">
        <v>21</v>
      </c>
      <c r="G395" s="7" t="b">
        <v>1</v>
      </c>
      <c r="H395" s="7">
        <v>1</v>
      </c>
      <c r="I395" s="7">
        <v>3</v>
      </c>
      <c r="J395" s="7">
        <v>0.16</v>
      </c>
      <c r="K395" s="7" t="str">
        <f t="shared" si="12"/>
        <v>MONDAY</v>
      </c>
      <c r="L395" t="str">
        <f t="shared" si="13"/>
        <v>Heavy Rain</v>
      </c>
    </row>
    <row r="396" spans="1:12" x14ac:dyDescent="0.25">
      <c r="A396" s="7">
        <v>395</v>
      </c>
      <c r="B396" s="8">
        <v>40560</v>
      </c>
      <c r="C396" s="7">
        <v>1</v>
      </c>
      <c r="D396" s="7">
        <v>0</v>
      </c>
      <c r="E396" s="7">
        <v>1</v>
      </c>
      <c r="F396" s="7">
        <v>22</v>
      </c>
      <c r="G396" s="7" t="b">
        <v>1</v>
      </c>
      <c r="H396" s="7">
        <v>1</v>
      </c>
      <c r="I396" s="7">
        <v>3</v>
      </c>
      <c r="J396" s="7">
        <v>0.14000000000000001</v>
      </c>
      <c r="K396" s="7" t="str">
        <f t="shared" si="12"/>
        <v>MONDAY</v>
      </c>
      <c r="L396" t="str">
        <f t="shared" si="13"/>
        <v>Heavy Rain</v>
      </c>
    </row>
    <row r="397" spans="1:12" x14ac:dyDescent="0.25">
      <c r="A397" s="7">
        <v>396</v>
      </c>
      <c r="B397" s="8">
        <v>40560</v>
      </c>
      <c r="C397" s="7">
        <v>1</v>
      </c>
      <c r="D397" s="7">
        <v>0</v>
      </c>
      <c r="E397" s="7">
        <v>1</v>
      </c>
      <c r="F397" s="7">
        <v>23</v>
      </c>
      <c r="G397" s="7" t="b">
        <v>1</v>
      </c>
      <c r="H397" s="7">
        <v>1</v>
      </c>
      <c r="I397" s="7">
        <v>3</v>
      </c>
      <c r="J397" s="7">
        <v>0.16</v>
      </c>
      <c r="K397" s="7" t="str">
        <f t="shared" si="12"/>
        <v>MONDAY</v>
      </c>
      <c r="L397" t="str">
        <f t="shared" si="13"/>
        <v>Heavy Rain</v>
      </c>
    </row>
    <row r="398" spans="1:12" x14ac:dyDescent="0.25">
      <c r="A398" s="7">
        <v>397</v>
      </c>
      <c r="B398" s="8">
        <v>40561</v>
      </c>
      <c r="C398" s="7">
        <v>1</v>
      </c>
      <c r="D398" s="7">
        <v>0</v>
      </c>
      <c r="E398" s="7">
        <v>1</v>
      </c>
      <c r="F398" s="7">
        <v>12</v>
      </c>
      <c r="G398" s="7" t="b">
        <v>0</v>
      </c>
      <c r="H398" s="7">
        <v>2</v>
      </c>
      <c r="I398" s="7">
        <v>2</v>
      </c>
      <c r="J398" s="7">
        <v>0.2</v>
      </c>
      <c r="K398" s="7" t="str">
        <f t="shared" si="12"/>
        <v>TUESDAY</v>
      </c>
      <c r="L398" t="str">
        <f t="shared" si="13"/>
        <v>Heavy Rain</v>
      </c>
    </row>
    <row r="399" spans="1:12" x14ac:dyDescent="0.25">
      <c r="A399" s="7">
        <v>398</v>
      </c>
      <c r="B399" s="8">
        <v>40561</v>
      </c>
      <c r="C399" s="7">
        <v>1</v>
      </c>
      <c r="D399" s="7">
        <v>0</v>
      </c>
      <c r="E399" s="7">
        <v>1</v>
      </c>
      <c r="F399" s="7">
        <v>13</v>
      </c>
      <c r="G399" s="7" t="b">
        <v>0</v>
      </c>
      <c r="H399" s="7">
        <v>2</v>
      </c>
      <c r="I399" s="7">
        <v>2</v>
      </c>
      <c r="J399" s="7">
        <v>0.2</v>
      </c>
      <c r="K399" s="7" t="str">
        <f t="shared" si="12"/>
        <v>TUESDAY</v>
      </c>
      <c r="L399" t="str">
        <f t="shared" si="13"/>
        <v>Heavy Rain</v>
      </c>
    </row>
    <row r="400" spans="1:12" x14ac:dyDescent="0.25">
      <c r="A400" s="7">
        <v>399</v>
      </c>
      <c r="B400" s="8">
        <v>40561</v>
      </c>
      <c r="C400" s="7">
        <v>1</v>
      </c>
      <c r="D400" s="7">
        <v>0</v>
      </c>
      <c r="E400" s="7">
        <v>1</v>
      </c>
      <c r="F400" s="7">
        <v>14</v>
      </c>
      <c r="G400" s="7" t="b">
        <v>0</v>
      </c>
      <c r="H400" s="7">
        <v>2</v>
      </c>
      <c r="I400" s="7">
        <v>2</v>
      </c>
      <c r="J400" s="7">
        <v>0.22</v>
      </c>
      <c r="K400" s="7" t="str">
        <f t="shared" si="12"/>
        <v>TUESDAY</v>
      </c>
      <c r="L400" t="str">
        <f t="shared" si="13"/>
        <v>Heavy Rain</v>
      </c>
    </row>
    <row r="401" spans="1:12" x14ac:dyDescent="0.25">
      <c r="A401" s="7">
        <v>400</v>
      </c>
      <c r="B401" s="8">
        <v>40561</v>
      </c>
      <c r="C401" s="7">
        <v>1</v>
      </c>
      <c r="D401" s="7">
        <v>0</v>
      </c>
      <c r="E401" s="7">
        <v>1</v>
      </c>
      <c r="F401" s="7">
        <v>15</v>
      </c>
      <c r="G401" s="7" t="b">
        <v>0</v>
      </c>
      <c r="H401" s="7">
        <v>2</v>
      </c>
      <c r="I401" s="7">
        <v>2</v>
      </c>
      <c r="J401" s="7">
        <v>0.22</v>
      </c>
      <c r="K401" s="7" t="str">
        <f t="shared" si="12"/>
        <v>TUESDAY</v>
      </c>
      <c r="L401" t="str">
        <f t="shared" si="13"/>
        <v>Heavy Rain</v>
      </c>
    </row>
    <row r="402" spans="1:12" x14ac:dyDescent="0.25">
      <c r="A402" s="7">
        <v>401</v>
      </c>
      <c r="B402" s="8">
        <v>40561</v>
      </c>
      <c r="C402" s="7">
        <v>1</v>
      </c>
      <c r="D402" s="7">
        <v>0</v>
      </c>
      <c r="E402" s="7">
        <v>1</v>
      </c>
      <c r="F402" s="7">
        <v>16</v>
      </c>
      <c r="G402" s="7" t="b">
        <v>0</v>
      </c>
      <c r="H402" s="7">
        <v>2</v>
      </c>
      <c r="I402" s="7">
        <v>2</v>
      </c>
      <c r="J402" s="7">
        <v>0.22</v>
      </c>
      <c r="K402" s="7" t="str">
        <f t="shared" si="12"/>
        <v>TUESDAY</v>
      </c>
      <c r="L402" t="str">
        <f t="shared" si="13"/>
        <v>Heavy Rain</v>
      </c>
    </row>
    <row r="403" spans="1:12" x14ac:dyDescent="0.25">
      <c r="A403" s="7">
        <v>402</v>
      </c>
      <c r="B403" s="8">
        <v>40561</v>
      </c>
      <c r="C403" s="7">
        <v>1</v>
      </c>
      <c r="D403" s="7">
        <v>0</v>
      </c>
      <c r="E403" s="7">
        <v>1</v>
      </c>
      <c r="F403" s="7">
        <v>17</v>
      </c>
      <c r="G403" s="7" t="b">
        <v>0</v>
      </c>
      <c r="H403" s="7">
        <v>2</v>
      </c>
      <c r="I403" s="7">
        <v>2</v>
      </c>
      <c r="J403" s="7">
        <v>0.22</v>
      </c>
      <c r="K403" s="7" t="str">
        <f t="shared" si="12"/>
        <v>TUESDAY</v>
      </c>
      <c r="L403" t="str">
        <f t="shared" si="13"/>
        <v>Heavy Rain</v>
      </c>
    </row>
    <row r="404" spans="1:12" x14ac:dyDescent="0.25">
      <c r="A404" s="7">
        <v>403</v>
      </c>
      <c r="B404" s="8">
        <v>40561</v>
      </c>
      <c r="C404" s="7">
        <v>1</v>
      </c>
      <c r="D404" s="7">
        <v>0</v>
      </c>
      <c r="E404" s="7">
        <v>1</v>
      </c>
      <c r="F404" s="7">
        <v>18</v>
      </c>
      <c r="G404" s="7" t="b">
        <v>0</v>
      </c>
      <c r="H404" s="7">
        <v>2</v>
      </c>
      <c r="I404" s="7">
        <v>2</v>
      </c>
      <c r="J404" s="7">
        <v>0.22</v>
      </c>
      <c r="K404" s="7" t="str">
        <f t="shared" si="12"/>
        <v>TUESDAY</v>
      </c>
      <c r="L404" t="str">
        <f t="shared" si="13"/>
        <v>Heavy Rain</v>
      </c>
    </row>
    <row r="405" spans="1:12" x14ac:dyDescent="0.25">
      <c r="A405" s="7">
        <v>404</v>
      </c>
      <c r="B405" s="8">
        <v>40561</v>
      </c>
      <c r="C405" s="7">
        <v>1</v>
      </c>
      <c r="D405" s="7">
        <v>0</v>
      </c>
      <c r="E405" s="7">
        <v>1</v>
      </c>
      <c r="F405" s="7">
        <v>19</v>
      </c>
      <c r="G405" s="7" t="b">
        <v>0</v>
      </c>
      <c r="H405" s="7">
        <v>2</v>
      </c>
      <c r="I405" s="7">
        <v>2</v>
      </c>
      <c r="J405" s="7">
        <v>0.22</v>
      </c>
      <c r="K405" s="7" t="str">
        <f t="shared" si="12"/>
        <v>TUESDAY</v>
      </c>
      <c r="L405" t="str">
        <f t="shared" si="13"/>
        <v>Heavy Rain</v>
      </c>
    </row>
    <row r="406" spans="1:12" x14ac:dyDescent="0.25">
      <c r="A406" s="7">
        <v>405</v>
      </c>
      <c r="B406" s="8">
        <v>40561</v>
      </c>
      <c r="C406" s="7">
        <v>1</v>
      </c>
      <c r="D406" s="7">
        <v>0</v>
      </c>
      <c r="E406" s="7">
        <v>1</v>
      </c>
      <c r="F406" s="7">
        <v>20</v>
      </c>
      <c r="G406" s="7" t="b">
        <v>0</v>
      </c>
      <c r="H406" s="7">
        <v>2</v>
      </c>
      <c r="I406" s="7">
        <v>2</v>
      </c>
      <c r="J406" s="7">
        <v>0.22</v>
      </c>
      <c r="K406" s="7" t="str">
        <f t="shared" si="12"/>
        <v>TUESDAY</v>
      </c>
      <c r="L406" t="str">
        <f t="shared" si="13"/>
        <v>Heavy Rain</v>
      </c>
    </row>
    <row r="407" spans="1:12" x14ac:dyDescent="0.25">
      <c r="A407" s="7">
        <v>406</v>
      </c>
      <c r="B407" s="8">
        <v>40561</v>
      </c>
      <c r="C407" s="7">
        <v>1</v>
      </c>
      <c r="D407" s="7">
        <v>0</v>
      </c>
      <c r="E407" s="7">
        <v>1</v>
      </c>
      <c r="F407" s="7">
        <v>21</v>
      </c>
      <c r="G407" s="7" t="b">
        <v>0</v>
      </c>
      <c r="H407" s="7">
        <v>2</v>
      </c>
      <c r="I407" s="7">
        <v>2</v>
      </c>
      <c r="J407" s="7">
        <v>0.22</v>
      </c>
      <c r="K407" s="7" t="str">
        <f t="shared" si="12"/>
        <v>TUESDAY</v>
      </c>
      <c r="L407" t="str">
        <f t="shared" si="13"/>
        <v>Heavy Rain</v>
      </c>
    </row>
    <row r="408" spans="1:12" x14ac:dyDescent="0.25">
      <c r="A408" s="7">
        <v>407</v>
      </c>
      <c r="B408" s="8">
        <v>40561</v>
      </c>
      <c r="C408" s="7">
        <v>1</v>
      </c>
      <c r="D408" s="7">
        <v>0</v>
      </c>
      <c r="E408" s="7">
        <v>1</v>
      </c>
      <c r="F408" s="7">
        <v>22</v>
      </c>
      <c r="G408" s="7" t="b">
        <v>0</v>
      </c>
      <c r="H408" s="7">
        <v>2</v>
      </c>
      <c r="I408" s="7">
        <v>2</v>
      </c>
      <c r="J408" s="7">
        <v>0.22</v>
      </c>
      <c r="K408" s="7" t="str">
        <f t="shared" si="12"/>
        <v>TUESDAY</v>
      </c>
      <c r="L408" t="str">
        <f t="shared" si="13"/>
        <v>Heavy Rain</v>
      </c>
    </row>
    <row r="409" spans="1:12" x14ac:dyDescent="0.25">
      <c r="A409" s="7">
        <v>408</v>
      </c>
      <c r="B409" s="8">
        <v>40561</v>
      </c>
      <c r="C409" s="7">
        <v>1</v>
      </c>
      <c r="D409" s="7">
        <v>0</v>
      </c>
      <c r="E409" s="7">
        <v>1</v>
      </c>
      <c r="F409" s="7">
        <v>23</v>
      </c>
      <c r="G409" s="7" t="b">
        <v>0</v>
      </c>
      <c r="H409" s="7">
        <v>2</v>
      </c>
      <c r="I409" s="7">
        <v>2</v>
      </c>
      <c r="J409" s="7">
        <v>0.22</v>
      </c>
      <c r="K409" s="7" t="str">
        <f t="shared" si="12"/>
        <v>TUESDAY</v>
      </c>
      <c r="L409" t="str">
        <f t="shared" si="13"/>
        <v>Heavy Rain</v>
      </c>
    </row>
    <row r="410" spans="1:12" x14ac:dyDescent="0.25">
      <c r="A410" s="7">
        <v>409</v>
      </c>
      <c r="B410" s="8">
        <v>40562</v>
      </c>
      <c r="C410" s="7">
        <v>1</v>
      </c>
      <c r="D410" s="7">
        <v>0</v>
      </c>
      <c r="E410" s="7">
        <v>1</v>
      </c>
      <c r="F410" s="7">
        <v>0</v>
      </c>
      <c r="G410" s="7" t="b">
        <v>0</v>
      </c>
      <c r="H410" s="7">
        <v>3</v>
      </c>
      <c r="I410" s="7">
        <v>2</v>
      </c>
      <c r="J410" s="7">
        <v>0.22</v>
      </c>
      <c r="K410" s="7" t="str">
        <f t="shared" si="12"/>
        <v>WENESDAY</v>
      </c>
      <c r="L410" t="str">
        <f t="shared" si="13"/>
        <v>Heavy Rain</v>
      </c>
    </row>
    <row r="411" spans="1:12" x14ac:dyDescent="0.25">
      <c r="A411" s="7">
        <v>410</v>
      </c>
      <c r="B411" s="8">
        <v>40562</v>
      </c>
      <c r="C411" s="7">
        <v>1</v>
      </c>
      <c r="D411" s="7">
        <v>0</v>
      </c>
      <c r="E411" s="7">
        <v>1</v>
      </c>
      <c r="F411" s="7">
        <v>1</v>
      </c>
      <c r="G411" s="7" t="b">
        <v>0</v>
      </c>
      <c r="H411" s="7">
        <v>3</v>
      </c>
      <c r="I411" s="7">
        <v>3</v>
      </c>
      <c r="J411" s="7">
        <v>0.22</v>
      </c>
      <c r="K411" s="7" t="str">
        <f t="shared" si="12"/>
        <v>WENESDAY</v>
      </c>
      <c r="L411" t="str">
        <f t="shared" si="13"/>
        <v>Heavy Rain</v>
      </c>
    </row>
    <row r="412" spans="1:12" x14ac:dyDescent="0.25">
      <c r="A412" s="7">
        <v>411</v>
      </c>
      <c r="B412" s="8">
        <v>40562</v>
      </c>
      <c r="C412" s="7">
        <v>1</v>
      </c>
      <c r="D412" s="7">
        <v>0</v>
      </c>
      <c r="E412" s="7">
        <v>1</v>
      </c>
      <c r="F412" s="7">
        <v>2</v>
      </c>
      <c r="G412" s="7" t="b">
        <v>0</v>
      </c>
      <c r="H412" s="7">
        <v>3</v>
      </c>
      <c r="I412" s="7">
        <v>3</v>
      </c>
      <c r="J412" s="7">
        <v>0.22</v>
      </c>
      <c r="K412" s="7" t="str">
        <f t="shared" si="12"/>
        <v>WENESDAY</v>
      </c>
      <c r="L412" t="str">
        <f t="shared" si="13"/>
        <v>Heavy Rain</v>
      </c>
    </row>
    <row r="413" spans="1:12" x14ac:dyDescent="0.25">
      <c r="A413" s="7">
        <v>412</v>
      </c>
      <c r="B413" s="8">
        <v>40562</v>
      </c>
      <c r="C413" s="7">
        <v>1</v>
      </c>
      <c r="D413" s="7">
        <v>0</v>
      </c>
      <c r="E413" s="7">
        <v>1</v>
      </c>
      <c r="F413" s="7">
        <v>4</v>
      </c>
      <c r="G413" s="7" t="b">
        <v>0</v>
      </c>
      <c r="H413" s="7">
        <v>3</v>
      </c>
      <c r="I413" s="7">
        <v>3</v>
      </c>
      <c r="J413" s="7">
        <v>0.22</v>
      </c>
      <c r="K413" s="7" t="str">
        <f t="shared" si="12"/>
        <v>WENESDAY</v>
      </c>
      <c r="L413" t="str">
        <f t="shared" si="13"/>
        <v>Heavy Rain</v>
      </c>
    </row>
    <row r="414" spans="1:12" x14ac:dyDescent="0.25">
      <c r="A414" s="7">
        <v>413</v>
      </c>
      <c r="B414" s="8">
        <v>40562</v>
      </c>
      <c r="C414" s="7">
        <v>1</v>
      </c>
      <c r="D414" s="7">
        <v>0</v>
      </c>
      <c r="E414" s="7">
        <v>1</v>
      </c>
      <c r="F414" s="7">
        <v>5</v>
      </c>
      <c r="G414" s="7" t="b">
        <v>0</v>
      </c>
      <c r="H414" s="7">
        <v>3</v>
      </c>
      <c r="I414" s="7">
        <v>2</v>
      </c>
      <c r="J414" s="7">
        <v>0.22</v>
      </c>
      <c r="K414" s="7" t="str">
        <f t="shared" si="12"/>
        <v>WENESDAY</v>
      </c>
      <c r="L414" t="str">
        <f t="shared" si="13"/>
        <v>Heavy Rain</v>
      </c>
    </row>
    <row r="415" spans="1:12" x14ac:dyDescent="0.25">
      <c r="A415" s="7">
        <v>414</v>
      </c>
      <c r="B415" s="8">
        <v>40562</v>
      </c>
      <c r="C415" s="7">
        <v>1</v>
      </c>
      <c r="D415" s="7">
        <v>0</v>
      </c>
      <c r="E415" s="7">
        <v>1</v>
      </c>
      <c r="F415" s="7">
        <v>6</v>
      </c>
      <c r="G415" s="7" t="b">
        <v>0</v>
      </c>
      <c r="H415" s="7">
        <v>3</v>
      </c>
      <c r="I415" s="7">
        <v>2</v>
      </c>
      <c r="J415" s="7">
        <v>0.22</v>
      </c>
      <c r="K415" s="7" t="str">
        <f t="shared" si="12"/>
        <v>WENESDAY</v>
      </c>
      <c r="L415" t="str">
        <f t="shared" si="13"/>
        <v>Heavy Rain</v>
      </c>
    </row>
    <row r="416" spans="1:12" x14ac:dyDescent="0.25">
      <c r="A416" s="7">
        <v>415</v>
      </c>
      <c r="B416" s="8">
        <v>40562</v>
      </c>
      <c r="C416" s="7">
        <v>1</v>
      </c>
      <c r="D416" s="7">
        <v>0</v>
      </c>
      <c r="E416" s="7">
        <v>1</v>
      </c>
      <c r="F416" s="7">
        <v>7</v>
      </c>
      <c r="G416" s="7" t="b">
        <v>0</v>
      </c>
      <c r="H416" s="7">
        <v>3</v>
      </c>
      <c r="I416" s="7">
        <v>2</v>
      </c>
      <c r="J416" s="7">
        <v>0.24</v>
      </c>
      <c r="K416" s="7" t="str">
        <f t="shared" si="12"/>
        <v>WENESDAY</v>
      </c>
      <c r="L416" t="str">
        <f t="shared" si="13"/>
        <v>Heavy Rain</v>
      </c>
    </row>
    <row r="417" spans="1:12" x14ac:dyDescent="0.25">
      <c r="A417" s="7">
        <v>416</v>
      </c>
      <c r="B417" s="8">
        <v>40562</v>
      </c>
      <c r="C417" s="7">
        <v>1</v>
      </c>
      <c r="D417" s="7">
        <v>0</v>
      </c>
      <c r="E417" s="7">
        <v>1</v>
      </c>
      <c r="F417" s="7">
        <v>8</v>
      </c>
      <c r="G417" s="7" t="b">
        <v>0</v>
      </c>
      <c r="H417" s="7">
        <v>3</v>
      </c>
      <c r="I417" s="7">
        <v>2</v>
      </c>
      <c r="J417" s="7">
        <v>0.24</v>
      </c>
      <c r="K417" s="7" t="str">
        <f t="shared" si="12"/>
        <v>WENESDAY</v>
      </c>
      <c r="L417" t="str">
        <f t="shared" si="13"/>
        <v>Heavy Rain</v>
      </c>
    </row>
    <row r="418" spans="1:12" x14ac:dyDescent="0.25">
      <c r="A418" s="7">
        <v>417</v>
      </c>
      <c r="B418" s="8">
        <v>40562</v>
      </c>
      <c r="C418" s="7">
        <v>1</v>
      </c>
      <c r="D418" s="7">
        <v>0</v>
      </c>
      <c r="E418" s="7">
        <v>1</v>
      </c>
      <c r="F418" s="7">
        <v>9</v>
      </c>
      <c r="G418" s="7" t="b">
        <v>0</v>
      </c>
      <c r="H418" s="7">
        <v>3</v>
      </c>
      <c r="I418" s="7">
        <v>2</v>
      </c>
      <c r="J418" s="7">
        <v>0.24</v>
      </c>
      <c r="K418" s="7" t="str">
        <f t="shared" si="12"/>
        <v>WENESDAY</v>
      </c>
      <c r="L418" t="str">
        <f t="shared" si="13"/>
        <v>Heavy Rain</v>
      </c>
    </row>
    <row r="419" spans="1:12" x14ac:dyDescent="0.25">
      <c r="A419" s="7">
        <v>418</v>
      </c>
      <c r="B419" s="8">
        <v>40562</v>
      </c>
      <c r="C419" s="7">
        <v>1</v>
      </c>
      <c r="D419" s="7">
        <v>0</v>
      </c>
      <c r="E419" s="7">
        <v>1</v>
      </c>
      <c r="F419" s="7">
        <v>10</v>
      </c>
      <c r="G419" s="7" t="b">
        <v>0</v>
      </c>
      <c r="H419" s="7">
        <v>3</v>
      </c>
      <c r="I419" s="7">
        <v>2</v>
      </c>
      <c r="J419" s="7">
        <v>0.26</v>
      </c>
      <c r="K419" s="7" t="str">
        <f t="shared" si="12"/>
        <v>WENESDAY</v>
      </c>
      <c r="L419" t="str">
        <f t="shared" si="13"/>
        <v>Heavy Rain</v>
      </c>
    </row>
    <row r="420" spans="1:12" x14ac:dyDescent="0.25">
      <c r="A420" s="7">
        <v>419</v>
      </c>
      <c r="B420" s="8">
        <v>40562</v>
      </c>
      <c r="C420" s="7">
        <v>1</v>
      </c>
      <c r="D420" s="7">
        <v>0</v>
      </c>
      <c r="E420" s="7">
        <v>1</v>
      </c>
      <c r="F420" s="7">
        <v>11</v>
      </c>
      <c r="G420" s="7" t="b">
        <v>0</v>
      </c>
      <c r="H420" s="7">
        <v>3</v>
      </c>
      <c r="I420" s="7">
        <v>2</v>
      </c>
      <c r="J420" s="7">
        <v>0.28000000000000003</v>
      </c>
      <c r="K420" s="7" t="str">
        <f t="shared" si="12"/>
        <v>WENESDAY</v>
      </c>
      <c r="L420" t="str">
        <f t="shared" si="13"/>
        <v>Heavy Rain</v>
      </c>
    </row>
    <row r="421" spans="1:12" x14ac:dyDescent="0.25">
      <c r="A421" s="7">
        <v>420</v>
      </c>
      <c r="B421" s="8">
        <v>40562</v>
      </c>
      <c r="C421" s="7">
        <v>1</v>
      </c>
      <c r="D421" s="7">
        <v>0</v>
      </c>
      <c r="E421" s="7">
        <v>1</v>
      </c>
      <c r="F421" s="7">
        <v>12</v>
      </c>
      <c r="G421" s="7" t="b">
        <v>0</v>
      </c>
      <c r="H421" s="7">
        <v>3</v>
      </c>
      <c r="I421" s="7">
        <v>2</v>
      </c>
      <c r="J421" s="7">
        <v>0.3</v>
      </c>
      <c r="K421" s="7" t="str">
        <f t="shared" si="12"/>
        <v>WENESDAY</v>
      </c>
      <c r="L421" t="str">
        <f t="shared" si="13"/>
        <v>Heavy Rain</v>
      </c>
    </row>
    <row r="422" spans="1:12" x14ac:dyDescent="0.25">
      <c r="A422" s="7">
        <v>421</v>
      </c>
      <c r="B422" s="8">
        <v>40562</v>
      </c>
      <c r="C422" s="7">
        <v>1</v>
      </c>
      <c r="D422" s="7">
        <v>0</v>
      </c>
      <c r="E422" s="7">
        <v>1</v>
      </c>
      <c r="F422" s="7">
        <v>13</v>
      </c>
      <c r="G422" s="7" t="b">
        <v>0</v>
      </c>
      <c r="H422" s="7">
        <v>3</v>
      </c>
      <c r="I422" s="7">
        <v>1</v>
      </c>
      <c r="J422" s="7">
        <v>0.4</v>
      </c>
      <c r="K422" s="7" t="str">
        <f t="shared" si="12"/>
        <v>WENESDAY</v>
      </c>
      <c r="L422" t="str">
        <f t="shared" si="13"/>
        <v>Heavy Rain</v>
      </c>
    </row>
    <row r="423" spans="1:12" x14ac:dyDescent="0.25">
      <c r="A423" s="7">
        <v>422</v>
      </c>
      <c r="B423" s="8">
        <v>40562</v>
      </c>
      <c r="C423" s="7">
        <v>1</v>
      </c>
      <c r="D423" s="7">
        <v>0</v>
      </c>
      <c r="E423" s="7">
        <v>1</v>
      </c>
      <c r="F423" s="7">
        <v>14</v>
      </c>
      <c r="G423" s="7" t="b">
        <v>0</v>
      </c>
      <c r="H423" s="7">
        <v>3</v>
      </c>
      <c r="I423" s="7">
        <v>1</v>
      </c>
      <c r="J423" s="7">
        <v>0.4</v>
      </c>
      <c r="K423" s="7" t="str">
        <f t="shared" si="12"/>
        <v>WENESDAY</v>
      </c>
      <c r="L423" t="str">
        <f t="shared" si="13"/>
        <v>Heavy Rain</v>
      </c>
    </row>
    <row r="424" spans="1:12" x14ac:dyDescent="0.25">
      <c r="A424" s="7">
        <v>423</v>
      </c>
      <c r="B424" s="8">
        <v>40562</v>
      </c>
      <c r="C424" s="7">
        <v>1</v>
      </c>
      <c r="D424" s="7">
        <v>0</v>
      </c>
      <c r="E424" s="7">
        <v>1</v>
      </c>
      <c r="F424" s="7">
        <v>15</v>
      </c>
      <c r="G424" s="7" t="b">
        <v>0</v>
      </c>
      <c r="H424" s="7">
        <v>3</v>
      </c>
      <c r="I424" s="7">
        <v>1</v>
      </c>
      <c r="J424" s="7">
        <v>0.4</v>
      </c>
      <c r="K424" s="7" t="str">
        <f t="shared" si="12"/>
        <v>WENESDAY</v>
      </c>
      <c r="L424" t="str">
        <f t="shared" si="13"/>
        <v>Heavy Rain</v>
      </c>
    </row>
    <row r="425" spans="1:12" x14ac:dyDescent="0.25">
      <c r="A425" s="7">
        <v>424</v>
      </c>
      <c r="B425" s="8">
        <v>40562</v>
      </c>
      <c r="C425" s="7">
        <v>1</v>
      </c>
      <c r="D425" s="7">
        <v>0</v>
      </c>
      <c r="E425" s="7">
        <v>1</v>
      </c>
      <c r="F425" s="7">
        <v>16</v>
      </c>
      <c r="G425" s="7" t="b">
        <v>0</v>
      </c>
      <c r="H425" s="7">
        <v>3</v>
      </c>
      <c r="I425" s="7">
        <v>1</v>
      </c>
      <c r="J425" s="7">
        <v>0.38</v>
      </c>
      <c r="K425" s="7" t="str">
        <f t="shared" si="12"/>
        <v>WENESDAY</v>
      </c>
      <c r="L425" t="str">
        <f t="shared" si="13"/>
        <v>Heavy Rain</v>
      </c>
    </row>
    <row r="426" spans="1:12" x14ac:dyDescent="0.25">
      <c r="A426" s="7">
        <v>425</v>
      </c>
      <c r="B426" s="8">
        <v>40562</v>
      </c>
      <c r="C426" s="7">
        <v>1</v>
      </c>
      <c r="D426" s="7">
        <v>0</v>
      </c>
      <c r="E426" s="7">
        <v>1</v>
      </c>
      <c r="F426" s="7">
        <v>17</v>
      </c>
      <c r="G426" s="7" t="b">
        <v>0</v>
      </c>
      <c r="H426" s="7">
        <v>3</v>
      </c>
      <c r="I426" s="7">
        <v>1</v>
      </c>
      <c r="J426" s="7">
        <v>0.36</v>
      </c>
      <c r="K426" s="7" t="str">
        <f t="shared" si="12"/>
        <v>WENESDAY</v>
      </c>
      <c r="L426" t="str">
        <f t="shared" si="13"/>
        <v>Heavy Rain</v>
      </c>
    </row>
    <row r="427" spans="1:12" x14ac:dyDescent="0.25">
      <c r="A427" s="7">
        <v>426</v>
      </c>
      <c r="B427" s="8">
        <v>40562</v>
      </c>
      <c r="C427" s="7">
        <v>1</v>
      </c>
      <c r="D427" s="7">
        <v>0</v>
      </c>
      <c r="E427" s="7">
        <v>1</v>
      </c>
      <c r="F427" s="7">
        <v>18</v>
      </c>
      <c r="G427" s="7" t="b">
        <v>0</v>
      </c>
      <c r="H427" s="7">
        <v>3</v>
      </c>
      <c r="I427" s="7">
        <v>1</v>
      </c>
      <c r="J427" s="7">
        <v>0.34</v>
      </c>
      <c r="K427" s="7" t="str">
        <f t="shared" si="12"/>
        <v>WENESDAY</v>
      </c>
      <c r="L427" t="str">
        <f t="shared" si="13"/>
        <v>Heavy Rain</v>
      </c>
    </row>
    <row r="428" spans="1:12" x14ac:dyDescent="0.25">
      <c r="A428" s="7">
        <v>427</v>
      </c>
      <c r="B428" s="8">
        <v>40562</v>
      </c>
      <c r="C428" s="7">
        <v>1</v>
      </c>
      <c r="D428" s="7">
        <v>0</v>
      </c>
      <c r="E428" s="7">
        <v>1</v>
      </c>
      <c r="F428" s="7">
        <v>19</v>
      </c>
      <c r="G428" s="7" t="b">
        <v>0</v>
      </c>
      <c r="H428" s="7">
        <v>3</v>
      </c>
      <c r="I428" s="7">
        <v>1</v>
      </c>
      <c r="J428" s="7">
        <v>0.32</v>
      </c>
      <c r="K428" s="7" t="str">
        <f t="shared" si="12"/>
        <v>WENESDAY</v>
      </c>
      <c r="L428" t="str">
        <f t="shared" si="13"/>
        <v>Heavy Rain</v>
      </c>
    </row>
    <row r="429" spans="1:12" x14ac:dyDescent="0.25">
      <c r="A429" s="7">
        <v>428</v>
      </c>
      <c r="B429" s="8">
        <v>40562</v>
      </c>
      <c r="C429" s="7">
        <v>1</v>
      </c>
      <c r="D429" s="7">
        <v>0</v>
      </c>
      <c r="E429" s="7">
        <v>1</v>
      </c>
      <c r="F429" s="7">
        <v>20</v>
      </c>
      <c r="G429" s="7" t="b">
        <v>0</v>
      </c>
      <c r="H429" s="7">
        <v>3</v>
      </c>
      <c r="I429" s="7">
        <v>1</v>
      </c>
      <c r="J429" s="7">
        <v>0.32</v>
      </c>
      <c r="K429" s="7" t="str">
        <f t="shared" si="12"/>
        <v>WENESDAY</v>
      </c>
      <c r="L429" t="str">
        <f t="shared" si="13"/>
        <v>Heavy Rain</v>
      </c>
    </row>
    <row r="430" spans="1:12" x14ac:dyDescent="0.25">
      <c r="A430" s="7">
        <v>429</v>
      </c>
      <c r="B430" s="8">
        <v>40562</v>
      </c>
      <c r="C430" s="7">
        <v>1</v>
      </c>
      <c r="D430" s="7">
        <v>0</v>
      </c>
      <c r="E430" s="7">
        <v>1</v>
      </c>
      <c r="F430" s="7">
        <v>21</v>
      </c>
      <c r="G430" s="7" t="b">
        <v>0</v>
      </c>
      <c r="H430" s="7">
        <v>3</v>
      </c>
      <c r="I430" s="7">
        <v>1</v>
      </c>
      <c r="J430" s="7">
        <v>0.32</v>
      </c>
      <c r="K430" s="7" t="str">
        <f t="shared" si="12"/>
        <v>WENESDAY</v>
      </c>
      <c r="L430" t="str">
        <f t="shared" si="13"/>
        <v>Heavy Rain</v>
      </c>
    </row>
    <row r="431" spans="1:12" x14ac:dyDescent="0.25">
      <c r="A431" s="7">
        <v>430</v>
      </c>
      <c r="B431" s="8">
        <v>40562</v>
      </c>
      <c r="C431" s="7">
        <v>1</v>
      </c>
      <c r="D431" s="7">
        <v>0</v>
      </c>
      <c r="E431" s="7">
        <v>1</v>
      </c>
      <c r="F431" s="7">
        <v>22</v>
      </c>
      <c r="G431" s="7" t="b">
        <v>0</v>
      </c>
      <c r="H431" s="7">
        <v>3</v>
      </c>
      <c r="I431" s="7">
        <v>1</v>
      </c>
      <c r="J431" s="7">
        <v>0.3</v>
      </c>
      <c r="K431" s="7" t="str">
        <f t="shared" si="12"/>
        <v>WENESDAY</v>
      </c>
      <c r="L431" t="str">
        <f t="shared" si="13"/>
        <v>Heavy Rain</v>
      </c>
    </row>
    <row r="432" spans="1:12" x14ac:dyDescent="0.25">
      <c r="A432" s="7">
        <v>431</v>
      </c>
      <c r="B432" s="8">
        <v>40562</v>
      </c>
      <c r="C432" s="7">
        <v>1</v>
      </c>
      <c r="D432" s="7">
        <v>0</v>
      </c>
      <c r="E432" s="7">
        <v>1</v>
      </c>
      <c r="F432" s="7">
        <v>23</v>
      </c>
      <c r="G432" s="7" t="b">
        <v>0</v>
      </c>
      <c r="H432" s="7">
        <v>3</v>
      </c>
      <c r="I432" s="7">
        <v>1</v>
      </c>
      <c r="J432" s="7">
        <v>0.3</v>
      </c>
      <c r="K432" s="7" t="str">
        <f t="shared" si="12"/>
        <v>WENESDAY</v>
      </c>
      <c r="L432" t="str">
        <f t="shared" si="13"/>
        <v>Heavy Rain</v>
      </c>
    </row>
    <row r="433" spans="1:12" x14ac:dyDescent="0.25">
      <c r="A433" s="7">
        <v>432</v>
      </c>
      <c r="B433" s="8">
        <v>40563</v>
      </c>
      <c r="C433" s="7">
        <v>1</v>
      </c>
      <c r="D433" s="7">
        <v>0</v>
      </c>
      <c r="E433" s="7">
        <v>1</v>
      </c>
      <c r="F433" s="7">
        <v>0</v>
      </c>
      <c r="G433" s="7" t="b">
        <v>0</v>
      </c>
      <c r="H433" s="7">
        <v>4</v>
      </c>
      <c r="I433" s="7">
        <v>1</v>
      </c>
      <c r="J433" s="7">
        <v>0.26</v>
      </c>
      <c r="K433" s="7" t="str">
        <f t="shared" si="12"/>
        <v>THUSDAY</v>
      </c>
      <c r="L433" t="str">
        <f t="shared" si="13"/>
        <v>Heavy Rain</v>
      </c>
    </row>
    <row r="434" spans="1:12" x14ac:dyDescent="0.25">
      <c r="A434" s="7">
        <v>433</v>
      </c>
      <c r="B434" s="8">
        <v>40563</v>
      </c>
      <c r="C434" s="7">
        <v>1</v>
      </c>
      <c r="D434" s="7">
        <v>0</v>
      </c>
      <c r="E434" s="7">
        <v>1</v>
      </c>
      <c r="F434" s="7">
        <v>1</v>
      </c>
      <c r="G434" s="7" t="b">
        <v>0</v>
      </c>
      <c r="H434" s="7">
        <v>4</v>
      </c>
      <c r="I434" s="7">
        <v>1</v>
      </c>
      <c r="J434" s="7">
        <v>0.26</v>
      </c>
      <c r="K434" s="7" t="str">
        <f t="shared" si="12"/>
        <v>THUSDAY</v>
      </c>
      <c r="L434" t="str">
        <f t="shared" si="13"/>
        <v>Heavy Rain</v>
      </c>
    </row>
    <row r="435" spans="1:12" x14ac:dyDescent="0.25">
      <c r="A435" s="7">
        <v>434</v>
      </c>
      <c r="B435" s="8">
        <v>40563</v>
      </c>
      <c r="C435" s="7">
        <v>1</v>
      </c>
      <c r="D435" s="7">
        <v>0</v>
      </c>
      <c r="E435" s="7">
        <v>1</v>
      </c>
      <c r="F435" s="7">
        <v>2</v>
      </c>
      <c r="G435" s="7" t="b">
        <v>0</v>
      </c>
      <c r="H435" s="7">
        <v>4</v>
      </c>
      <c r="I435" s="7">
        <v>1</v>
      </c>
      <c r="J435" s="7">
        <v>0.26</v>
      </c>
      <c r="K435" s="7" t="str">
        <f t="shared" si="12"/>
        <v>THUSDAY</v>
      </c>
      <c r="L435" t="str">
        <f t="shared" si="13"/>
        <v>Heavy Rain</v>
      </c>
    </row>
    <row r="436" spans="1:12" x14ac:dyDescent="0.25">
      <c r="A436" s="7">
        <v>435</v>
      </c>
      <c r="B436" s="8">
        <v>40563</v>
      </c>
      <c r="C436" s="7">
        <v>1</v>
      </c>
      <c r="D436" s="7">
        <v>0</v>
      </c>
      <c r="E436" s="7">
        <v>1</v>
      </c>
      <c r="F436" s="7">
        <v>3</v>
      </c>
      <c r="G436" s="7" t="b">
        <v>0</v>
      </c>
      <c r="H436" s="7">
        <v>4</v>
      </c>
      <c r="I436" s="7">
        <v>1</v>
      </c>
      <c r="J436" s="7">
        <v>0.26</v>
      </c>
      <c r="K436" s="7" t="str">
        <f t="shared" si="12"/>
        <v>THUSDAY</v>
      </c>
      <c r="L436" t="str">
        <f t="shared" si="13"/>
        <v>Heavy Rain</v>
      </c>
    </row>
    <row r="437" spans="1:12" x14ac:dyDescent="0.25">
      <c r="A437" s="7">
        <v>436</v>
      </c>
      <c r="B437" s="8">
        <v>40563</v>
      </c>
      <c r="C437" s="7">
        <v>1</v>
      </c>
      <c r="D437" s="7">
        <v>0</v>
      </c>
      <c r="E437" s="7">
        <v>1</v>
      </c>
      <c r="F437" s="7">
        <v>4</v>
      </c>
      <c r="G437" s="7" t="b">
        <v>0</v>
      </c>
      <c r="H437" s="7">
        <v>4</v>
      </c>
      <c r="I437" s="7">
        <v>1</v>
      </c>
      <c r="J437" s="7">
        <v>0.26</v>
      </c>
      <c r="K437" s="7" t="str">
        <f t="shared" si="12"/>
        <v>THUSDAY</v>
      </c>
      <c r="L437" t="str">
        <f t="shared" si="13"/>
        <v>Heavy Rain</v>
      </c>
    </row>
    <row r="438" spans="1:12" x14ac:dyDescent="0.25">
      <c r="A438" s="7">
        <v>437</v>
      </c>
      <c r="B438" s="8">
        <v>40563</v>
      </c>
      <c r="C438" s="7">
        <v>1</v>
      </c>
      <c r="D438" s="7">
        <v>0</v>
      </c>
      <c r="E438" s="7">
        <v>1</v>
      </c>
      <c r="F438" s="7">
        <v>5</v>
      </c>
      <c r="G438" s="7" t="b">
        <v>0</v>
      </c>
      <c r="H438" s="7">
        <v>4</v>
      </c>
      <c r="I438" s="7">
        <v>1</v>
      </c>
      <c r="J438" s="7">
        <v>0.24</v>
      </c>
      <c r="K438" s="7" t="str">
        <f t="shared" si="12"/>
        <v>THUSDAY</v>
      </c>
      <c r="L438" t="str">
        <f t="shared" si="13"/>
        <v>Heavy Rain</v>
      </c>
    </row>
    <row r="439" spans="1:12" x14ac:dyDescent="0.25">
      <c r="A439" s="7">
        <v>438</v>
      </c>
      <c r="B439" s="8">
        <v>40563</v>
      </c>
      <c r="C439" s="7">
        <v>1</v>
      </c>
      <c r="D439" s="7">
        <v>0</v>
      </c>
      <c r="E439" s="7">
        <v>1</v>
      </c>
      <c r="F439" s="7">
        <v>6</v>
      </c>
      <c r="G439" s="7" t="b">
        <v>0</v>
      </c>
      <c r="H439" s="7">
        <v>4</v>
      </c>
      <c r="I439" s="7">
        <v>1</v>
      </c>
      <c r="J439" s="7">
        <v>0.22</v>
      </c>
      <c r="K439" s="7" t="str">
        <f t="shared" si="12"/>
        <v>THUSDAY</v>
      </c>
      <c r="L439" t="str">
        <f t="shared" si="13"/>
        <v>Heavy Rain</v>
      </c>
    </row>
    <row r="440" spans="1:12" x14ac:dyDescent="0.25">
      <c r="A440" s="7">
        <v>439</v>
      </c>
      <c r="B440" s="8">
        <v>40563</v>
      </c>
      <c r="C440" s="7">
        <v>1</v>
      </c>
      <c r="D440" s="7">
        <v>0</v>
      </c>
      <c r="E440" s="7">
        <v>1</v>
      </c>
      <c r="F440" s="7">
        <v>7</v>
      </c>
      <c r="G440" s="7" t="b">
        <v>0</v>
      </c>
      <c r="H440" s="7">
        <v>4</v>
      </c>
      <c r="I440" s="7">
        <v>1</v>
      </c>
      <c r="J440" s="7">
        <v>0.22</v>
      </c>
      <c r="K440" s="7" t="str">
        <f t="shared" si="12"/>
        <v>THUSDAY</v>
      </c>
      <c r="L440" t="str">
        <f t="shared" si="13"/>
        <v>Heavy Rain</v>
      </c>
    </row>
    <row r="441" spans="1:12" x14ac:dyDescent="0.25">
      <c r="A441" s="7">
        <v>440</v>
      </c>
      <c r="B441" s="8">
        <v>40563</v>
      </c>
      <c r="C441" s="7">
        <v>1</v>
      </c>
      <c r="D441" s="7">
        <v>0</v>
      </c>
      <c r="E441" s="7">
        <v>1</v>
      </c>
      <c r="F441" s="7">
        <v>8</v>
      </c>
      <c r="G441" s="7" t="b">
        <v>0</v>
      </c>
      <c r="H441" s="7">
        <v>4</v>
      </c>
      <c r="I441" s="7">
        <v>1</v>
      </c>
      <c r="J441" s="7">
        <v>0.22</v>
      </c>
      <c r="K441" s="7" t="str">
        <f t="shared" si="12"/>
        <v>THUSDAY</v>
      </c>
      <c r="L441" t="str">
        <f t="shared" si="13"/>
        <v>Heavy Rain</v>
      </c>
    </row>
    <row r="442" spans="1:12" x14ac:dyDescent="0.25">
      <c r="A442" s="7">
        <v>441</v>
      </c>
      <c r="B442" s="8">
        <v>40563</v>
      </c>
      <c r="C442" s="7">
        <v>1</v>
      </c>
      <c r="D442" s="7">
        <v>0</v>
      </c>
      <c r="E442" s="7">
        <v>1</v>
      </c>
      <c r="F442" s="7">
        <v>9</v>
      </c>
      <c r="G442" s="7" t="b">
        <v>0</v>
      </c>
      <c r="H442" s="7">
        <v>4</v>
      </c>
      <c r="I442" s="7">
        <v>2</v>
      </c>
      <c r="J442" s="7">
        <v>0.24</v>
      </c>
      <c r="K442" s="7" t="str">
        <f t="shared" si="12"/>
        <v>THUSDAY</v>
      </c>
      <c r="L442" t="str">
        <f t="shared" si="13"/>
        <v>Heavy Rain</v>
      </c>
    </row>
    <row r="443" spans="1:12" x14ac:dyDescent="0.25">
      <c r="A443" s="7">
        <v>442</v>
      </c>
      <c r="B443" s="8">
        <v>40563</v>
      </c>
      <c r="C443" s="7">
        <v>1</v>
      </c>
      <c r="D443" s="7">
        <v>0</v>
      </c>
      <c r="E443" s="7">
        <v>1</v>
      </c>
      <c r="F443" s="7">
        <v>10</v>
      </c>
      <c r="G443" s="7" t="b">
        <v>0</v>
      </c>
      <c r="H443" s="7">
        <v>4</v>
      </c>
      <c r="I443" s="7">
        <v>1</v>
      </c>
      <c r="J443" s="7">
        <v>0.26</v>
      </c>
      <c r="K443" s="7" t="str">
        <f t="shared" si="12"/>
        <v>THUSDAY</v>
      </c>
      <c r="L443" t="str">
        <f t="shared" si="13"/>
        <v>Heavy Rain</v>
      </c>
    </row>
    <row r="444" spans="1:12" x14ac:dyDescent="0.25">
      <c r="A444" s="7">
        <v>443</v>
      </c>
      <c r="B444" s="8">
        <v>40563</v>
      </c>
      <c r="C444" s="7">
        <v>1</v>
      </c>
      <c r="D444" s="7">
        <v>0</v>
      </c>
      <c r="E444" s="7">
        <v>1</v>
      </c>
      <c r="F444" s="7">
        <v>11</v>
      </c>
      <c r="G444" s="7" t="b">
        <v>0</v>
      </c>
      <c r="H444" s="7">
        <v>4</v>
      </c>
      <c r="I444" s="7">
        <v>2</v>
      </c>
      <c r="J444" s="7">
        <v>0.28000000000000003</v>
      </c>
      <c r="K444" s="7" t="str">
        <f t="shared" si="12"/>
        <v>THUSDAY</v>
      </c>
      <c r="L444" t="str">
        <f t="shared" si="13"/>
        <v>Heavy Rain</v>
      </c>
    </row>
    <row r="445" spans="1:12" x14ac:dyDescent="0.25">
      <c r="A445" s="7">
        <v>444</v>
      </c>
      <c r="B445" s="8">
        <v>40563</v>
      </c>
      <c r="C445" s="7">
        <v>1</v>
      </c>
      <c r="D445" s="7">
        <v>0</v>
      </c>
      <c r="E445" s="7">
        <v>1</v>
      </c>
      <c r="F445" s="7">
        <v>12</v>
      </c>
      <c r="G445" s="7" t="b">
        <v>0</v>
      </c>
      <c r="H445" s="7">
        <v>4</v>
      </c>
      <c r="I445" s="7">
        <v>2</v>
      </c>
      <c r="J445" s="7">
        <v>0.3</v>
      </c>
      <c r="K445" s="7" t="str">
        <f t="shared" si="12"/>
        <v>THUSDAY</v>
      </c>
      <c r="L445" t="str">
        <f t="shared" si="13"/>
        <v>Heavy Rain</v>
      </c>
    </row>
    <row r="446" spans="1:12" x14ac:dyDescent="0.25">
      <c r="A446" s="7">
        <v>445</v>
      </c>
      <c r="B446" s="8">
        <v>40563</v>
      </c>
      <c r="C446" s="7">
        <v>1</v>
      </c>
      <c r="D446" s="7">
        <v>0</v>
      </c>
      <c r="E446" s="7">
        <v>1</v>
      </c>
      <c r="F446" s="7">
        <v>13</v>
      </c>
      <c r="G446" s="7" t="b">
        <v>0</v>
      </c>
      <c r="H446" s="7">
        <v>4</v>
      </c>
      <c r="I446" s="7">
        <v>2</v>
      </c>
      <c r="J446" s="7">
        <v>0.28000000000000003</v>
      </c>
      <c r="K446" s="7" t="str">
        <f t="shared" si="12"/>
        <v>THUSDAY</v>
      </c>
      <c r="L446" t="str">
        <f t="shared" si="13"/>
        <v>Heavy Rain</v>
      </c>
    </row>
    <row r="447" spans="1:12" x14ac:dyDescent="0.25">
      <c r="A447" s="7">
        <v>446</v>
      </c>
      <c r="B447" s="8">
        <v>40563</v>
      </c>
      <c r="C447" s="7">
        <v>1</v>
      </c>
      <c r="D447" s="7">
        <v>0</v>
      </c>
      <c r="E447" s="7">
        <v>1</v>
      </c>
      <c r="F447" s="7">
        <v>14</v>
      </c>
      <c r="G447" s="7" t="b">
        <v>0</v>
      </c>
      <c r="H447" s="7">
        <v>4</v>
      </c>
      <c r="I447" s="7">
        <v>2</v>
      </c>
      <c r="J447" s="7">
        <v>0.3</v>
      </c>
      <c r="K447" s="7" t="str">
        <f t="shared" si="12"/>
        <v>THUSDAY</v>
      </c>
      <c r="L447" t="str">
        <f t="shared" si="13"/>
        <v>Heavy Rain</v>
      </c>
    </row>
    <row r="448" spans="1:12" x14ac:dyDescent="0.25">
      <c r="A448" s="7">
        <v>447</v>
      </c>
      <c r="B448" s="8">
        <v>40563</v>
      </c>
      <c r="C448" s="7">
        <v>1</v>
      </c>
      <c r="D448" s="7">
        <v>0</v>
      </c>
      <c r="E448" s="7">
        <v>1</v>
      </c>
      <c r="F448" s="7">
        <v>15</v>
      </c>
      <c r="G448" s="7" t="b">
        <v>0</v>
      </c>
      <c r="H448" s="7">
        <v>4</v>
      </c>
      <c r="I448" s="7">
        <v>2</v>
      </c>
      <c r="J448" s="7">
        <v>0.32</v>
      </c>
      <c r="K448" s="7" t="str">
        <f t="shared" si="12"/>
        <v>THUSDAY</v>
      </c>
      <c r="L448" t="str">
        <f t="shared" si="13"/>
        <v>Heavy Rain</v>
      </c>
    </row>
    <row r="449" spans="1:12" x14ac:dyDescent="0.25">
      <c r="A449" s="7">
        <v>448</v>
      </c>
      <c r="B449" s="8">
        <v>40563</v>
      </c>
      <c r="C449" s="7">
        <v>1</v>
      </c>
      <c r="D449" s="7">
        <v>0</v>
      </c>
      <c r="E449" s="7">
        <v>1</v>
      </c>
      <c r="F449" s="7">
        <v>16</v>
      </c>
      <c r="G449" s="7" t="b">
        <v>0</v>
      </c>
      <c r="H449" s="7">
        <v>4</v>
      </c>
      <c r="I449" s="7">
        <v>2</v>
      </c>
      <c r="J449" s="7">
        <v>0.3</v>
      </c>
      <c r="K449" s="7" t="str">
        <f t="shared" si="12"/>
        <v>THUSDAY</v>
      </c>
      <c r="L449" t="str">
        <f t="shared" si="13"/>
        <v>Heavy Rain</v>
      </c>
    </row>
    <row r="450" spans="1:12" x14ac:dyDescent="0.25">
      <c r="A450" s="7">
        <v>449</v>
      </c>
      <c r="B450" s="8">
        <v>40563</v>
      </c>
      <c r="C450" s="7">
        <v>1</v>
      </c>
      <c r="D450" s="7">
        <v>0</v>
      </c>
      <c r="E450" s="7">
        <v>1</v>
      </c>
      <c r="F450" s="7">
        <v>17</v>
      </c>
      <c r="G450" s="7" t="b">
        <v>0</v>
      </c>
      <c r="H450" s="7">
        <v>4</v>
      </c>
      <c r="I450" s="7">
        <v>2</v>
      </c>
      <c r="J450" s="7">
        <v>0.3</v>
      </c>
      <c r="K450" s="7" t="str">
        <f t="shared" ref="K450:K513" si="14">CHOOSE(H450+1, "SUNDAY", "MONDAY","TUESDAY", "WENESDAY","THUSDAY", "FRIDAY", "SATARDAY")</f>
        <v>THUSDAY</v>
      </c>
      <c r="L450" t="str">
        <f t="shared" ref="L450:L513" si="15">IF(A450=1,"Clear",IF(A450=2,"Mist",IF(A450=3,"Light Rain/Snow","Heavy Rain")))</f>
        <v>Heavy Rain</v>
      </c>
    </row>
    <row r="451" spans="1:12" x14ac:dyDescent="0.25">
      <c r="A451" s="7">
        <v>450</v>
      </c>
      <c r="B451" s="8">
        <v>40563</v>
      </c>
      <c r="C451" s="7">
        <v>1</v>
      </c>
      <c r="D451" s="7">
        <v>0</v>
      </c>
      <c r="E451" s="7">
        <v>1</v>
      </c>
      <c r="F451" s="7">
        <v>18</v>
      </c>
      <c r="G451" s="7" t="b">
        <v>0</v>
      </c>
      <c r="H451" s="7">
        <v>4</v>
      </c>
      <c r="I451" s="7">
        <v>2</v>
      </c>
      <c r="J451" s="7">
        <v>0.26</v>
      </c>
      <c r="K451" s="7" t="str">
        <f t="shared" si="14"/>
        <v>THUSDAY</v>
      </c>
      <c r="L451" t="str">
        <f t="shared" si="15"/>
        <v>Heavy Rain</v>
      </c>
    </row>
    <row r="452" spans="1:12" x14ac:dyDescent="0.25">
      <c r="A452" s="7">
        <v>451</v>
      </c>
      <c r="B452" s="8">
        <v>40563</v>
      </c>
      <c r="C452" s="7">
        <v>1</v>
      </c>
      <c r="D452" s="7">
        <v>0</v>
      </c>
      <c r="E452" s="7">
        <v>1</v>
      </c>
      <c r="F452" s="7">
        <v>19</v>
      </c>
      <c r="G452" s="7" t="b">
        <v>0</v>
      </c>
      <c r="H452" s="7">
        <v>4</v>
      </c>
      <c r="I452" s="7">
        <v>1</v>
      </c>
      <c r="J452" s="7">
        <v>0.26</v>
      </c>
      <c r="K452" s="7" t="str">
        <f t="shared" si="14"/>
        <v>THUSDAY</v>
      </c>
      <c r="L452" t="str">
        <f t="shared" si="15"/>
        <v>Heavy Rain</v>
      </c>
    </row>
    <row r="453" spans="1:12" x14ac:dyDescent="0.25">
      <c r="A453" s="7">
        <v>452</v>
      </c>
      <c r="B453" s="8">
        <v>40563</v>
      </c>
      <c r="C453" s="7">
        <v>1</v>
      </c>
      <c r="D453" s="7">
        <v>0</v>
      </c>
      <c r="E453" s="7">
        <v>1</v>
      </c>
      <c r="F453" s="7">
        <v>20</v>
      </c>
      <c r="G453" s="7" t="b">
        <v>0</v>
      </c>
      <c r="H453" s="7">
        <v>4</v>
      </c>
      <c r="I453" s="7">
        <v>2</v>
      </c>
      <c r="J453" s="7">
        <v>0.26</v>
      </c>
      <c r="K453" s="7" t="str">
        <f t="shared" si="14"/>
        <v>THUSDAY</v>
      </c>
      <c r="L453" t="str">
        <f t="shared" si="15"/>
        <v>Heavy Rain</v>
      </c>
    </row>
    <row r="454" spans="1:12" x14ac:dyDescent="0.25">
      <c r="A454" s="7">
        <v>453</v>
      </c>
      <c r="B454" s="8">
        <v>40563</v>
      </c>
      <c r="C454" s="7">
        <v>1</v>
      </c>
      <c r="D454" s="7">
        <v>0</v>
      </c>
      <c r="E454" s="7">
        <v>1</v>
      </c>
      <c r="F454" s="7">
        <v>21</v>
      </c>
      <c r="G454" s="7" t="b">
        <v>0</v>
      </c>
      <c r="H454" s="7">
        <v>4</v>
      </c>
      <c r="I454" s="7">
        <v>2</v>
      </c>
      <c r="J454" s="7">
        <v>0.24</v>
      </c>
      <c r="K454" s="7" t="str">
        <f t="shared" si="14"/>
        <v>THUSDAY</v>
      </c>
      <c r="L454" t="str">
        <f t="shared" si="15"/>
        <v>Heavy Rain</v>
      </c>
    </row>
    <row r="455" spans="1:12" x14ac:dyDescent="0.25">
      <c r="A455" s="7">
        <v>454</v>
      </c>
      <c r="B455" s="8">
        <v>40563</v>
      </c>
      <c r="C455" s="7">
        <v>1</v>
      </c>
      <c r="D455" s="7">
        <v>0</v>
      </c>
      <c r="E455" s="7">
        <v>1</v>
      </c>
      <c r="F455" s="7">
        <v>22</v>
      </c>
      <c r="G455" s="7" t="b">
        <v>0</v>
      </c>
      <c r="H455" s="7">
        <v>4</v>
      </c>
      <c r="I455" s="7">
        <v>2</v>
      </c>
      <c r="J455" s="7">
        <v>0.24</v>
      </c>
      <c r="K455" s="7" t="str">
        <f t="shared" si="14"/>
        <v>THUSDAY</v>
      </c>
      <c r="L455" t="str">
        <f t="shared" si="15"/>
        <v>Heavy Rain</v>
      </c>
    </row>
    <row r="456" spans="1:12" x14ac:dyDescent="0.25">
      <c r="A456" s="7">
        <v>455</v>
      </c>
      <c r="B456" s="8">
        <v>40563</v>
      </c>
      <c r="C456" s="7">
        <v>1</v>
      </c>
      <c r="D456" s="7">
        <v>0</v>
      </c>
      <c r="E456" s="7">
        <v>1</v>
      </c>
      <c r="F456" s="7">
        <v>23</v>
      </c>
      <c r="G456" s="7" t="b">
        <v>0</v>
      </c>
      <c r="H456" s="7">
        <v>4</v>
      </c>
      <c r="I456" s="7">
        <v>2</v>
      </c>
      <c r="J456" s="7">
        <v>0.24</v>
      </c>
      <c r="K456" s="7" t="str">
        <f t="shared" si="14"/>
        <v>THUSDAY</v>
      </c>
      <c r="L456" t="str">
        <f t="shared" si="15"/>
        <v>Heavy Rain</v>
      </c>
    </row>
    <row r="457" spans="1:12" x14ac:dyDescent="0.25">
      <c r="A457" s="7">
        <v>456</v>
      </c>
      <c r="B457" s="8">
        <v>40564</v>
      </c>
      <c r="C457" s="7">
        <v>1</v>
      </c>
      <c r="D457" s="7">
        <v>0</v>
      </c>
      <c r="E457" s="7">
        <v>1</v>
      </c>
      <c r="F457" s="7">
        <v>0</v>
      </c>
      <c r="G457" s="7" t="b">
        <v>0</v>
      </c>
      <c r="H457" s="7">
        <v>5</v>
      </c>
      <c r="I457" s="7">
        <v>2</v>
      </c>
      <c r="J457" s="7">
        <v>0.24</v>
      </c>
      <c r="K457" s="7" t="str">
        <f t="shared" si="14"/>
        <v>FRIDAY</v>
      </c>
      <c r="L457" t="str">
        <f t="shared" si="15"/>
        <v>Heavy Rain</v>
      </c>
    </row>
    <row r="458" spans="1:12" x14ac:dyDescent="0.25">
      <c r="A458" s="7">
        <v>457</v>
      </c>
      <c r="B458" s="8">
        <v>40564</v>
      </c>
      <c r="C458" s="7">
        <v>1</v>
      </c>
      <c r="D458" s="7">
        <v>0</v>
      </c>
      <c r="E458" s="7">
        <v>1</v>
      </c>
      <c r="F458" s="7">
        <v>1</v>
      </c>
      <c r="G458" s="7" t="b">
        <v>0</v>
      </c>
      <c r="H458" s="7">
        <v>5</v>
      </c>
      <c r="I458" s="7">
        <v>2</v>
      </c>
      <c r="J458" s="7">
        <v>0.24</v>
      </c>
      <c r="K458" s="7" t="str">
        <f t="shared" si="14"/>
        <v>FRIDAY</v>
      </c>
      <c r="L458" t="str">
        <f t="shared" si="15"/>
        <v>Heavy Rain</v>
      </c>
    </row>
    <row r="459" spans="1:12" x14ac:dyDescent="0.25">
      <c r="A459" s="7">
        <v>458</v>
      </c>
      <c r="B459" s="8">
        <v>40564</v>
      </c>
      <c r="C459" s="7">
        <v>1</v>
      </c>
      <c r="D459" s="7">
        <v>0</v>
      </c>
      <c r="E459" s="7">
        <v>1</v>
      </c>
      <c r="F459" s="7">
        <v>2</v>
      </c>
      <c r="G459" s="7" t="b">
        <v>0</v>
      </c>
      <c r="H459" s="7">
        <v>5</v>
      </c>
      <c r="I459" s="7">
        <v>3</v>
      </c>
      <c r="J459" s="7">
        <v>0.24</v>
      </c>
      <c r="K459" s="7" t="str">
        <f t="shared" si="14"/>
        <v>FRIDAY</v>
      </c>
      <c r="L459" t="str">
        <f t="shared" si="15"/>
        <v>Heavy Rain</v>
      </c>
    </row>
    <row r="460" spans="1:12" x14ac:dyDescent="0.25">
      <c r="A460" s="7">
        <v>459</v>
      </c>
      <c r="B460" s="8">
        <v>40564</v>
      </c>
      <c r="C460" s="7">
        <v>1</v>
      </c>
      <c r="D460" s="7">
        <v>0</v>
      </c>
      <c r="E460" s="7">
        <v>1</v>
      </c>
      <c r="F460" s="7">
        <v>3</v>
      </c>
      <c r="G460" s="7" t="b">
        <v>0</v>
      </c>
      <c r="H460" s="7">
        <v>5</v>
      </c>
      <c r="I460" s="7">
        <v>3</v>
      </c>
      <c r="J460" s="7">
        <v>0.22</v>
      </c>
      <c r="K460" s="7" t="str">
        <f t="shared" si="14"/>
        <v>FRIDAY</v>
      </c>
      <c r="L460" t="str">
        <f t="shared" si="15"/>
        <v>Heavy Rain</v>
      </c>
    </row>
    <row r="461" spans="1:12" x14ac:dyDescent="0.25">
      <c r="A461" s="7">
        <v>460</v>
      </c>
      <c r="B461" s="8">
        <v>40564</v>
      </c>
      <c r="C461" s="7">
        <v>1</v>
      </c>
      <c r="D461" s="7">
        <v>0</v>
      </c>
      <c r="E461" s="7">
        <v>1</v>
      </c>
      <c r="F461" s="7">
        <v>4</v>
      </c>
      <c r="G461" s="7" t="b">
        <v>0</v>
      </c>
      <c r="H461" s="7">
        <v>5</v>
      </c>
      <c r="I461" s="7">
        <v>2</v>
      </c>
      <c r="J461" s="7">
        <v>0.22</v>
      </c>
      <c r="K461" s="7" t="str">
        <f t="shared" si="14"/>
        <v>FRIDAY</v>
      </c>
      <c r="L461" t="str">
        <f t="shared" si="15"/>
        <v>Heavy Rain</v>
      </c>
    </row>
    <row r="462" spans="1:12" x14ac:dyDescent="0.25">
      <c r="A462" s="7">
        <v>461</v>
      </c>
      <c r="B462" s="8">
        <v>40564</v>
      </c>
      <c r="C462" s="7">
        <v>1</v>
      </c>
      <c r="D462" s="7">
        <v>0</v>
      </c>
      <c r="E462" s="7">
        <v>1</v>
      </c>
      <c r="F462" s="7">
        <v>5</v>
      </c>
      <c r="G462" s="7" t="b">
        <v>0</v>
      </c>
      <c r="H462" s="7">
        <v>5</v>
      </c>
      <c r="I462" s="7">
        <v>1</v>
      </c>
      <c r="J462" s="7">
        <v>0.24</v>
      </c>
      <c r="K462" s="7" t="str">
        <f t="shared" si="14"/>
        <v>FRIDAY</v>
      </c>
      <c r="L462" t="str">
        <f t="shared" si="15"/>
        <v>Heavy Rain</v>
      </c>
    </row>
    <row r="463" spans="1:12" x14ac:dyDescent="0.25">
      <c r="A463" s="7">
        <v>462</v>
      </c>
      <c r="B463" s="8">
        <v>40564</v>
      </c>
      <c r="C463" s="7">
        <v>1</v>
      </c>
      <c r="D463" s="7">
        <v>0</v>
      </c>
      <c r="E463" s="7">
        <v>1</v>
      </c>
      <c r="F463" s="7">
        <v>6</v>
      </c>
      <c r="G463" s="7" t="b">
        <v>0</v>
      </c>
      <c r="H463" s="7">
        <v>5</v>
      </c>
      <c r="I463" s="7">
        <v>1</v>
      </c>
      <c r="J463" s="7">
        <v>0.22</v>
      </c>
      <c r="K463" s="7" t="str">
        <f t="shared" si="14"/>
        <v>FRIDAY</v>
      </c>
      <c r="L463" t="str">
        <f t="shared" si="15"/>
        <v>Heavy Rain</v>
      </c>
    </row>
    <row r="464" spans="1:12" x14ac:dyDescent="0.25">
      <c r="A464" s="7">
        <v>463</v>
      </c>
      <c r="B464" s="8">
        <v>40564</v>
      </c>
      <c r="C464" s="7">
        <v>1</v>
      </c>
      <c r="D464" s="7">
        <v>0</v>
      </c>
      <c r="E464" s="7">
        <v>1</v>
      </c>
      <c r="F464" s="7">
        <v>7</v>
      </c>
      <c r="G464" s="7" t="b">
        <v>0</v>
      </c>
      <c r="H464" s="7">
        <v>5</v>
      </c>
      <c r="I464" s="7">
        <v>1</v>
      </c>
      <c r="J464" s="7">
        <v>0.2</v>
      </c>
      <c r="K464" s="7" t="str">
        <f t="shared" si="14"/>
        <v>FRIDAY</v>
      </c>
      <c r="L464" t="str">
        <f t="shared" si="15"/>
        <v>Heavy Rain</v>
      </c>
    </row>
    <row r="465" spans="1:12" x14ac:dyDescent="0.25">
      <c r="A465" s="7">
        <v>464</v>
      </c>
      <c r="B465" s="8">
        <v>40564</v>
      </c>
      <c r="C465" s="7">
        <v>1</v>
      </c>
      <c r="D465" s="7">
        <v>0</v>
      </c>
      <c r="E465" s="7">
        <v>1</v>
      </c>
      <c r="F465" s="7">
        <v>8</v>
      </c>
      <c r="G465" s="7" t="b">
        <v>0</v>
      </c>
      <c r="H465" s="7">
        <v>5</v>
      </c>
      <c r="I465" s="7">
        <v>1</v>
      </c>
      <c r="J465" s="7">
        <v>0.2</v>
      </c>
      <c r="K465" s="7" t="str">
        <f t="shared" si="14"/>
        <v>FRIDAY</v>
      </c>
      <c r="L465" t="str">
        <f t="shared" si="15"/>
        <v>Heavy Rain</v>
      </c>
    </row>
    <row r="466" spans="1:12" x14ac:dyDescent="0.25">
      <c r="A466" s="7">
        <v>465</v>
      </c>
      <c r="B466" s="8">
        <v>40564</v>
      </c>
      <c r="C466" s="7">
        <v>1</v>
      </c>
      <c r="D466" s="7">
        <v>0</v>
      </c>
      <c r="E466" s="7">
        <v>1</v>
      </c>
      <c r="F466" s="7">
        <v>9</v>
      </c>
      <c r="G466" s="7" t="b">
        <v>0</v>
      </c>
      <c r="H466" s="7">
        <v>5</v>
      </c>
      <c r="I466" s="7">
        <v>1</v>
      </c>
      <c r="J466" s="7">
        <v>0.2</v>
      </c>
      <c r="K466" s="7" t="str">
        <f t="shared" si="14"/>
        <v>FRIDAY</v>
      </c>
      <c r="L466" t="str">
        <f t="shared" si="15"/>
        <v>Heavy Rain</v>
      </c>
    </row>
    <row r="467" spans="1:12" x14ac:dyDescent="0.25">
      <c r="A467" s="7">
        <v>466</v>
      </c>
      <c r="B467" s="8">
        <v>40564</v>
      </c>
      <c r="C467" s="7">
        <v>1</v>
      </c>
      <c r="D467" s="7">
        <v>0</v>
      </c>
      <c r="E467" s="7">
        <v>1</v>
      </c>
      <c r="F467" s="7">
        <v>10</v>
      </c>
      <c r="G467" s="7" t="b">
        <v>0</v>
      </c>
      <c r="H467" s="7">
        <v>5</v>
      </c>
      <c r="I467" s="7">
        <v>1</v>
      </c>
      <c r="J467" s="7">
        <v>0.2</v>
      </c>
      <c r="K467" s="7" t="str">
        <f t="shared" si="14"/>
        <v>FRIDAY</v>
      </c>
      <c r="L467" t="str">
        <f t="shared" si="15"/>
        <v>Heavy Rain</v>
      </c>
    </row>
    <row r="468" spans="1:12" x14ac:dyDescent="0.25">
      <c r="A468" s="7">
        <v>467</v>
      </c>
      <c r="B468" s="8">
        <v>40564</v>
      </c>
      <c r="C468" s="7">
        <v>1</v>
      </c>
      <c r="D468" s="7">
        <v>0</v>
      </c>
      <c r="E468" s="7">
        <v>1</v>
      </c>
      <c r="F468" s="7">
        <v>11</v>
      </c>
      <c r="G468" s="7" t="b">
        <v>0</v>
      </c>
      <c r="H468" s="7">
        <v>5</v>
      </c>
      <c r="I468" s="7">
        <v>1</v>
      </c>
      <c r="J468" s="7">
        <v>0.22</v>
      </c>
      <c r="K468" s="7" t="str">
        <f t="shared" si="14"/>
        <v>FRIDAY</v>
      </c>
      <c r="L468" t="str">
        <f t="shared" si="15"/>
        <v>Heavy Rain</v>
      </c>
    </row>
    <row r="469" spans="1:12" x14ac:dyDescent="0.25">
      <c r="A469" s="7">
        <v>468</v>
      </c>
      <c r="B469" s="8">
        <v>40564</v>
      </c>
      <c r="C469" s="7">
        <v>1</v>
      </c>
      <c r="D469" s="7">
        <v>0</v>
      </c>
      <c r="E469" s="7">
        <v>1</v>
      </c>
      <c r="F469" s="7">
        <v>12</v>
      </c>
      <c r="G469" s="7" t="b">
        <v>0</v>
      </c>
      <c r="H469" s="7">
        <v>5</v>
      </c>
      <c r="I469" s="7">
        <v>1</v>
      </c>
      <c r="J469" s="7">
        <v>0.22</v>
      </c>
      <c r="K469" s="7" t="str">
        <f t="shared" si="14"/>
        <v>FRIDAY</v>
      </c>
      <c r="L469" t="str">
        <f t="shared" si="15"/>
        <v>Heavy Rain</v>
      </c>
    </row>
    <row r="470" spans="1:12" x14ac:dyDescent="0.25">
      <c r="A470" s="7">
        <v>469</v>
      </c>
      <c r="B470" s="8">
        <v>40564</v>
      </c>
      <c r="C470" s="7">
        <v>1</v>
      </c>
      <c r="D470" s="7">
        <v>0</v>
      </c>
      <c r="E470" s="7">
        <v>1</v>
      </c>
      <c r="F470" s="7">
        <v>13</v>
      </c>
      <c r="G470" s="7" t="b">
        <v>0</v>
      </c>
      <c r="H470" s="7">
        <v>5</v>
      </c>
      <c r="I470" s="7">
        <v>1</v>
      </c>
      <c r="J470" s="7">
        <v>0.2</v>
      </c>
      <c r="K470" s="7" t="str">
        <f t="shared" si="14"/>
        <v>FRIDAY</v>
      </c>
      <c r="L470" t="str">
        <f t="shared" si="15"/>
        <v>Heavy Rain</v>
      </c>
    </row>
    <row r="471" spans="1:12" x14ac:dyDescent="0.25">
      <c r="A471" s="7">
        <v>470</v>
      </c>
      <c r="B471" s="8">
        <v>40564</v>
      </c>
      <c r="C471" s="7">
        <v>1</v>
      </c>
      <c r="D471" s="7">
        <v>0</v>
      </c>
      <c r="E471" s="7">
        <v>1</v>
      </c>
      <c r="F471" s="7">
        <v>14</v>
      </c>
      <c r="G471" s="7" t="b">
        <v>0</v>
      </c>
      <c r="H471" s="7">
        <v>5</v>
      </c>
      <c r="I471" s="7">
        <v>1</v>
      </c>
      <c r="J471" s="7">
        <v>0.2</v>
      </c>
      <c r="K471" s="7" t="str">
        <f t="shared" si="14"/>
        <v>FRIDAY</v>
      </c>
      <c r="L471" t="str">
        <f t="shared" si="15"/>
        <v>Heavy Rain</v>
      </c>
    </row>
    <row r="472" spans="1:12" x14ac:dyDescent="0.25">
      <c r="A472" s="7">
        <v>471</v>
      </c>
      <c r="B472" s="8">
        <v>40564</v>
      </c>
      <c r="C472" s="7">
        <v>1</v>
      </c>
      <c r="D472" s="7">
        <v>0</v>
      </c>
      <c r="E472" s="7">
        <v>1</v>
      </c>
      <c r="F472" s="7">
        <v>15</v>
      </c>
      <c r="G472" s="7" t="b">
        <v>0</v>
      </c>
      <c r="H472" s="7">
        <v>5</v>
      </c>
      <c r="I472" s="7">
        <v>1</v>
      </c>
      <c r="J472" s="7">
        <v>0.16</v>
      </c>
      <c r="K472" s="7" t="str">
        <f t="shared" si="14"/>
        <v>FRIDAY</v>
      </c>
      <c r="L472" t="str">
        <f t="shared" si="15"/>
        <v>Heavy Rain</v>
      </c>
    </row>
    <row r="473" spans="1:12" x14ac:dyDescent="0.25">
      <c r="A473" s="7">
        <v>472</v>
      </c>
      <c r="B473" s="8">
        <v>40564</v>
      </c>
      <c r="C473" s="7">
        <v>1</v>
      </c>
      <c r="D473" s="7">
        <v>0</v>
      </c>
      <c r="E473" s="7">
        <v>1</v>
      </c>
      <c r="F473" s="7">
        <v>16</v>
      </c>
      <c r="G473" s="7" t="b">
        <v>0</v>
      </c>
      <c r="H473" s="7">
        <v>5</v>
      </c>
      <c r="I473" s="7">
        <v>1</v>
      </c>
      <c r="J473" s="7">
        <v>0.16</v>
      </c>
      <c r="K473" s="7" t="str">
        <f t="shared" si="14"/>
        <v>FRIDAY</v>
      </c>
      <c r="L473" t="str">
        <f t="shared" si="15"/>
        <v>Heavy Rain</v>
      </c>
    </row>
    <row r="474" spans="1:12" x14ac:dyDescent="0.25">
      <c r="A474" s="7">
        <v>473</v>
      </c>
      <c r="B474" s="8">
        <v>40564</v>
      </c>
      <c r="C474" s="7">
        <v>1</v>
      </c>
      <c r="D474" s="7">
        <v>0</v>
      </c>
      <c r="E474" s="7">
        <v>1</v>
      </c>
      <c r="F474" s="7">
        <v>17</v>
      </c>
      <c r="G474" s="7" t="b">
        <v>0</v>
      </c>
      <c r="H474" s="7">
        <v>5</v>
      </c>
      <c r="I474" s="7">
        <v>1</v>
      </c>
      <c r="J474" s="7">
        <v>0.14000000000000001</v>
      </c>
      <c r="K474" s="7" t="str">
        <f t="shared" si="14"/>
        <v>FRIDAY</v>
      </c>
      <c r="L474" t="str">
        <f t="shared" si="15"/>
        <v>Heavy Rain</v>
      </c>
    </row>
    <row r="475" spans="1:12" x14ac:dyDescent="0.25">
      <c r="A475" s="7">
        <v>474</v>
      </c>
      <c r="B475" s="8">
        <v>40564</v>
      </c>
      <c r="C475" s="7">
        <v>1</v>
      </c>
      <c r="D475" s="7">
        <v>0</v>
      </c>
      <c r="E475" s="7">
        <v>1</v>
      </c>
      <c r="F475" s="7">
        <v>18</v>
      </c>
      <c r="G475" s="7" t="b">
        <v>0</v>
      </c>
      <c r="H475" s="7">
        <v>5</v>
      </c>
      <c r="I475" s="7">
        <v>1</v>
      </c>
      <c r="J475" s="7">
        <v>0.12</v>
      </c>
      <c r="K475" s="7" t="str">
        <f t="shared" si="14"/>
        <v>FRIDAY</v>
      </c>
      <c r="L475" t="str">
        <f t="shared" si="15"/>
        <v>Heavy Rain</v>
      </c>
    </row>
    <row r="476" spans="1:12" x14ac:dyDescent="0.25">
      <c r="A476" s="7">
        <v>475</v>
      </c>
      <c r="B476" s="8">
        <v>40564</v>
      </c>
      <c r="C476" s="7">
        <v>1</v>
      </c>
      <c r="D476" s="7">
        <v>0</v>
      </c>
      <c r="E476" s="7">
        <v>1</v>
      </c>
      <c r="F476" s="7">
        <v>19</v>
      </c>
      <c r="G476" s="7" t="b">
        <v>0</v>
      </c>
      <c r="H476" s="7">
        <v>5</v>
      </c>
      <c r="I476" s="7">
        <v>1</v>
      </c>
      <c r="J476" s="7">
        <v>0.12</v>
      </c>
      <c r="K476" s="7" t="str">
        <f t="shared" si="14"/>
        <v>FRIDAY</v>
      </c>
      <c r="L476" t="str">
        <f t="shared" si="15"/>
        <v>Heavy Rain</v>
      </c>
    </row>
    <row r="477" spans="1:12" x14ac:dyDescent="0.25">
      <c r="A477" s="7">
        <v>476</v>
      </c>
      <c r="B477" s="8">
        <v>40564</v>
      </c>
      <c r="C477" s="7">
        <v>1</v>
      </c>
      <c r="D477" s="7">
        <v>0</v>
      </c>
      <c r="E477" s="7">
        <v>1</v>
      </c>
      <c r="F477" s="7">
        <v>20</v>
      </c>
      <c r="G477" s="7" t="b">
        <v>0</v>
      </c>
      <c r="H477" s="7">
        <v>5</v>
      </c>
      <c r="I477" s="7">
        <v>1</v>
      </c>
      <c r="J477" s="7">
        <v>0.1</v>
      </c>
      <c r="K477" s="7" t="str">
        <f t="shared" si="14"/>
        <v>FRIDAY</v>
      </c>
      <c r="L477" t="str">
        <f t="shared" si="15"/>
        <v>Heavy Rain</v>
      </c>
    </row>
    <row r="478" spans="1:12" x14ac:dyDescent="0.25">
      <c r="A478" s="7">
        <v>477</v>
      </c>
      <c r="B478" s="8">
        <v>40564</v>
      </c>
      <c r="C478" s="7">
        <v>1</v>
      </c>
      <c r="D478" s="7">
        <v>0</v>
      </c>
      <c r="E478" s="7">
        <v>1</v>
      </c>
      <c r="F478" s="7">
        <v>21</v>
      </c>
      <c r="G478" s="7" t="b">
        <v>0</v>
      </c>
      <c r="H478" s="7">
        <v>5</v>
      </c>
      <c r="I478" s="7">
        <v>1</v>
      </c>
      <c r="J478" s="7">
        <v>0.08</v>
      </c>
      <c r="K478" s="7" t="str">
        <f t="shared" si="14"/>
        <v>FRIDAY</v>
      </c>
      <c r="L478" t="str">
        <f t="shared" si="15"/>
        <v>Heavy Rain</v>
      </c>
    </row>
    <row r="479" spans="1:12" x14ac:dyDescent="0.25">
      <c r="A479" s="7">
        <v>478</v>
      </c>
      <c r="B479" s="8">
        <v>40564</v>
      </c>
      <c r="C479" s="7">
        <v>1</v>
      </c>
      <c r="D479" s="7">
        <v>0</v>
      </c>
      <c r="E479" s="7">
        <v>1</v>
      </c>
      <c r="F479" s="7">
        <v>22</v>
      </c>
      <c r="G479" s="7" t="b">
        <v>0</v>
      </c>
      <c r="H479" s="7">
        <v>5</v>
      </c>
      <c r="I479" s="7">
        <v>1</v>
      </c>
      <c r="J479" s="7">
        <v>0.06</v>
      </c>
      <c r="K479" s="7" t="str">
        <f t="shared" si="14"/>
        <v>FRIDAY</v>
      </c>
      <c r="L479" t="str">
        <f t="shared" si="15"/>
        <v>Heavy Rain</v>
      </c>
    </row>
    <row r="480" spans="1:12" x14ac:dyDescent="0.25">
      <c r="A480" s="7">
        <v>479</v>
      </c>
      <c r="B480" s="8">
        <v>40564</v>
      </c>
      <c r="C480" s="7">
        <v>1</v>
      </c>
      <c r="D480" s="7">
        <v>0</v>
      </c>
      <c r="E480" s="7">
        <v>1</v>
      </c>
      <c r="F480" s="7">
        <v>23</v>
      </c>
      <c r="G480" s="7" t="b">
        <v>0</v>
      </c>
      <c r="H480" s="7">
        <v>5</v>
      </c>
      <c r="I480" s="7">
        <v>1</v>
      </c>
      <c r="J480" s="7">
        <v>0.06</v>
      </c>
      <c r="K480" s="7" t="str">
        <f t="shared" si="14"/>
        <v>FRIDAY</v>
      </c>
      <c r="L480" t="str">
        <f t="shared" si="15"/>
        <v>Heavy Rain</v>
      </c>
    </row>
    <row r="481" spans="1:12" x14ac:dyDescent="0.25">
      <c r="A481" s="7">
        <v>480</v>
      </c>
      <c r="B481" s="8">
        <v>40565</v>
      </c>
      <c r="C481" s="7">
        <v>1</v>
      </c>
      <c r="D481" s="7">
        <v>0</v>
      </c>
      <c r="E481" s="7">
        <v>1</v>
      </c>
      <c r="F481" s="7">
        <v>0</v>
      </c>
      <c r="G481" s="7" t="b">
        <v>0</v>
      </c>
      <c r="H481" s="7">
        <v>6</v>
      </c>
      <c r="I481" s="7">
        <v>1</v>
      </c>
      <c r="J481" s="7">
        <v>0.04</v>
      </c>
      <c r="K481" s="7" t="str">
        <f t="shared" si="14"/>
        <v>SATARDAY</v>
      </c>
      <c r="L481" t="str">
        <f t="shared" si="15"/>
        <v>Heavy Rain</v>
      </c>
    </row>
    <row r="482" spans="1:12" x14ac:dyDescent="0.25">
      <c r="A482" s="7">
        <v>481</v>
      </c>
      <c r="B482" s="8">
        <v>40565</v>
      </c>
      <c r="C482" s="7">
        <v>1</v>
      </c>
      <c r="D482" s="7">
        <v>0</v>
      </c>
      <c r="E482" s="7">
        <v>1</v>
      </c>
      <c r="F482" s="7">
        <v>1</v>
      </c>
      <c r="G482" s="7" t="b">
        <v>0</v>
      </c>
      <c r="H482" s="7">
        <v>6</v>
      </c>
      <c r="I482" s="7">
        <v>2</v>
      </c>
      <c r="J482" s="7">
        <v>0.04</v>
      </c>
      <c r="K482" s="7" t="str">
        <f t="shared" si="14"/>
        <v>SATARDAY</v>
      </c>
      <c r="L482" t="str">
        <f t="shared" si="15"/>
        <v>Heavy Rain</v>
      </c>
    </row>
    <row r="483" spans="1:12" x14ac:dyDescent="0.25">
      <c r="A483" s="7">
        <v>482</v>
      </c>
      <c r="B483" s="8">
        <v>40565</v>
      </c>
      <c r="C483" s="7">
        <v>1</v>
      </c>
      <c r="D483" s="7">
        <v>0</v>
      </c>
      <c r="E483" s="7">
        <v>1</v>
      </c>
      <c r="F483" s="7">
        <v>2</v>
      </c>
      <c r="G483" s="7" t="b">
        <v>0</v>
      </c>
      <c r="H483" s="7">
        <v>6</v>
      </c>
      <c r="I483" s="7">
        <v>2</v>
      </c>
      <c r="J483" s="7">
        <v>0.04</v>
      </c>
      <c r="K483" s="7" t="str">
        <f t="shared" si="14"/>
        <v>SATARDAY</v>
      </c>
      <c r="L483" t="str">
        <f t="shared" si="15"/>
        <v>Heavy Rain</v>
      </c>
    </row>
    <row r="484" spans="1:12" x14ac:dyDescent="0.25">
      <c r="A484" s="7">
        <v>483</v>
      </c>
      <c r="B484" s="8">
        <v>40565</v>
      </c>
      <c r="C484" s="7">
        <v>1</v>
      </c>
      <c r="D484" s="7">
        <v>0</v>
      </c>
      <c r="E484" s="7">
        <v>1</v>
      </c>
      <c r="F484" s="7">
        <v>3</v>
      </c>
      <c r="G484" s="7" t="b">
        <v>0</v>
      </c>
      <c r="H484" s="7">
        <v>6</v>
      </c>
      <c r="I484" s="7">
        <v>2</v>
      </c>
      <c r="J484" s="7">
        <v>0.04</v>
      </c>
      <c r="K484" s="7" t="str">
        <f t="shared" si="14"/>
        <v>SATARDAY</v>
      </c>
      <c r="L484" t="str">
        <f t="shared" si="15"/>
        <v>Heavy Rain</v>
      </c>
    </row>
    <row r="485" spans="1:12" x14ac:dyDescent="0.25">
      <c r="A485" s="7">
        <v>484</v>
      </c>
      <c r="B485" s="8">
        <v>40565</v>
      </c>
      <c r="C485" s="7">
        <v>1</v>
      </c>
      <c r="D485" s="7">
        <v>0</v>
      </c>
      <c r="E485" s="7">
        <v>1</v>
      </c>
      <c r="F485" s="7">
        <v>4</v>
      </c>
      <c r="G485" s="7" t="b">
        <v>0</v>
      </c>
      <c r="H485" s="7">
        <v>6</v>
      </c>
      <c r="I485" s="7">
        <v>2</v>
      </c>
      <c r="J485" s="7">
        <v>0.02</v>
      </c>
      <c r="K485" s="7" t="str">
        <f t="shared" si="14"/>
        <v>SATARDAY</v>
      </c>
      <c r="L485" t="str">
        <f t="shared" si="15"/>
        <v>Heavy Rain</v>
      </c>
    </row>
    <row r="486" spans="1:12" x14ac:dyDescent="0.25">
      <c r="A486" s="7">
        <v>485</v>
      </c>
      <c r="B486" s="8">
        <v>40565</v>
      </c>
      <c r="C486" s="7">
        <v>1</v>
      </c>
      <c r="D486" s="7">
        <v>0</v>
      </c>
      <c r="E486" s="7">
        <v>1</v>
      </c>
      <c r="F486" s="7">
        <v>6</v>
      </c>
      <c r="G486" s="7" t="b">
        <v>0</v>
      </c>
      <c r="H486" s="7">
        <v>6</v>
      </c>
      <c r="I486" s="7">
        <v>2</v>
      </c>
      <c r="J486" s="7">
        <v>0.02</v>
      </c>
      <c r="K486" s="7" t="str">
        <f t="shared" si="14"/>
        <v>SATARDAY</v>
      </c>
      <c r="L486" t="str">
        <f t="shared" si="15"/>
        <v>Heavy Rain</v>
      </c>
    </row>
    <row r="487" spans="1:12" x14ac:dyDescent="0.25">
      <c r="A487" s="7">
        <v>486</v>
      </c>
      <c r="B487" s="8">
        <v>40565</v>
      </c>
      <c r="C487" s="7">
        <v>1</v>
      </c>
      <c r="D487" s="7">
        <v>0</v>
      </c>
      <c r="E487" s="7">
        <v>1</v>
      </c>
      <c r="F487" s="7">
        <v>7</v>
      </c>
      <c r="G487" s="7" t="b">
        <v>0</v>
      </c>
      <c r="H487" s="7">
        <v>6</v>
      </c>
      <c r="I487" s="7">
        <v>1</v>
      </c>
      <c r="J487" s="7">
        <v>0.02</v>
      </c>
      <c r="K487" s="7" t="str">
        <f t="shared" si="14"/>
        <v>SATARDAY</v>
      </c>
      <c r="L487" t="str">
        <f t="shared" si="15"/>
        <v>Heavy Rain</v>
      </c>
    </row>
    <row r="488" spans="1:12" x14ac:dyDescent="0.25">
      <c r="A488" s="7">
        <v>487</v>
      </c>
      <c r="B488" s="8">
        <v>40565</v>
      </c>
      <c r="C488" s="7">
        <v>1</v>
      </c>
      <c r="D488" s="7">
        <v>0</v>
      </c>
      <c r="E488" s="7">
        <v>1</v>
      </c>
      <c r="F488" s="7">
        <v>8</v>
      </c>
      <c r="G488" s="7" t="b">
        <v>0</v>
      </c>
      <c r="H488" s="7">
        <v>6</v>
      </c>
      <c r="I488" s="7">
        <v>1</v>
      </c>
      <c r="J488" s="7">
        <v>0.02</v>
      </c>
      <c r="K488" s="7" t="str">
        <f t="shared" si="14"/>
        <v>SATARDAY</v>
      </c>
      <c r="L488" t="str">
        <f t="shared" si="15"/>
        <v>Heavy Rain</v>
      </c>
    </row>
    <row r="489" spans="1:12" x14ac:dyDescent="0.25">
      <c r="A489" s="7">
        <v>488</v>
      </c>
      <c r="B489" s="8">
        <v>40565</v>
      </c>
      <c r="C489" s="7">
        <v>1</v>
      </c>
      <c r="D489" s="7">
        <v>0</v>
      </c>
      <c r="E489" s="7">
        <v>1</v>
      </c>
      <c r="F489" s="7">
        <v>9</v>
      </c>
      <c r="G489" s="7" t="b">
        <v>0</v>
      </c>
      <c r="H489" s="7">
        <v>6</v>
      </c>
      <c r="I489" s="7">
        <v>1</v>
      </c>
      <c r="J489" s="7">
        <v>0.04</v>
      </c>
      <c r="K489" s="7" t="str">
        <f t="shared" si="14"/>
        <v>SATARDAY</v>
      </c>
      <c r="L489" t="str">
        <f t="shared" si="15"/>
        <v>Heavy Rain</v>
      </c>
    </row>
    <row r="490" spans="1:12" x14ac:dyDescent="0.25">
      <c r="A490" s="7">
        <v>489</v>
      </c>
      <c r="B490" s="8">
        <v>40565</v>
      </c>
      <c r="C490" s="7">
        <v>1</v>
      </c>
      <c r="D490" s="7">
        <v>0</v>
      </c>
      <c r="E490" s="7">
        <v>1</v>
      </c>
      <c r="F490" s="7">
        <v>10</v>
      </c>
      <c r="G490" s="7" t="b">
        <v>0</v>
      </c>
      <c r="H490" s="7">
        <v>6</v>
      </c>
      <c r="I490" s="7">
        <v>2</v>
      </c>
      <c r="J490" s="7">
        <v>0.04</v>
      </c>
      <c r="K490" s="7" t="str">
        <f t="shared" si="14"/>
        <v>SATARDAY</v>
      </c>
      <c r="L490" t="str">
        <f t="shared" si="15"/>
        <v>Heavy Rain</v>
      </c>
    </row>
    <row r="491" spans="1:12" x14ac:dyDescent="0.25">
      <c r="A491" s="7">
        <v>490</v>
      </c>
      <c r="B491" s="8">
        <v>40565</v>
      </c>
      <c r="C491" s="7">
        <v>1</v>
      </c>
      <c r="D491" s="7">
        <v>0</v>
      </c>
      <c r="E491" s="7">
        <v>1</v>
      </c>
      <c r="F491" s="7">
        <v>11</v>
      </c>
      <c r="G491" s="7" t="b">
        <v>0</v>
      </c>
      <c r="H491" s="7">
        <v>6</v>
      </c>
      <c r="I491" s="7">
        <v>2</v>
      </c>
      <c r="J491" s="7">
        <v>0.06</v>
      </c>
      <c r="K491" s="7" t="str">
        <f t="shared" si="14"/>
        <v>SATARDAY</v>
      </c>
      <c r="L491" t="str">
        <f t="shared" si="15"/>
        <v>Heavy Rain</v>
      </c>
    </row>
    <row r="492" spans="1:12" x14ac:dyDescent="0.25">
      <c r="A492" s="7">
        <v>491</v>
      </c>
      <c r="B492" s="8">
        <v>40565</v>
      </c>
      <c r="C492" s="7">
        <v>1</v>
      </c>
      <c r="D492" s="7">
        <v>0</v>
      </c>
      <c r="E492" s="7">
        <v>1</v>
      </c>
      <c r="F492" s="7">
        <v>12</v>
      </c>
      <c r="G492" s="7" t="b">
        <v>0</v>
      </c>
      <c r="H492" s="7">
        <v>6</v>
      </c>
      <c r="I492" s="7">
        <v>2</v>
      </c>
      <c r="J492" s="7">
        <v>0.06</v>
      </c>
      <c r="K492" s="7" t="str">
        <f t="shared" si="14"/>
        <v>SATARDAY</v>
      </c>
      <c r="L492" t="str">
        <f t="shared" si="15"/>
        <v>Heavy Rain</v>
      </c>
    </row>
    <row r="493" spans="1:12" x14ac:dyDescent="0.25">
      <c r="A493" s="7">
        <v>492</v>
      </c>
      <c r="B493" s="8">
        <v>40565</v>
      </c>
      <c r="C493" s="7">
        <v>1</v>
      </c>
      <c r="D493" s="7">
        <v>0</v>
      </c>
      <c r="E493" s="7">
        <v>1</v>
      </c>
      <c r="F493" s="7">
        <v>13</v>
      </c>
      <c r="G493" s="7" t="b">
        <v>0</v>
      </c>
      <c r="H493" s="7">
        <v>6</v>
      </c>
      <c r="I493" s="7">
        <v>1</v>
      </c>
      <c r="J493" s="7">
        <v>0.08</v>
      </c>
      <c r="K493" s="7" t="str">
        <f t="shared" si="14"/>
        <v>SATARDAY</v>
      </c>
      <c r="L493" t="str">
        <f t="shared" si="15"/>
        <v>Heavy Rain</v>
      </c>
    </row>
    <row r="494" spans="1:12" x14ac:dyDescent="0.25">
      <c r="A494" s="7">
        <v>493</v>
      </c>
      <c r="B494" s="8">
        <v>40565</v>
      </c>
      <c r="C494" s="7">
        <v>1</v>
      </c>
      <c r="D494" s="7">
        <v>0</v>
      </c>
      <c r="E494" s="7">
        <v>1</v>
      </c>
      <c r="F494" s="7">
        <v>14</v>
      </c>
      <c r="G494" s="7" t="b">
        <v>0</v>
      </c>
      <c r="H494" s="7">
        <v>6</v>
      </c>
      <c r="I494" s="7">
        <v>1</v>
      </c>
      <c r="J494" s="7">
        <v>0.1</v>
      </c>
      <c r="K494" s="7" t="str">
        <f t="shared" si="14"/>
        <v>SATARDAY</v>
      </c>
      <c r="L494" t="str">
        <f t="shared" si="15"/>
        <v>Heavy Rain</v>
      </c>
    </row>
    <row r="495" spans="1:12" x14ac:dyDescent="0.25">
      <c r="A495" s="7">
        <v>494</v>
      </c>
      <c r="B495" s="8">
        <v>40565</v>
      </c>
      <c r="C495" s="7">
        <v>1</v>
      </c>
      <c r="D495" s="7">
        <v>0</v>
      </c>
      <c r="E495" s="7">
        <v>1</v>
      </c>
      <c r="F495" s="7">
        <v>15</v>
      </c>
      <c r="G495" s="7" t="b">
        <v>0</v>
      </c>
      <c r="H495" s="7">
        <v>6</v>
      </c>
      <c r="I495" s="7">
        <v>1</v>
      </c>
      <c r="J495" s="7">
        <v>0.12</v>
      </c>
      <c r="K495" s="7" t="str">
        <f t="shared" si="14"/>
        <v>SATARDAY</v>
      </c>
      <c r="L495" t="str">
        <f t="shared" si="15"/>
        <v>Heavy Rain</v>
      </c>
    </row>
    <row r="496" spans="1:12" x14ac:dyDescent="0.25">
      <c r="A496" s="7">
        <v>495</v>
      </c>
      <c r="B496" s="8">
        <v>40565</v>
      </c>
      <c r="C496" s="7">
        <v>1</v>
      </c>
      <c r="D496" s="7">
        <v>0</v>
      </c>
      <c r="E496" s="7">
        <v>1</v>
      </c>
      <c r="F496" s="7">
        <v>16</v>
      </c>
      <c r="G496" s="7" t="b">
        <v>0</v>
      </c>
      <c r="H496" s="7">
        <v>6</v>
      </c>
      <c r="I496" s="7">
        <v>1</v>
      </c>
      <c r="J496" s="7">
        <v>0.12</v>
      </c>
      <c r="K496" s="7" t="str">
        <f t="shared" si="14"/>
        <v>SATARDAY</v>
      </c>
      <c r="L496" t="str">
        <f t="shared" si="15"/>
        <v>Heavy Rain</v>
      </c>
    </row>
    <row r="497" spans="1:12" x14ac:dyDescent="0.25">
      <c r="A497" s="7">
        <v>496</v>
      </c>
      <c r="B497" s="8">
        <v>40565</v>
      </c>
      <c r="C497" s="7">
        <v>1</v>
      </c>
      <c r="D497" s="7">
        <v>0</v>
      </c>
      <c r="E497" s="7">
        <v>1</v>
      </c>
      <c r="F497" s="7">
        <v>17</v>
      </c>
      <c r="G497" s="7" t="b">
        <v>0</v>
      </c>
      <c r="H497" s="7">
        <v>6</v>
      </c>
      <c r="I497" s="7">
        <v>1</v>
      </c>
      <c r="J497" s="7">
        <v>0.12</v>
      </c>
      <c r="K497" s="7" t="str">
        <f t="shared" si="14"/>
        <v>SATARDAY</v>
      </c>
      <c r="L497" t="str">
        <f t="shared" si="15"/>
        <v>Heavy Rain</v>
      </c>
    </row>
    <row r="498" spans="1:12" x14ac:dyDescent="0.25">
      <c r="A498" s="7">
        <v>497</v>
      </c>
      <c r="B498" s="8">
        <v>40565</v>
      </c>
      <c r="C498" s="7">
        <v>1</v>
      </c>
      <c r="D498" s="7">
        <v>0</v>
      </c>
      <c r="E498" s="7">
        <v>1</v>
      </c>
      <c r="F498" s="7">
        <v>18</v>
      </c>
      <c r="G498" s="7" t="b">
        <v>0</v>
      </c>
      <c r="H498" s="7">
        <v>6</v>
      </c>
      <c r="I498" s="7">
        <v>1</v>
      </c>
      <c r="J498" s="7">
        <v>0.08</v>
      </c>
      <c r="K498" s="7" t="str">
        <f t="shared" si="14"/>
        <v>SATARDAY</v>
      </c>
      <c r="L498" t="str">
        <f t="shared" si="15"/>
        <v>Heavy Rain</v>
      </c>
    </row>
    <row r="499" spans="1:12" x14ac:dyDescent="0.25">
      <c r="A499" s="7">
        <v>498</v>
      </c>
      <c r="B499" s="8">
        <v>40565</v>
      </c>
      <c r="C499" s="7">
        <v>1</v>
      </c>
      <c r="D499" s="7">
        <v>0</v>
      </c>
      <c r="E499" s="7">
        <v>1</v>
      </c>
      <c r="F499" s="7">
        <v>19</v>
      </c>
      <c r="G499" s="7" t="b">
        <v>0</v>
      </c>
      <c r="H499" s="7">
        <v>6</v>
      </c>
      <c r="I499" s="7">
        <v>1</v>
      </c>
      <c r="J499" s="7">
        <v>0.08</v>
      </c>
      <c r="K499" s="7" t="str">
        <f t="shared" si="14"/>
        <v>SATARDAY</v>
      </c>
      <c r="L499" t="str">
        <f t="shared" si="15"/>
        <v>Heavy Rain</v>
      </c>
    </row>
    <row r="500" spans="1:12" x14ac:dyDescent="0.25">
      <c r="A500" s="7">
        <v>499</v>
      </c>
      <c r="B500" s="8">
        <v>40565</v>
      </c>
      <c r="C500" s="7">
        <v>1</v>
      </c>
      <c r="D500" s="7">
        <v>0</v>
      </c>
      <c r="E500" s="7">
        <v>1</v>
      </c>
      <c r="F500" s="7">
        <v>20</v>
      </c>
      <c r="G500" s="7" t="b">
        <v>0</v>
      </c>
      <c r="H500" s="7">
        <v>6</v>
      </c>
      <c r="I500" s="7">
        <v>1</v>
      </c>
      <c r="J500" s="7">
        <v>0.06</v>
      </c>
      <c r="K500" s="7" t="str">
        <f t="shared" si="14"/>
        <v>SATARDAY</v>
      </c>
      <c r="L500" t="str">
        <f t="shared" si="15"/>
        <v>Heavy Rain</v>
      </c>
    </row>
    <row r="501" spans="1:12" x14ac:dyDescent="0.25">
      <c r="A501" s="7">
        <v>500</v>
      </c>
      <c r="B501" s="8">
        <v>40565</v>
      </c>
      <c r="C501" s="7">
        <v>1</v>
      </c>
      <c r="D501" s="7">
        <v>0</v>
      </c>
      <c r="E501" s="7">
        <v>1</v>
      </c>
      <c r="F501" s="7">
        <v>21</v>
      </c>
      <c r="G501" s="7" t="b">
        <v>0</v>
      </c>
      <c r="H501" s="7">
        <v>6</v>
      </c>
      <c r="I501" s="7">
        <v>1</v>
      </c>
      <c r="J501" s="7">
        <v>0.06</v>
      </c>
      <c r="K501" s="7" t="str">
        <f t="shared" si="14"/>
        <v>SATARDAY</v>
      </c>
      <c r="L501" t="str">
        <f t="shared" si="15"/>
        <v>Heavy Rain</v>
      </c>
    </row>
    <row r="502" spans="1:12" x14ac:dyDescent="0.25">
      <c r="A502" s="7">
        <v>501</v>
      </c>
      <c r="B502" s="8">
        <v>40565</v>
      </c>
      <c r="C502" s="7">
        <v>1</v>
      </c>
      <c r="D502" s="7">
        <v>0</v>
      </c>
      <c r="E502" s="7">
        <v>1</v>
      </c>
      <c r="F502" s="7">
        <v>22</v>
      </c>
      <c r="G502" s="7" t="b">
        <v>0</v>
      </c>
      <c r="H502" s="7">
        <v>6</v>
      </c>
      <c r="I502" s="7">
        <v>1</v>
      </c>
      <c r="J502" s="7">
        <v>0.06</v>
      </c>
      <c r="K502" s="7" t="str">
        <f t="shared" si="14"/>
        <v>SATARDAY</v>
      </c>
      <c r="L502" t="str">
        <f t="shared" si="15"/>
        <v>Heavy Rain</v>
      </c>
    </row>
    <row r="503" spans="1:12" x14ac:dyDescent="0.25">
      <c r="A503" s="7">
        <v>502</v>
      </c>
      <c r="B503" s="8">
        <v>40565</v>
      </c>
      <c r="C503" s="7">
        <v>1</v>
      </c>
      <c r="D503" s="7">
        <v>0</v>
      </c>
      <c r="E503" s="7">
        <v>1</v>
      </c>
      <c r="F503" s="7">
        <v>23</v>
      </c>
      <c r="G503" s="7" t="b">
        <v>0</v>
      </c>
      <c r="H503" s="7">
        <v>6</v>
      </c>
      <c r="I503" s="7">
        <v>1</v>
      </c>
      <c r="J503" s="7">
        <v>0.04</v>
      </c>
      <c r="K503" s="7" t="str">
        <f t="shared" si="14"/>
        <v>SATARDAY</v>
      </c>
      <c r="L503" t="str">
        <f t="shared" si="15"/>
        <v>Heavy Rain</v>
      </c>
    </row>
    <row r="504" spans="1:12" x14ac:dyDescent="0.25">
      <c r="A504" s="7">
        <v>503</v>
      </c>
      <c r="B504" s="8">
        <v>40566</v>
      </c>
      <c r="C504" s="7">
        <v>1</v>
      </c>
      <c r="D504" s="7">
        <v>0</v>
      </c>
      <c r="E504" s="7">
        <v>1</v>
      </c>
      <c r="F504" s="7">
        <v>0</v>
      </c>
      <c r="G504" s="7" t="b">
        <v>0</v>
      </c>
      <c r="H504" s="7">
        <v>0</v>
      </c>
      <c r="I504" s="7">
        <v>1</v>
      </c>
      <c r="J504" s="7">
        <v>0.04</v>
      </c>
      <c r="K504" s="7" t="str">
        <f t="shared" si="14"/>
        <v>SUNDAY</v>
      </c>
      <c r="L504" t="str">
        <f t="shared" si="15"/>
        <v>Heavy Rain</v>
      </c>
    </row>
    <row r="505" spans="1:12" x14ac:dyDescent="0.25">
      <c r="A505" s="7">
        <v>504</v>
      </c>
      <c r="B505" s="8">
        <v>40566</v>
      </c>
      <c r="C505" s="7">
        <v>1</v>
      </c>
      <c r="D505" s="7">
        <v>0</v>
      </c>
      <c r="E505" s="7">
        <v>1</v>
      </c>
      <c r="F505" s="7">
        <v>1</v>
      </c>
      <c r="G505" s="7" t="b">
        <v>0</v>
      </c>
      <c r="H505" s="7">
        <v>0</v>
      </c>
      <c r="I505" s="7">
        <v>1</v>
      </c>
      <c r="J505" s="7">
        <v>0.04</v>
      </c>
      <c r="K505" s="7" t="str">
        <f t="shared" si="14"/>
        <v>SUNDAY</v>
      </c>
      <c r="L505" t="str">
        <f t="shared" si="15"/>
        <v>Heavy Rain</v>
      </c>
    </row>
    <row r="506" spans="1:12" x14ac:dyDescent="0.25">
      <c r="A506" s="7">
        <v>505</v>
      </c>
      <c r="B506" s="8">
        <v>40566</v>
      </c>
      <c r="C506" s="7">
        <v>1</v>
      </c>
      <c r="D506" s="7">
        <v>0</v>
      </c>
      <c r="E506" s="7">
        <v>1</v>
      </c>
      <c r="F506" s="7">
        <v>2</v>
      </c>
      <c r="G506" s="7" t="b">
        <v>0</v>
      </c>
      <c r="H506" s="7">
        <v>0</v>
      </c>
      <c r="I506" s="7">
        <v>1</v>
      </c>
      <c r="J506" s="7">
        <v>0.02</v>
      </c>
      <c r="K506" s="7" t="str">
        <f t="shared" si="14"/>
        <v>SUNDAY</v>
      </c>
      <c r="L506" t="str">
        <f t="shared" si="15"/>
        <v>Heavy Rain</v>
      </c>
    </row>
    <row r="507" spans="1:12" x14ac:dyDescent="0.25">
      <c r="A507" s="7">
        <v>506</v>
      </c>
      <c r="B507" s="8">
        <v>40566</v>
      </c>
      <c r="C507" s="7">
        <v>1</v>
      </c>
      <c r="D507" s="7">
        <v>0</v>
      </c>
      <c r="E507" s="7">
        <v>1</v>
      </c>
      <c r="F507" s="7">
        <v>3</v>
      </c>
      <c r="G507" s="7" t="b">
        <v>0</v>
      </c>
      <c r="H507" s="7">
        <v>0</v>
      </c>
      <c r="I507" s="7">
        <v>1</v>
      </c>
      <c r="J507" s="7">
        <v>0.02</v>
      </c>
      <c r="K507" s="7" t="str">
        <f t="shared" si="14"/>
        <v>SUNDAY</v>
      </c>
      <c r="L507" t="str">
        <f t="shared" si="15"/>
        <v>Heavy Rain</v>
      </c>
    </row>
    <row r="508" spans="1:12" x14ac:dyDescent="0.25">
      <c r="A508" s="7">
        <v>507</v>
      </c>
      <c r="B508" s="8">
        <v>40566</v>
      </c>
      <c r="C508" s="7">
        <v>1</v>
      </c>
      <c r="D508" s="7">
        <v>0</v>
      </c>
      <c r="E508" s="7">
        <v>1</v>
      </c>
      <c r="F508" s="7">
        <v>5</v>
      </c>
      <c r="G508" s="7" t="b">
        <v>0</v>
      </c>
      <c r="H508" s="7">
        <v>0</v>
      </c>
      <c r="I508" s="7">
        <v>2</v>
      </c>
      <c r="J508" s="7">
        <v>0.04</v>
      </c>
      <c r="K508" s="7" t="str">
        <f t="shared" si="14"/>
        <v>SUNDAY</v>
      </c>
      <c r="L508" t="str">
        <f t="shared" si="15"/>
        <v>Heavy Rain</v>
      </c>
    </row>
    <row r="509" spans="1:12" x14ac:dyDescent="0.25">
      <c r="A509" s="7">
        <v>508</v>
      </c>
      <c r="B509" s="8">
        <v>40566</v>
      </c>
      <c r="C509" s="7">
        <v>1</v>
      </c>
      <c r="D509" s="7">
        <v>0</v>
      </c>
      <c r="E509" s="7">
        <v>1</v>
      </c>
      <c r="F509" s="7">
        <v>6</v>
      </c>
      <c r="G509" s="7" t="b">
        <v>0</v>
      </c>
      <c r="H509" s="7">
        <v>0</v>
      </c>
      <c r="I509" s="7">
        <v>2</v>
      </c>
      <c r="J509" s="7">
        <v>0.04</v>
      </c>
      <c r="K509" s="7" t="str">
        <f t="shared" si="14"/>
        <v>SUNDAY</v>
      </c>
      <c r="L509" t="str">
        <f t="shared" si="15"/>
        <v>Heavy Rain</v>
      </c>
    </row>
    <row r="510" spans="1:12" x14ac:dyDescent="0.25">
      <c r="A510" s="7">
        <v>509</v>
      </c>
      <c r="B510" s="8">
        <v>40566</v>
      </c>
      <c r="C510" s="7">
        <v>1</v>
      </c>
      <c r="D510" s="7">
        <v>0</v>
      </c>
      <c r="E510" s="7">
        <v>1</v>
      </c>
      <c r="F510" s="7">
        <v>7</v>
      </c>
      <c r="G510" s="7" t="b">
        <v>0</v>
      </c>
      <c r="H510" s="7">
        <v>0</v>
      </c>
      <c r="I510" s="7">
        <v>1</v>
      </c>
      <c r="J510" s="7">
        <v>0.08</v>
      </c>
      <c r="K510" s="7" t="str">
        <f t="shared" si="14"/>
        <v>SUNDAY</v>
      </c>
      <c r="L510" t="str">
        <f t="shared" si="15"/>
        <v>Heavy Rain</v>
      </c>
    </row>
    <row r="511" spans="1:12" x14ac:dyDescent="0.25">
      <c r="A511" s="7">
        <v>510</v>
      </c>
      <c r="B511" s="8">
        <v>40566</v>
      </c>
      <c r="C511" s="7">
        <v>1</v>
      </c>
      <c r="D511" s="7">
        <v>0</v>
      </c>
      <c r="E511" s="7">
        <v>1</v>
      </c>
      <c r="F511" s="7">
        <v>8</v>
      </c>
      <c r="G511" s="7" t="b">
        <v>0</v>
      </c>
      <c r="H511" s="7">
        <v>0</v>
      </c>
      <c r="I511" s="7">
        <v>1</v>
      </c>
      <c r="J511" s="7">
        <v>0.06</v>
      </c>
      <c r="K511" s="7" t="str">
        <f t="shared" si="14"/>
        <v>SUNDAY</v>
      </c>
      <c r="L511" t="str">
        <f t="shared" si="15"/>
        <v>Heavy Rain</v>
      </c>
    </row>
    <row r="512" spans="1:12" x14ac:dyDescent="0.25">
      <c r="A512" s="7">
        <v>511</v>
      </c>
      <c r="B512" s="8">
        <v>40566</v>
      </c>
      <c r="C512" s="7">
        <v>1</v>
      </c>
      <c r="D512" s="7">
        <v>0</v>
      </c>
      <c r="E512" s="7">
        <v>1</v>
      </c>
      <c r="F512" s="7">
        <v>9</v>
      </c>
      <c r="G512" s="7" t="b">
        <v>0</v>
      </c>
      <c r="H512" s="7">
        <v>0</v>
      </c>
      <c r="I512" s="7">
        <v>1</v>
      </c>
      <c r="J512" s="7">
        <v>0.1</v>
      </c>
      <c r="K512" s="7" t="str">
        <f t="shared" si="14"/>
        <v>SUNDAY</v>
      </c>
      <c r="L512" t="str">
        <f t="shared" si="15"/>
        <v>Heavy Rain</v>
      </c>
    </row>
    <row r="513" spans="1:12" x14ac:dyDescent="0.25">
      <c r="A513" s="7">
        <v>512</v>
      </c>
      <c r="B513" s="8">
        <v>40566</v>
      </c>
      <c r="C513" s="7">
        <v>1</v>
      </c>
      <c r="D513" s="7">
        <v>0</v>
      </c>
      <c r="E513" s="7">
        <v>1</v>
      </c>
      <c r="F513" s="7">
        <v>10</v>
      </c>
      <c r="G513" s="7" t="b">
        <v>0</v>
      </c>
      <c r="H513" s="7">
        <v>0</v>
      </c>
      <c r="I513" s="7">
        <v>1</v>
      </c>
      <c r="J513" s="7">
        <v>0.14000000000000001</v>
      </c>
      <c r="K513" s="7" t="str">
        <f t="shared" si="14"/>
        <v>SUNDAY</v>
      </c>
      <c r="L513" t="str">
        <f t="shared" si="15"/>
        <v>Heavy Rain</v>
      </c>
    </row>
    <row r="514" spans="1:12" x14ac:dyDescent="0.25">
      <c r="A514" s="7">
        <v>513</v>
      </c>
      <c r="B514" s="8">
        <v>40566</v>
      </c>
      <c r="C514" s="7">
        <v>1</v>
      </c>
      <c r="D514" s="7">
        <v>0</v>
      </c>
      <c r="E514" s="7">
        <v>1</v>
      </c>
      <c r="F514" s="7">
        <v>11</v>
      </c>
      <c r="G514" s="7" t="b">
        <v>0</v>
      </c>
      <c r="H514" s="7">
        <v>0</v>
      </c>
      <c r="I514" s="7">
        <v>1</v>
      </c>
      <c r="J514" s="7">
        <v>0.14000000000000001</v>
      </c>
      <c r="K514" s="7" t="str">
        <f t="shared" ref="K514:K577" si="16">CHOOSE(H514+1, "SUNDAY", "MONDAY","TUESDAY", "WENESDAY","THUSDAY", "FRIDAY", "SATARDAY")</f>
        <v>SUNDAY</v>
      </c>
      <c r="L514" t="str">
        <f t="shared" ref="L514:L577" si="17">IF(A514=1,"Clear",IF(A514=2,"Mist",IF(A514=3,"Light Rain/Snow","Heavy Rain")))</f>
        <v>Heavy Rain</v>
      </c>
    </row>
    <row r="515" spans="1:12" x14ac:dyDescent="0.25">
      <c r="A515" s="7">
        <v>514</v>
      </c>
      <c r="B515" s="8">
        <v>40566</v>
      </c>
      <c r="C515" s="7">
        <v>1</v>
      </c>
      <c r="D515" s="7">
        <v>0</v>
      </c>
      <c r="E515" s="7">
        <v>1</v>
      </c>
      <c r="F515" s="7">
        <v>12</v>
      </c>
      <c r="G515" s="7" t="b">
        <v>0</v>
      </c>
      <c r="H515" s="7">
        <v>0</v>
      </c>
      <c r="I515" s="7">
        <v>1</v>
      </c>
      <c r="J515" s="7">
        <v>0.16</v>
      </c>
      <c r="K515" s="7" t="str">
        <f t="shared" si="16"/>
        <v>SUNDAY</v>
      </c>
      <c r="L515" t="str">
        <f t="shared" si="17"/>
        <v>Heavy Rain</v>
      </c>
    </row>
    <row r="516" spans="1:12" x14ac:dyDescent="0.25">
      <c r="A516" s="7">
        <v>515</v>
      </c>
      <c r="B516" s="8">
        <v>40566</v>
      </c>
      <c r="C516" s="7">
        <v>1</v>
      </c>
      <c r="D516" s="7">
        <v>0</v>
      </c>
      <c r="E516" s="7">
        <v>1</v>
      </c>
      <c r="F516" s="7">
        <v>13</v>
      </c>
      <c r="G516" s="7" t="b">
        <v>0</v>
      </c>
      <c r="H516" s="7">
        <v>0</v>
      </c>
      <c r="I516" s="7">
        <v>1</v>
      </c>
      <c r="J516" s="7">
        <v>0.14000000000000001</v>
      </c>
      <c r="K516" s="7" t="str">
        <f t="shared" si="16"/>
        <v>SUNDAY</v>
      </c>
      <c r="L516" t="str">
        <f t="shared" si="17"/>
        <v>Heavy Rain</v>
      </c>
    </row>
    <row r="517" spans="1:12" x14ac:dyDescent="0.25">
      <c r="A517" s="7">
        <v>516</v>
      </c>
      <c r="B517" s="8">
        <v>40566</v>
      </c>
      <c r="C517" s="7">
        <v>1</v>
      </c>
      <c r="D517" s="7">
        <v>0</v>
      </c>
      <c r="E517" s="7">
        <v>1</v>
      </c>
      <c r="F517" s="7">
        <v>14</v>
      </c>
      <c r="G517" s="7" t="b">
        <v>0</v>
      </c>
      <c r="H517" s="7">
        <v>0</v>
      </c>
      <c r="I517" s="7">
        <v>1</v>
      </c>
      <c r="J517" s="7">
        <v>0.16</v>
      </c>
      <c r="K517" s="7" t="str">
        <f t="shared" si="16"/>
        <v>SUNDAY</v>
      </c>
      <c r="L517" t="str">
        <f t="shared" si="17"/>
        <v>Heavy Rain</v>
      </c>
    </row>
    <row r="518" spans="1:12" x14ac:dyDescent="0.25">
      <c r="A518" s="7">
        <v>517</v>
      </c>
      <c r="B518" s="8">
        <v>40566</v>
      </c>
      <c r="C518" s="7">
        <v>1</v>
      </c>
      <c r="D518" s="7">
        <v>0</v>
      </c>
      <c r="E518" s="7">
        <v>1</v>
      </c>
      <c r="F518" s="7">
        <v>15</v>
      </c>
      <c r="G518" s="7" t="b">
        <v>0</v>
      </c>
      <c r="H518" s="7">
        <v>0</v>
      </c>
      <c r="I518" s="7">
        <v>1</v>
      </c>
      <c r="J518" s="7">
        <v>0.16</v>
      </c>
      <c r="K518" s="7" t="str">
        <f t="shared" si="16"/>
        <v>SUNDAY</v>
      </c>
      <c r="L518" t="str">
        <f t="shared" si="17"/>
        <v>Heavy Rain</v>
      </c>
    </row>
    <row r="519" spans="1:12" x14ac:dyDescent="0.25">
      <c r="A519" s="7">
        <v>518</v>
      </c>
      <c r="B519" s="8">
        <v>40566</v>
      </c>
      <c r="C519" s="7">
        <v>1</v>
      </c>
      <c r="D519" s="7">
        <v>0</v>
      </c>
      <c r="E519" s="7">
        <v>1</v>
      </c>
      <c r="F519" s="7">
        <v>16</v>
      </c>
      <c r="G519" s="7" t="b">
        <v>0</v>
      </c>
      <c r="H519" s="7">
        <v>0</v>
      </c>
      <c r="I519" s="7">
        <v>1</v>
      </c>
      <c r="J519" s="7">
        <v>0.16</v>
      </c>
      <c r="K519" s="7" t="str">
        <f t="shared" si="16"/>
        <v>SUNDAY</v>
      </c>
      <c r="L519" t="str">
        <f t="shared" si="17"/>
        <v>Heavy Rain</v>
      </c>
    </row>
    <row r="520" spans="1:12" x14ac:dyDescent="0.25">
      <c r="A520" s="7">
        <v>519</v>
      </c>
      <c r="B520" s="8">
        <v>40566</v>
      </c>
      <c r="C520" s="7">
        <v>1</v>
      </c>
      <c r="D520" s="7">
        <v>0</v>
      </c>
      <c r="E520" s="7">
        <v>1</v>
      </c>
      <c r="F520" s="7">
        <v>17</v>
      </c>
      <c r="G520" s="7" t="b">
        <v>0</v>
      </c>
      <c r="H520" s="7">
        <v>0</v>
      </c>
      <c r="I520" s="7">
        <v>1</v>
      </c>
      <c r="J520" s="7">
        <v>0.14000000000000001</v>
      </c>
      <c r="K520" s="7" t="str">
        <f t="shared" si="16"/>
        <v>SUNDAY</v>
      </c>
      <c r="L520" t="str">
        <f t="shared" si="17"/>
        <v>Heavy Rain</v>
      </c>
    </row>
    <row r="521" spans="1:12" x14ac:dyDescent="0.25">
      <c r="A521" s="7">
        <v>520</v>
      </c>
      <c r="B521" s="8">
        <v>40566</v>
      </c>
      <c r="C521" s="7">
        <v>1</v>
      </c>
      <c r="D521" s="7">
        <v>0</v>
      </c>
      <c r="E521" s="7">
        <v>1</v>
      </c>
      <c r="F521" s="7">
        <v>18</v>
      </c>
      <c r="G521" s="7" t="b">
        <v>0</v>
      </c>
      <c r="H521" s="7">
        <v>0</v>
      </c>
      <c r="I521" s="7">
        <v>1</v>
      </c>
      <c r="J521" s="7">
        <v>0.12</v>
      </c>
      <c r="K521" s="7" t="str">
        <f t="shared" si="16"/>
        <v>SUNDAY</v>
      </c>
      <c r="L521" t="str">
        <f t="shared" si="17"/>
        <v>Heavy Rain</v>
      </c>
    </row>
    <row r="522" spans="1:12" x14ac:dyDescent="0.25">
      <c r="A522" s="7">
        <v>521</v>
      </c>
      <c r="B522" s="8">
        <v>40566</v>
      </c>
      <c r="C522" s="7">
        <v>1</v>
      </c>
      <c r="D522" s="7">
        <v>0</v>
      </c>
      <c r="E522" s="7">
        <v>1</v>
      </c>
      <c r="F522" s="7">
        <v>19</v>
      </c>
      <c r="G522" s="7" t="b">
        <v>0</v>
      </c>
      <c r="H522" s="7">
        <v>0</v>
      </c>
      <c r="I522" s="7">
        <v>1</v>
      </c>
      <c r="J522" s="7">
        <v>0.12</v>
      </c>
      <c r="K522" s="7" t="str">
        <f t="shared" si="16"/>
        <v>SUNDAY</v>
      </c>
      <c r="L522" t="str">
        <f t="shared" si="17"/>
        <v>Heavy Rain</v>
      </c>
    </row>
    <row r="523" spans="1:12" x14ac:dyDescent="0.25">
      <c r="A523" s="7">
        <v>522</v>
      </c>
      <c r="B523" s="8">
        <v>40566</v>
      </c>
      <c r="C523" s="7">
        <v>1</v>
      </c>
      <c r="D523" s="7">
        <v>0</v>
      </c>
      <c r="E523" s="7">
        <v>1</v>
      </c>
      <c r="F523" s="7">
        <v>20</v>
      </c>
      <c r="G523" s="7" t="b">
        <v>0</v>
      </c>
      <c r="H523" s="7">
        <v>0</v>
      </c>
      <c r="I523" s="7">
        <v>1</v>
      </c>
      <c r="J523" s="7">
        <v>0.1</v>
      </c>
      <c r="K523" s="7" t="str">
        <f t="shared" si="16"/>
        <v>SUNDAY</v>
      </c>
      <c r="L523" t="str">
        <f t="shared" si="17"/>
        <v>Heavy Rain</v>
      </c>
    </row>
    <row r="524" spans="1:12" x14ac:dyDescent="0.25">
      <c r="A524" s="7">
        <v>523</v>
      </c>
      <c r="B524" s="8">
        <v>40566</v>
      </c>
      <c r="C524" s="7">
        <v>1</v>
      </c>
      <c r="D524" s="7">
        <v>0</v>
      </c>
      <c r="E524" s="7">
        <v>1</v>
      </c>
      <c r="F524" s="7">
        <v>21</v>
      </c>
      <c r="G524" s="7" t="b">
        <v>0</v>
      </c>
      <c r="H524" s="7">
        <v>0</v>
      </c>
      <c r="I524" s="7">
        <v>1</v>
      </c>
      <c r="J524" s="7">
        <v>0.1</v>
      </c>
      <c r="K524" s="7" t="str">
        <f t="shared" si="16"/>
        <v>SUNDAY</v>
      </c>
      <c r="L524" t="str">
        <f t="shared" si="17"/>
        <v>Heavy Rain</v>
      </c>
    </row>
    <row r="525" spans="1:12" x14ac:dyDescent="0.25">
      <c r="A525" s="7">
        <v>524</v>
      </c>
      <c r="B525" s="8">
        <v>40566</v>
      </c>
      <c r="C525" s="7">
        <v>1</v>
      </c>
      <c r="D525" s="7">
        <v>0</v>
      </c>
      <c r="E525" s="7">
        <v>1</v>
      </c>
      <c r="F525" s="7">
        <v>22</v>
      </c>
      <c r="G525" s="7" t="b">
        <v>0</v>
      </c>
      <c r="H525" s="7">
        <v>0</v>
      </c>
      <c r="I525" s="7">
        <v>1</v>
      </c>
      <c r="J525" s="7">
        <v>0.08</v>
      </c>
      <c r="K525" s="7" t="str">
        <f t="shared" si="16"/>
        <v>SUNDAY</v>
      </c>
      <c r="L525" t="str">
        <f t="shared" si="17"/>
        <v>Heavy Rain</v>
      </c>
    </row>
    <row r="526" spans="1:12" x14ac:dyDescent="0.25">
      <c r="A526" s="7">
        <v>525</v>
      </c>
      <c r="B526" s="8">
        <v>40566</v>
      </c>
      <c r="C526" s="7">
        <v>1</v>
      </c>
      <c r="D526" s="7">
        <v>0</v>
      </c>
      <c r="E526" s="7">
        <v>1</v>
      </c>
      <c r="F526" s="7">
        <v>23</v>
      </c>
      <c r="G526" s="7" t="b">
        <v>0</v>
      </c>
      <c r="H526" s="7">
        <v>0</v>
      </c>
      <c r="I526" s="7">
        <v>1</v>
      </c>
      <c r="J526" s="7">
        <v>0.06</v>
      </c>
      <c r="K526" s="7" t="str">
        <f t="shared" si="16"/>
        <v>SUNDAY</v>
      </c>
      <c r="L526" t="str">
        <f t="shared" si="17"/>
        <v>Heavy Rain</v>
      </c>
    </row>
    <row r="527" spans="1:12" x14ac:dyDescent="0.25">
      <c r="A527" s="7">
        <v>526</v>
      </c>
      <c r="B527" s="8">
        <v>40567</v>
      </c>
      <c r="C527" s="7">
        <v>1</v>
      </c>
      <c r="D527" s="7">
        <v>0</v>
      </c>
      <c r="E527" s="7">
        <v>1</v>
      </c>
      <c r="F527" s="7">
        <v>0</v>
      </c>
      <c r="G527" s="7" t="b">
        <v>0</v>
      </c>
      <c r="H527" s="7">
        <v>1</v>
      </c>
      <c r="I527" s="7">
        <v>1</v>
      </c>
      <c r="J527" s="7">
        <v>0.06</v>
      </c>
      <c r="K527" s="7" t="str">
        <f t="shared" si="16"/>
        <v>MONDAY</v>
      </c>
      <c r="L527" t="str">
        <f t="shared" si="17"/>
        <v>Heavy Rain</v>
      </c>
    </row>
    <row r="528" spans="1:12" x14ac:dyDescent="0.25">
      <c r="A528" s="7">
        <v>527</v>
      </c>
      <c r="B528" s="8">
        <v>40567</v>
      </c>
      <c r="C528" s="7">
        <v>1</v>
      </c>
      <c r="D528" s="7">
        <v>0</v>
      </c>
      <c r="E528" s="7">
        <v>1</v>
      </c>
      <c r="F528" s="7">
        <v>1</v>
      </c>
      <c r="G528" s="7" t="b">
        <v>0</v>
      </c>
      <c r="H528" s="7">
        <v>1</v>
      </c>
      <c r="I528" s="7">
        <v>1</v>
      </c>
      <c r="J528" s="7">
        <v>0.04</v>
      </c>
      <c r="K528" s="7" t="str">
        <f t="shared" si="16"/>
        <v>MONDAY</v>
      </c>
      <c r="L528" t="str">
        <f t="shared" si="17"/>
        <v>Heavy Rain</v>
      </c>
    </row>
    <row r="529" spans="1:12" x14ac:dyDescent="0.25">
      <c r="A529" s="7">
        <v>528</v>
      </c>
      <c r="B529" s="8">
        <v>40567</v>
      </c>
      <c r="C529" s="7">
        <v>1</v>
      </c>
      <c r="D529" s="7">
        <v>0</v>
      </c>
      <c r="E529" s="7">
        <v>1</v>
      </c>
      <c r="F529" s="7">
        <v>3</v>
      </c>
      <c r="G529" s="7" t="b">
        <v>0</v>
      </c>
      <c r="H529" s="7">
        <v>1</v>
      </c>
      <c r="I529" s="7">
        <v>1</v>
      </c>
      <c r="J529" s="7">
        <v>0.04</v>
      </c>
      <c r="K529" s="7" t="str">
        <f t="shared" si="16"/>
        <v>MONDAY</v>
      </c>
      <c r="L529" t="str">
        <f t="shared" si="17"/>
        <v>Heavy Rain</v>
      </c>
    </row>
    <row r="530" spans="1:12" x14ac:dyDescent="0.25">
      <c r="A530" s="7">
        <v>529</v>
      </c>
      <c r="B530" s="8">
        <v>40567</v>
      </c>
      <c r="C530" s="7">
        <v>1</v>
      </c>
      <c r="D530" s="7">
        <v>0</v>
      </c>
      <c r="E530" s="7">
        <v>1</v>
      </c>
      <c r="F530" s="7">
        <v>4</v>
      </c>
      <c r="G530" s="7" t="b">
        <v>0</v>
      </c>
      <c r="H530" s="7">
        <v>1</v>
      </c>
      <c r="I530" s="7">
        <v>1</v>
      </c>
      <c r="J530" s="7">
        <v>0.02</v>
      </c>
      <c r="K530" s="7" t="str">
        <f t="shared" si="16"/>
        <v>MONDAY</v>
      </c>
      <c r="L530" t="str">
        <f t="shared" si="17"/>
        <v>Heavy Rain</v>
      </c>
    </row>
    <row r="531" spans="1:12" x14ac:dyDescent="0.25">
      <c r="A531" s="7">
        <v>530</v>
      </c>
      <c r="B531" s="8">
        <v>40567</v>
      </c>
      <c r="C531" s="7">
        <v>1</v>
      </c>
      <c r="D531" s="7">
        <v>0</v>
      </c>
      <c r="E531" s="7">
        <v>1</v>
      </c>
      <c r="F531" s="7">
        <v>5</v>
      </c>
      <c r="G531" s="7" t="b">
        <v>0</v>
      </c>
      <c r="H531" s="7">
        <v>1</v>
      </c>
      <c r="I531" s="7">
        <v>1</v>
      </c>
      <c r="J531" s="7">
        <v>0.02</v>
      </c>
      <c r="K531" s="7" t="str">
        <f t="shared" si="16"/>
        <v>MONDAY</v>
      </c>
      <c r="L531" t="str">
        <f t="shared" si="17"/>
        <v>Heavy Rain</v>
      </c>
    </row>
    <row r="532" spans="1:12" x14ac:dyDescent="0.25">
      <c r="A532" s="7">
        <v>531</v>
      </c>
      <c r="B532" s="8">
        <v>40567</v>
      </c>
      <c r="C532" s="7">
        <v>1</v>
      </c>
      <c r="D532" s="7">
        <v>0</v>
      </c>
      <c r="E532" s="7">
        <v>1</v>
      </c>
      <c r="F532" s="7">
        <v>6</v>
      </c>
      <c r="G532" s="7" t="b">
        <v>0</v>
      </c>
      <c r="H532" s="7">
        <v>1</v>
      </c>
      <c r="I532" s="7">
        <v>1</v>
      </c>
      <c r="J532" s="7">
        <v>0.02</v>
      </c>
      <c r="K532" s="7" t="str">
        <f t="shared" si="16"/>
        <v>MONDAY</v>
      </c>
      <c r="L532" t="str">
        <f t="shared" si="17"/>
        <v>Heavy Rain</v>
      </c>
    </row>
    <row r="533" spans="1:12" x14ac:dyDescent="0.25">
      <c r="A533" s="7">
        <v>532</v>
      </c>
      <c r="B533" s="8">
        <v>40567</v>
      </c>
      <c r="C533" s="7">
        <v>1</v>
      </c>
      <c r="D533" s="7">
        <v>0</v>
      </c>
      <c r="E533" s="7">
        <v>1</v>
      </c>
      <c r="F533" s="7">
        <v>7</v>
      </c>
      <c r="G533" s="7" t="b">
        <v>0</v>
      </c>
      <c r="H533" s="7">
        <v>1</v>
      </c>
      <c r="I533" s="7">
        <v>1</v>
      </c>
      <c r="J533" s="7">
        <v>0.02</v>
      </c>
      <c r="K533" s="7" t="str">
        <f t="shared" si="16"/>
        <v>MONDAY</v>
      </c>
      <c r="L533" t="str">
        <f t="shared" si="17"/>
        <v>Heavy Rain</v>
      </c>
    </row>
    <row r="534" spans="1:12" x14ac:dyDescent="0.25">
      <c r="A534" s="7">
        <v>533</v>
      </c>
      <c r="B534" s="8">
        <v>40567</v>
      </c>
      <c r="C534" s="7">
        <v>1</v>
      </c>
      <c r="D534" s="7">
        <v>0</v>
      </c>
      <c r="E534" s="7">
        <v>1</v>
      </c>
      <c r="F534" s="7">
        <v>8</v>
      </c>
      <c r="G534" s="7" t="b">
        <v>0</v>
      </c>
      <c r="H534" s="7">
        <v>1</v>
      </c>
      <c r="I534" s="7">
        <v>1</v>
      </c>
      <c r="J534" s="7">
        <v>0.04</v>
      </c>
      <c r="K534" s="7" t="str">
        <f t="shared" si="16"/>
        <v>MONDAY</v>
      </c>
      <c r="L534" t="str">
        <f t="shared" si="17"/>
        <v>Heavy Rain</v>
      </c>
    </row>
    <row r="535" spans="1:12" x14ac:dyDescent="0.25">
      <c r="A535" s="7">
        <v>534</v>
      </c>
      <c r="B535" s="8">
        <v>40567</v>
      </c>
      <c r="C535" s="7">
        <v>1</v>
      </c>
      <c r="D535" s="7">
        <v>0</v>
      </c>
      <c r="E535" s="7">
        <v>1</v>
      </c>
      <c r="F535" s="7">
        <v>9</v>
      </c>
      <c r="G535" s="7" t="b">
        <v>0</v>
      </c>
      <c r="H535" s="7">
        <v>1</v>
      </c>
      <c r="I535" s="7">
        <v>1</v>
      </c>
      <c r="J535" s="7">
        <v>0.06</v>
      </c>
      <c r="K535" s="7" t="str">
        <f t="shared" si="16"/>
        <v>MONDAY</v>
      </c>
      <c r="L535" t="str">
        <f t="shared" si="17"/>
        <v>Heavy Rain</v>
      </c>
    </row>
    <row r="536" spans="1:12" x14ac:dyDescent="0.25">
      <c r="A536" s="7">
        <v>535</v>
      </c>
      <c r="B536" s="8">
        <v>40567</v>
      </c>
      <c r="C536" s="7">
        <v>1</v>
      </c>
      <c r="D536" s="7">
        <v>0</v>
      </c>
      <c r="E536" s="7">
        <v>1</v>
      </c>
      <c r="F536" s="7">
        <v>10</v>
      </c>
      <c r="G536" s="7" t="b">
        <v>0</v>
      </c>
      <c r="H536" s="7">
        <v>1</v>
      </c>
      <c r="I536" s="7">
        <v>1</v>
      </c>
      <c r="J536" s="7">
        <v>0.1</v>
      </c>
      <c r="K536" s="7" t="str">
        <f t="shared" si="16"/>
        <v>MONDAY</v>
      </c>
      <c r="L536" t="str">
        <f t="shared" si="17"/>
        <v>Heavy Rain</v>
      </c>
    </row>
    <row r="537" spans="1:12" x14ac:dyDescent="0.25">
      <c r="A537" s="7">
        <v>536</v>
      </c>
      <c r="B537" s="8">
        <v>40567</v>
      </c>
      <c r="C537" s="7">
        <v>1</v>
      </c>
      <c r="D537" s="7">
        <v>0</v>
      </c>
      <c r="E537" s="7">
        <v>1</v>
      </c>
      <c r="F537" s="7">
        <v>11</v>
      </c>
      <c r="G537" s="7" t="b">
        <v>0</v>
      </c>
      <c r="H537" s="7">
        <v>1</v>
      </c>
      <c r="I537" s="7">
        <v>1</v>
      </c>
      <c r="J537" s="7">
        <v>0.1</v>
      </c>
      <c r="K537" s="7" t="str">
        <f t="shared" si="16"/>
        <v>MONDAY</v>
      </c>
      <c r="L537" t="str">
        <f t="shared" si="17"/>
        <v>Heavy Rain</v>
      </c>
    </row>
    <row r="538" spans="1:12" x14ac:dyDescent="0.25">
      <c r="A538" s="7">
        <v>537</v>
      </c>
      <c r="B538" s="8">
        <v>40567</v>
      </c>
      <c r="C538" s="7">
        <v>1</v>
      </c>
      <c r="D538" s="7">
        <v>0</v>
      </c>
      <c r="E538" s="7">
        <v>1</v>
      </c>
      <c r="F538" s="7">
        <v>12</v>
      </c>
      <c r="G538" s="7" t="b">
        <v>0</v>
      </c>
      <c r="H538" s="7">
        <v>1</v>
      </c>
      <c r="I538" s="7">
        <v>2</v>
      </c>
      <c r="J538" s="7">
        <v>0.12</v>
      </c>
      <c r="K538" s="7" t="str">
        <f t="shared" si="16"/>
        <v>MONDAY</v>
      </c>
      <c r="L538" t="str">
        <f t="shared" si="17"/>
        <v>Heavy Rain</v>
      </c>
    </row>
    <row r="539" spans="1:12" x14ac:dyDescent="0.25">
      <c r="A539" s="7">
        <v>538</v>
      </c>
      <c r="B539" s="8">
        <v>40567</v>
      </c>
      <c r="C539" s="7">
        <v>1</v>
      </c>
      <c r="D539" s="7">
        <v>0</v>
      </c>
      <c r="E539" s="7">
        <v>1</v>
      </c>
      <c r="F539" s="7">
        <v>13</v>
      </c>
      <c r="G539" s="7" t="b">
        <v>0</v>
      </c>
      <c r="H539" s="7">
        <v>1</v>
      </c>
      <c r="I539" s="7">
        <v>2</v>
      </c>
      <c r="J539" s="7">
        <v>0.14000000000000001</v>
      </c>
      <c r="K539" s="7" t="str">
        <f t="shared" si="16"/>
        <v>MONDAY</v>
      </c>
      <c r="L539" t="str">
        <f t="shared" si="17"/>
        <v>Heavy Rain</v>
      </c>
    </row>
    <row r="540" spans="1:12" x14ac:dyDescent="0.25">
      <c r="A540" s="7">
        <v>539</v>
      </c>
      <c r="B540" s="8">
        <v>40567</v>
      </c>
      <c r="C540" s="7">
        <v>1</v>
      </c>
      <c r="D540" s="7">
        <v>0</v>
      </c>
      <c r="E540" s="7">
        <v>1</v>
      </c>
      <c r="F540" s="7">
        <v>14</v>
      </c>
      <c r="G540" s="7" t="b">
        <v>0</v>
      </c>
      <c r="H540" s="7">
        <v>1</v>
      </c>
      <c r="I540" s="7">
        <v>2</v>
      </c>
      <c r="J540" s="7">
        <v>0.14000000000000001</v>
      </c>
      <c r="K540" s="7" t="str">
        <f t="shared" si="16"/>
        <v>MONDAY</v>
      </c>
      <c r="L540" t="str">
        <f t="shared" si="17"/>
        <v>Heavy Rain</v>
      </c>
    </row>
    <row r="541" spans="1:12" x14ac:dyDescent="0.25">
      <c r="A541" s="7">
        <v>540</v>
      </c>
      <c r="B541" s="8">
        <v>40567</v>
      </c>
      <c r="C541" s="7">
        <v>1</v>
      </c>
      <c r="D541" s="7">
        <v>0</v>
      </c>
      <c r="E541" s="7">
        <v>1</v>
      </c>
      <c r="F541" s="7">
        <v>15</v>
      </c>
      <c r="G541" s="7" t="b">
        <v>0</v>
      </c>
      <c r="H541" s="7">
        <v>1</v>
      </c>
      <c r="I541" s="7">
        <v>1</v>
      </c>
      <c r="J541" s="7">
        <v>0.16</v>
      </c>
      <c r="K541" s="7" t="str">
        <f t="shared" si="16"/>
        <v>MONDAY</v>
      </c>
      <c r="L541" t="str">
        <f t="shared" si="17"/>
        <v>Heavy Rain</v>
      </c>
    </row>
    <row r="542" spans="1:12" x14ac:dyDescent="0.25">
      <c r="A542" s="7">
        <v>541</v>
      </c>
      <c r="B542" s="8">
        <v>40567</v>
      </c>
      <c r="C542" s="7">
        <v>1</v>
      </c>
      <c r="D542" s="7">
        <v>0</v>
      </c>
      <c r="E542" s="7">
        <v>1</v>
      </c>
      <c r="F542" s="7">
        <v>16</v>
      </c>
      <c r="G542" s="7" t="b">
        <v>0</v>
      </c>
      <c r="H542" s="7">
        <v>1</v>
      </c>
      <c r="I542" s="7">
        <v>1</v>
      </c>
      <c r="J542" s="7">
        <v>0.16</v>
      </c>
      <c r="K542" s="7" t="str">
        <f t="shared" si="16"/>
        <v>MONDAY</v>
      </c>
      <c r="L542" t="str">
        <f t="shared" si="17"/>
        <v>Heavy Rain</v>
      </c>
    </row>
    <row r="543" spans="1:12" x14ac:dyDescent="0.25">
      <c r="A543" s="7">
        <v>542</v>
      </c>
      <c r="B543" s="8">
        <v>40567</v>
      </c>
      <c r="C543" s="7">
        <v>1</v>
      </c>
      <c r="D543" s="7">
        <v>0</v>
      </c>
      <c r="E543" s="7">
        <v>1</v>
      </c>
      <c r="F543" s="7">
        <v>17</v>
      </c>
      <c r="G543" s="7" t="b">
        <v>0</v>
      </c>
      <c r="H543" s="7">
        <v>1</v>
      </c>
      <c r="I543" s="7">
        <v>1</v>
      </c>
      <c r="J543" s="7">
        <v>0.14000000000000001</v>
      </c>
      <c r="K543" s="7" t="str">
        <f t="shared" si="16"/>
        <v>MONDAY</v>
      </c>
      <c r="L543" t="str">
        <f t="shared" si="17"/>
        <v>Heavy Rain</v>
      </c>
    </row>
    <row r="544" spans="1:12" x14ac:dyDescent="0.25">
      <c r="A544" s="7">
        <v>543</v>
      </c>
      <c r="B544" s="8">
        <v>40567</v>
      </c>
      <c r="C544" s="7">
        <v>1</v>
      </c>
      <c r="D544" s="7">
        <v>0</v>
      </c>
      <c r="E544" s="7">
        <v>1</v>
      </c>
      <c r="F544" s="7">
        <v>18</v>
      </c>
      <c r="G544" s="7" t="b">
        <v>0</v>
      </c>
      <c r="H544" s="7">
        <v>1</v>
      </c>
      <c r="I544" s="7">
        <v>1</v>
      </c>
      <c r="J544" s="7">
        <v>0.14000000000000001</v>
      </c>
      <c r="K544" s="7" t="str">
        <f t="shared" si="16"/>
        <v>MONDAY</v>
      </c>
      <c r="L544" t="str">
        <f t="shared" si="17"/>
        <v>Heavy Rain</v>
      </c>
    </row>
    <row r="545" spans="1:12" x14ac:dyDescent="0.25">
      <c r="A545" s="7">
        <v>544</v>
      </c>
      <c r="B545" s="8">
        <v>40567</v>
      </c>
      <c r="C545" s="7">
        <v>1</v>
      </c>
      <c r="D545" s="7">
        <v>0</v>
      </c>
      <c r="E545" s="7">
        <v>1</v>
      </c>
      <c r="F545" s="7">
        <v>19</v>
      </c>
      <c r="G545" s="7" t="b">
        <v>0</v>
      </c>
      <c r="H545" s="7">
        <v>1</v>
      </c>
      <c r="I545" s="7">
        <v>1</v>
      </c>
      <c r="J545" s="7">
        <v>0.14000000000000001</v>
      </c>
      <c r="K545" s="7" t="str">
        <f t="shared" si="16"/>
        <v>MONDAY</v>
      </c>
      <c r="L545" t="str">
        <f t="shared" si="17"/>
        <v>Heavy Rain</v>
      </c>
    </row>
    <row r="546" spans="1:12" x14ac:dyDescent="0.25">
      <c r="A546" s="7">
        <v>545</v>
      </c>
      <c r="B546" s="8">
        <v>40567</v>
      </c>
      <c r="C546" s="7">
        <v>1</v>
      </c>
      <c r="D546" s="7">
        <v>0</v>
      </c>
      <c r="E546" s="7">
        <v>1</v>
      </c>
      <c r="F546" s="7">
        <v>20</v>
      </c>
      <c r="G546" s="7" t="b">
        <v>0</v>
      </c>
      <c r="H546" s="7">
        <v>1</v>
      </c>
      <c r="I546" s="7">
        <v>1</v>
      </c>
      <c r="J546" s="7">
        <v>0.14000000000000001</v>
      </c>
      <c r="K546" s="7" t="str">
        <f t="shared" si="16"/>
        <v>MONDAY</v>
      </c>
      <c r="L546" t="str">
        <f t="shared" si="17"/>
        <v>Heavy Rain</v>
      </c>
    </row>
    <row r="547" spans="1:12" x14ac:dyDescent="0.25">
      <c r="A547" s="7">
        <v>546</v>
      </c>
      <c r="B547" s="8">
        <v>40567</v>
      </c>
      <c r="C547" s="7">
        <v>1</v>
      </c>
      <c r="D547" s="7">
        <v>0</v>
      </c>
      <c r="E547" s="7">
        <v>1</v>
      </c>
      <c r="F547" s="7">
        <v>21</v>
      </c>
      <c r="G547" s="7" t="b">
        <v>0</v>
      </c>
      <c r="H547" s="7">
        <v>1</v>
      </c>
      <c r="I547" s="7">
        <v>1</v>
      </c>
      <c r="J547" s="7">
        <v>0.14000000000000001</v>
      </c>
      <c r="K547" s="7" t="str">
        <f t="shared" si="16"/>
        <v>MONDAY</v>
      </c>
      <c r="L547" t="str">
        <f t="shared" si="17"/>
        <v>Heavy Rain</v>
      </c>
    </row>
    <row r="548" spans="1:12" x14ac:dyDescent="0.25">
      <c r="A548" s="7">
        <v>547</v>
      </c>
      <c r="B548" s="8">
        <v>40567</v>
      </c>
      <c r="C548" s="7">
        <v>1</v>
      </c>
      <c r="D548" s="7">
        <v>0</v>
      </c>
      <c r="E548" s="7">
        <v>1</v>
      </c>
      <c r="F548" s="7">
        <v>22</v>
      </c>
      <c r="G548" s="7" t="b">
        <v>0</v>
      </c>
      <c r="H548" s="7">
        <v>1</v>
      </c>
      <c r="I548" s="7">
        <v>2</v>
      </c>
      <c r="J548" s="7">
        <v>0.14000000000000001</v>
      </c>
      <c r="K548" s="7" t="str">
        <f t="shared" si="16"/>
        <v>MONDAY</v>
      </c>
      <c r="L548" t="str">
        <f t="shared" si="17"/>
        <v>Heavy Rain</v>
      </c>
    </row>
    <row r="549" spans="1:12" x14ac:dyDescent="0.25">
      <c r="A549" s="7">
        <v>548</v>
      </c>
      <c r="B549" s="8">
        <v>40567</v>
      </c>
      <c r="C549" s="7">
        <v>1</v>
      </c>
      <c r="D549" s="7">
        <v>0</v>
      </c>
      <c r="E549" s="7">
        <v>1</v>
      </c>
      <c r="F549" s="7">
        <v>23</v>
      </c>
      <c r="G549" s="7" t="b">
        <v>0</v>
      </c>
      <c r="H549" s="7">
        <v>1</v>
      </c>
      <c r="I549" s="7">
        <v>2</v>
      </c>
      <c r="J549" s="7">
        <v>0.16</v>
      </c>
      <c r="K549" s="7" t="str">
        <f t="shared" si="16"/>
        <v>MONDAY</v>
      </c>
      <c r="L549" t="str">
        <f t="shared" si="17"/>
        <v>Heavy Rain</v>
      </c>
    </row>
    <row r="550" spans="1:12" x14ac:dyDescent="0.25">
      <c r="A550" s="7">
        <v>549</v>
      </c>
      <c r="B550" s="8">
        <v>40568</v>
      </c>
      <c r="C550" s="7">
        <v>1</v>
      </c>
      <c r="D550" s="7">
        <v>0</v>
      </c>
      <c r="E550" s="7">
        <v>1</v>
      </c>
      <c r="F550" s="7">
        <v>0</v>
      </c>
      <c r="G550" s="7" t="b">
        <v>0</v>
      </c>
      <c r="H550" s="7">
        <v>2</v>
      </c>
      <c r="I550" s="7">
        <v>2</v>
      </c>
      <c r="J550" s="7">
        <v>0.16</v>
      </c>
      <c r="K550" s="7" t="str">
        <f t="shared" si="16"/>
        <v>TUESDAY</v>
      </c>
      <c r="L550" t="str">
        <f t="shared" si="17"/>
        <v>Heavy Rain</v>
      </c>
    </row>
    <row r="551" spans="1:12" x14ac:dyDescent="0.25">
      <c r="A551" s="7">
        <v>550</v>
      </c>
      <c r="B551" s="8">
        <v>40568</v>
      </c>
      <c r="C551" s="7">
        <v>1</v>
      </c>
      <c r="D551" s="7">
        <v>0</v>
      </c>
      <c r="E551" s="7">
        <v>1</v>
      </c>
      <c r="F551" s="7">
        <v>1</v>
      </c>
      <c r="G551" s="7" t="b">
        <v>0</v>
      </c>
      <c r="H551" s="7">
        <v>2</v>
      </c>
      <c r="I551" s="7">
        <v>2</v>
      </c>
      <c r="J551" s="7">
        <v>0.16</v>
      </c>
      <c r="K551" s="7" t="str">
        <f t="shared" si="16"/>
        <v>TUESDAY</v>
      </c>
      <c r="L551" t="str">
        <f t="shared" si="17"/>
        <v>Heavy Rain</v>
      </c>
    </row>
    <row r="552" spans="1:12" x14ac:dyDescent="0.25">
      <c r="A552" s="7">
        <v>551</v>
      </c>
      <c r="B552" s="8">
        <v>40568</v>
      </c>
      <c r="C552" s="7">
        <v>1</v>
      </c>
      <c r="D552" s="7">
        <v>0</v>
      </c>
      <c r="E552" s="7">
        <v>1</v>
      </c>
      <c r="F552" s="7">
        <v>2</v>
      </c>
      <c r="G552" s="7" t="b">
        <v>0</v>
      </c>
      <c r="H552" s="7">
        <v>2</v>
      </c>
      <c r="I552" s="7">
        <v>1</v>
      </c>
      <c r="J552" s="7">
        <v>0.16</v>
      </c>
      <c r="K552" s="7" t="str">
        <f t="shared" si="16"/>
        <v>TUESDAY</v>
      </c>
      <c r="L552" t="str">
        <f t="shared" si="17"/>
        <v>Heavy Rain</v>
      </c>
    </row>
    <row r="553" spans="1:12" x14ac:dyDescent="0.25">
      <c r="A553" s="7">
        <v>552</v>
      </c>
      <c r="B553" s="8">
        <v>40568</v>
      </c>
      <c r="C553" s="7">
        <v>1</v>
      </c>
      <c r="D553" s="7">
        <v>0</v>
      </c>
      <c r="E553" s="7">
        <v>1</v>
      </c>
      <c r="F553" s="7">
        <v>4</v>
      </c>
      <c r="G553" s="7" t="b">
        <v>0</v>
      </c>
      <c r="H553" s="7">
        <v>2</v>
      </c>
      <c r="I553" s="7">
        <v>1</v>
      </c>
      <c r="J553" s="7">
        <v>0.14000000000000001</v>
      </c>
      <c r="K553" s="7" t="str">
        <f t="shared" si="16"/>
        <v>TUESDAY</v>
      </c>
      <c r="L553" t="str">
        <f t="shared" si="17"/>
        <v>Heavy Rain</v>
      </c>
    </row>
    <row r="554" spans="1:12" x14ac:dyDescent="0.25">
      <c r="A554" s="7">
        <v>553</v>
      </c>
      <c r="B554" s="8">
        <v>40568</v>
      </c>
      <c r="C554" s="7">
        <v>1</v>
      </c>
      <c r="D554" s="7">
        <v>0</v>
      </c>
      <c r="E554" s="7">
        <v>1</v>
      </c>
      <c r="F554" s="7">
        <v>5</v>
      </c>
      <c r="G554" s="7" t="b">
        <v>0</v>
      </c>
      <c r="H554" s="7">
        <v>2</v>
      </c>
      <c r="I554" s="7">
        <v>1</v>
      </c>
      <c r="J554" s="7">
        <v>0.14000000000000001</v>
      </c>
      <c r="K554" s="7" t="str">
        <f t="shared" si="16"/>
        <v>TUESDAY</v>
      </c>
      <c r="L554" t="str">
        <f t="shared" si="17"/>
        <v>Heavy Rain</v>
      </c>
    </row>
    <row r="555" spans="1:12" x14ac:dyDescent="0.25">
      <c r="A555" s="7">
        <v>554</v>
      </c>
      <c r="B555" s="8">
        <v>40568</v>
      </c>
      <c r="C555" s="7">
        <v>1</v>
      </c>
      <c r="D555" s="7">
        <v>0</v>
      </c>
      <c r="E555" s="7">
        <v>1</v>
      </c>
      <c r="F555" s="7">
        <v>6</v>
      </c>
      <c r="G555" s="7" t="b">
        <v>0</v>
      </c>
      <c r="H555" s="7">
        <v>2</v>
      </c>
      <c r="I555" s="7">
        <v>1</v>
      </c>
      <c r="J555" s="7">
        <v>0.16</v>
      </c>
      <c r="K555" s="7" t="str">
        <f t="shared" si="16"/>
        <v>TUESDAY</v>
      </c>
      <c r="L555" t="str">
        <f t="shared" si="17"/>
        <v>Heavy Rain</v>
      </c>
    </row>
    <row r="556" spans="1:12" x14ac:dyDescent="0.25">
      <c r="A556" s="7">
        <v>555</v>
      </c>
      <c r="B556" s="8">
        <v>40568</v>
      </c>
      <c r="C556" s="7">
        <v>1</v>
      </c>
      <c r="D556" s="7">
        <v>0</v>
      </c>
      <c r="E556" s="7">
        <v>1</v>
      </c>
      <c r="F556" s="7">
        <v>7</v>
      </c>
      <c r="G556" s="7" t="b">
        <v>0</v>
      </c>
      <c r="H556" s="7">
        <v>2</v>
      </c>
      <c r="I556" s="7">
        <v>1</v>
      </c>
      <c r="J556" s="7">
        <v>0.16</v>
      </c>
      <c r="K556" s="7" t="str">
        <f t="shared" si="16"/>
        <v>TUESDAY</v>
      </c>
      <c r="L556" t="str">
        <f t="shared" si="17"/>
        <v>Heavy Rain</v>
      </c>
    </row>
    <row r="557" spans="1:12" x14ac:dyDescent="0.25">
      <c r="A557" s="7">
        <v>556</v>
      </c>
      <c r="B557" s="8">
        <v>40568</v>
      </c>
      <c r="C557" s="7">
        <v>1</v>
      </c>
      <c r="D557" s="7">
        <v>0</v>
      </c>
      <c r="E557" s="7">
        <v>1</v>
      </c>
      <c r="F557" s="7">
        <v>8</v>
      </c>
      <c r="G557" s="7" t="b">
        <v>0</v>
      </c>
      <c r="H557" s="7">
        <v>2</v>
      </c>
      <c r="I557" s="7">
        <v>2</v>
      </c>
      <c r="J557" s="7">
        <v>0.16</v>
      </c>
      <c r="K557" s="7" t="str">
        <f t="shared" si="16"/>
        <v>TUESDAY</v>
      </c>
      <c r="L557" t="str">
        <f t="shared" si="17"/>
        <v>Heavy Rain</v>
      </c>
    </row>
    <row r="558" spans="1:12" x14ac:dyDescent="0.25">
      <c r="A558" s="7">
        <v>557</v>
      </c>
      <c r="B558" s="8">
        <v>40568</v>
      </c>
      <c r="C558" s="7">
        <v>1</v>
      </c>
      <c r="D558" s="7">
        <v>0</v>
      </c>
      <c r="E558" s="7">
        <v>1</v>
      </c>
      <c r="F558" s="7">
        <v>9</v>
      </c>
      <c r="G558" s="7" t="b">
        <v>0</v>
      </c>
      <c r="H558" s="7">
        <v>2</v>
      </c>
      <c r="I558" s="7">
        <v>2</v>
      </c>
      <c r="J558" s="7">
        <v>0.2</v>
      </c>
      <c r="K558" s="7" t="str">
        <f t="shared" si="16"/>
        <v>TUESDAY</v>
      </c>
      <c r="L558" t="str">
        <f t="shared" si="17"/>
        <v>Heavy Rain</v>
      </c>
    </row>
    <row r="559" spans="1:12" x14ac:dyDescent="0.25">
      <c r="A559" s="7">
        <v>558</v>
      </c>
      <c r="B559" s="8">
        <v>40568</v>
      </c>
      <c r="C559" s="7">
        <v>1</v>
      </c>
      <c r="D559" s="7">
        <v>0</v>
      </c>
      <c r="E559" s="7">
        <v>1</v>
      </c>
      <c r="F559" s="7">
        <v>10</v>
      </c>
      <c r="G559" s="7" t="b">
        <v>0</v>
      </c>
      <c r="H559" s="7">
        <v>2</v>
      </c>
      <c r="I559" s="7">
        <v>2</v>
      </c>
      <c r="J559" s="7">
        <v>0.22</v>
      </c>
      <c r="K559" s="7" t="str">
        <f t="shared" si="16"/>
        <v>TUESDAY</v>
      </c>
      <c r="L559" t="str">
        <f t="shared" si="17"/>
        <v>Heavy Rain</v>
      </c>
    </row>
    <row r="560" spans="1:12" x14ac:dyDescent="0.25">
      <c r="A560" s="7">
        <v>559</v>
      </c>
      <c r="B560" s="8">
        <v>40568</v>
      </c>
      <c r="C560" s="7">
        <v>1</v>
      </c>
      <c r="D560" s="7">
        <v>0</v>
      </c>
      <c r="E560" s="7">
        <v>1</v>
      </c>
      <c r="F560" s="7">
        <v>11</v>
      </c>
      <c r="G560" s="7" t="b">
        <v>0</v>
      </c>
      <c r="H560" s="7">
        <v>2</v>
      </c>
      <c r="I560" s="7">
        <v>2</v>
      </c>
      <c r="J560" s="7">
        <v>0.24</v>
      </c>
      <c r="K560" s="7" t="str">
        <f t="shared" si="16"/>
        <v>TUESDAY</v>
      </c>
      <c r="L560" t="str">
        <f t="shared" si="17"/>
        <v>Heavy Rain</v>
      </c>
    </row>
    <row r="561" spans="1:12" x14ac:dyDescent="0.25">
      <c r="A561" s="7">
        <v>560</v>
      </c>
      <c r="B561" s="8">
        <v>40568</v>
      </c>
      <c r="C561" s="7">
        <v>1</v>
      </c>
      <c r="D561" s="7">
        <v>0</v>
      </c>
      <c r="E561" s="7">
        <v>1</v>
      </c>
      <c r="F561" s="7">
        <v>12</v>
      </c>
      <c r="G561" s="7" t="b">
        <v>0</v>
      </c>
      <c r="H561" s="7">
        <v>2</v>
      </c>
      <c r="I561" s="7">
        <v>2</v>
      </c>
      <c r="J561" s="7">
        <v>0.26</v>
      </c>
      <c r="K561" s="7" t="str">
        <f t="shared" si="16"/>
        <v>TUESDAY</v>
      </c>
      <c r="L561" t="str">
        <f t="shared" si="17"/>
        <v>Heavy Rain</v>
      </c>
    </row>
    <row r="562" spans="1:12" x14ac:dyDescent="0.25">
      <c r="A562" s="7">
        <v>561</v>
      </c>
      <c r="B562" s="8">
        <v>40568</v>
      </c>
      <c r="C562" s="7">
        <v>1</v>
      </c>
      <c r="D562" s="7">
        <v>0</v>
      </c>
      <c r="E562" s="7">
        <v>1</v>
      </c>
      <c r="F562" s="7">
        <v>13</v>
      </c>
      <c r="G562" s="7" t="b">
        <v>0</v>
      </c>
      <c r="H562" s="7">
        <v>2</v>
      </c>
      <c r="I562" s="7">
        <v>2</v>
      </c>
      <c r="J562" s="7">
        <v>0.26</v>
      </c>
      <c r="K562" s="7" t="str">
        <f t="shared" si="16"/>
        <v>TUESDAY</v>
      </c>
      <c r="L562" t="str">
        <f t="shared" si="17"/>
        <v>Heavy Rain</v>
      </c>
    </row>
    <row r="563" spans="1:12" x14ac:dyDescent="0.25">
      <c r="A563" s="7">
        <v>562</v>
      </c>
      <c r="B563" s="8">
        <v>40568</v>
      </c>
      <c r="C563" s="7">
        <v>1</v>
      </c>
      <c r="D563" s="7">
        <v>0</v>
      </c>
      <c r="E563" s="7">
        <v>1</v>
      </c>
      <c r="F563" s="7">
        <v>14</v>
      </c>
      <c r="G563" s="7" t="b">
        <v>0</v>
      </c>
      <c r="H563" s="7">
        <v>2</v>
      </c>
      <c r="I563" s="7">
        <v>2</v>
      </c>
      <c r="J563" s="7">
        <v>0.3</v>
      </c>
      <c r="K563" s="7" t="str">
        <f t="shared" si="16"/>
        <v>TUESDAY</v>
      </c>
      <c r="L563" t="str">
        <f t="shared" si="17"/>
        <v>Heavy Rain</v>
      </c>
    </row>
    <row r="564" spans="1:12" x14ac:dyDescent="0.25">
      <c r="A564" s="7">
        <v>563</v>
      </c>
      <c r="B564" s="8">
        <v>40568</v>
      </c>
      <c r="C564" s="7">
        <v>1</v>
      </c>
      <c r="D564" s="7">
        <v>0</v>
      </c>
      <c r="E564" s="7">
        <v>1</v>
      </c>
      <c r="F564" s="7">
        <v>15</v>
      </c>
      <c r="G564" s="7" t="b">
        <v>0</v>
      </c>
      <c r="H564" s="7">
        <v>2</v>
      </c>
      <c r="I564" s="7">
        <v>2</v>
      </c>
      <c r="J564" s="7">
        <v>0.32</v>
      </c>
      <c r="K564" s="7" t="str">
        <f t="shared" si="16"/>
        <v>TUESDAY</v>
      </c>
      <c r="L564" t="str">
        <f t="shared" si="17"/>
        <v>Heavy Rain</v>
      </c>
    </row>
    <row r="565" spans="1:12" x14ac:dyDescent="0.25">
      <c r="A565" s="7">
        <v>564</v>
      </c>
      <c r="B565" s="8">
        <v>40568</v>
      </c>
      <c r="C565" s="7">
        <v>1</v>
      </c>
      <c r="D565" s="7">
        <v>0</v>
      </c>
      <c r="E565" s="7">
        <v>1</v>
      </c>
      <c r="F565" s="7">
        <v>16</v>
      </c>
      <c r="G565" s="7" t="b">
        <v>0</v>
      </c>
      <c r="H565" s="7">
        <v>2</v>
      </c>
      <c r="I565" s="7">
        <v>2</v>
      </c>
      <c r="J565" s="7">
        <v>0.32</v>
      </c>
      <c r="K565" s="7" t="str">
        <f t="shared" si="16"/>
        <v>TUESDAY</v>
      </c>
      <c r="L565" t="str">
        <f t="shared" si="17"/>
        <v>Heavy Rain</v>
      </c>
    </row>
    <row r="566" spans="1:12" x14ac:dyDescent="0.25">
      <c r="A566" s="7">
        <v>565</v>
      </c>
      <c r="B566" s="8">
        <v>40568</v>
      </c>
      <c r="C566" s="7">
        <v>1</v>
      </c>
      <c r="D566" s="7">
        <v>0</v>
      </c>
      <c r="E566" s="7">
        <v>1</v>
      </c>
      <c r="F566" s="7">
        <v>17</v>
      </c>
      <c r="G566" s="7" t="b">
        <v>0</v>
      </c>
      <c r="H566" s="7">
        <v>2</v>
      </c>
      <c r="I566" s="7">
        <v>1</v>
      </c>
      <c r="J566" s="7">
        <v>0.3</v>
      </c>
      <c r="K566" s="7" t="str">
        <f t="shared" si="16"/>
        <v>TUESDAY</v>
      </c>
      <c r="L566" t="str">
        <f t="shared" si="17"/>
        <v>Heavy Rain</v>
      </c>
    </row>
    <row r="567" spans="1:12" x14ac:dyDescent="0.25">
      <c r="A567" s="7">
        <v>566</v>
      </c>
      <c r="B567" s="8">
        <v>40568</v>
      </c>
      <c r="C567" s="7">
        <v>1</v>
      </c>
      <c r="D567" s="7">
        <v>0</v>
      </c>
      <c r="E567" s="7">
        <v>1</v>
      </c>
      <c r="F567" s="7">
        <v>18</v>
      </c>
      <c r="G567" s="7" t="b">
        <v>0</v>
      </c>
      <c r="H567" s="7">
        <v>2</v>
      </c>
      <c r="I567" s="7">
        <v>2</v>
      </c>
      <c r="J567" s="7">
        <v>0.3</v>
      </c>
      <c r="K567" s="7" t="str">
        <f t="shared" si="16"/>
        <v>TUESDAY</v>
      </c>
      <c r="L567" t="str">
        <f t="shared" si="17"/>
        <v>Heavy Rain</v>
      </c>
    </row>
    <row r="568" spans="1:12" x14ac:dyDescent="0.25">
      <c r="A568" s="7">
        <v>567</v>
      </c>
      <c r="B568" s="8">
        <v>40568</v>
      </c>
      <c r="C568" s="7">
        <v>1</v>
      </c>
      <c r="D568" s="7">
        <v>0</v>
      </c>
      <c r="E568" s="7">
        <v>1</v>
      </c>
      <c r="F568" s="7">
        <v>19</v>
      </c>
      <c r="G568" s="7" t="b">
        <v>0</v>
      </c>
      <c r="H568" s="7">
        <v>2</v>
      </c>
      <c r="I568" s="7">
        <v>2</v>
      </c>
      <c r="J568" s="7">
        <v>0.26</v>
      </c>
      <c r="K568" s="7" t="str">
        <f t="shared" si="16"/>
        <v>TUESDAY</v>
      </c>
      <c r="L568" t="str">
        <f t="shared" si="17"/>
        <v>Heavy Rain</v>
      </c>
    </row>
    <row r="569" spans="1:12" x14ac:dyDescent="0.25">
      <c r="A569" s="7">
        <v>568</v>
      </c>
      <c r="B569" s="8">
        <v>40568</v>
      </c>
      <c r="C569" s="7">
        <v>1</v>
      </c>
      <c r="D569" s="7">
        <v>0</v>
      </c>
      <c r="E569" s="7">
        <v>1</v>
      </c>
      <c r="F569" s="7">
        <v>20</v>
      </c>
      <c r="G569" s="7" t="b">
        <v>0</v>
      </c>
      <c r="H569" s="7">
        <v>2</v>
      </c>
      <c r="I569" s="7">
        <v>1</v>
      </c>
      <c r="J569" s="7">
        <v>0.24</v>
      </c>
      <c r="K569" s="7" t="str">
        <f t="shared" si="16"/>
        <v>TUESDAY</v>
      </c>
      <c r="L569" t="str">
        <f t="shared" si="17"/>
        <v>Heavy Rain</v>
      </c>
    </row>
    <row r="570" spans="1:12" x14ac:dyDescent="0.25">
      <c r="A570" s="7">
        <v>569</v>
      </c>
      <c r="B570" s="8">
        <v>40568</v>
      </c>
      <c r="C570" s="7">
        <v>1</v>
      </c>
      <c r="D570" s="7">
        <v>0</v>
      </c>
      <c r="E570" s="7">
        <v>1</v>
      </c>
      <c r="F570" s="7">
        <v>21</v>
      </c>
      <c r="G570" s="7" t="b">
        <v>0</v>
      </c>
      <c r="H570" s="7">
        <v>2</v>
      </c>
      <c r="I570" s="7">
        <v>1</v>
      </c>
      <c r="J570" s="7">
        <v>0.24</v>
      </c>
      <c r="K570" s="7" t="str">
        <f t="shared" si="16"/>
        <v>TUESDAY</v>
      </c>
      <c r="L570" t="str">
        <f t="shared" si="17"/>
        <v>Heavy Rain</v>
      </c>
    </row>
    <row r="571" spans="1:12" x14ac:dyDescent="0.25">
      <c r="A571" s="7">
        <v>570</v>
      </c>
      <c r="B571" s="8">
        <v>40568</v>
      </c>
      <c r="C571" s="7">
        <v>1</v>
      </c>
      <c r="D571" s="7">
        <v>0</v>
      </c>
      <c r="E571" s="7">
        <v>1</v>
      </c>
      <c r="F571" s="7">
        <v>22</v>
      </c>
      <c r="G571" s="7" t="b">
        <v>0</v>
      </c>
      <c r="H571" s="7">
        <v>2</v>
      </c>
      <c r="I571" s="7">
        <v>1</v>
      </c>
      <c r="J571" s="7">
        <v>0.22</v>
      </c>
      <c r="K571" s="7" t="str">
        <f t="shared" si="16"/>
        <v>TUESDAY</v>
      </c>
      <c r="L571" t="str">
        <f t="shared" si="17"/>
        <v>Heavy Rain</v>
      </c>
    </row>
    <row r="572" spans="1:12" x14ac:dyDescent="0.25">
      <c r="A572" s="7">
        <v>571</v>
      </c>
      <c r="B572" s="8">
        <v>40568</v>
      </c>
      <c r="C572" s="7">
        <v>1</v>
      </c>
      <c r="D572" s="7">
        <v>0</v>
      </c>
      <c r="E572" s="7">
        <v>1</v>
      </c>
      <c r="F572" s="7">
        <v>23</v>
      </c>
      <c r="G572" s="7" t="b">
        <v>0</v>
      </c>
      <c r="H572" s="7">
        <v>2</v>
      </c>
      <c r="I572" s="7">
        <v>2</v>
      </c>
      <c r="J572" s="7">
        <v>0.22</v>
      </c>
      <c r="K572" s="7" t="str">
        <f t="shared" si="16"/>
        <v>TUESDAY</v>
      </c>
      <c r="L572" t="str">
        <f t="shared" si="17"/>
        <v>Heavy Rain</v>
      </c>
    </row>
    <row r="573" spans="1:12" x14ac:dyDescent="0.25">
      <c r="A573" s="7">
        <v>572</v>
      </c>
      <c r="B573" s="8">
        <v>40569</v>
      </c>
      <c r="C573" s="7">
        <v>1</v>
      </c>
      <c r="D573" s="7">
        <v>0</v>
      </c>
      <c r="E573" s="7">
        <v>1</v>
      </c>
      <c r="F573" s="7">
        <v>0</v>
      </c>
      <c r="G573" s="7" t="b">
        <v>0</v>
      </c>
      <c r="H573" s="7">
        <v>3</v>
      </c>
      <c r="I573" s="7">
        <v>2</v>
      </c>
      <c r="J573" s="7">
        <v>0.22</v>
      </c>
      <c r="K573" s="7" t="str">
        <f t="shared" si="16"/>
        <v>WENESDAY</v>
      </c>
      <c r="L573" t="str">
        <f t="shared" si="17"/>
        <v>Heavy Rain</v>
      </c>
    </row>
    <row r="574" spans="1:12" x14ac:dyDescent="0.25">
      <c r="A574" s="7">
        <v>573</v>
      </c>
      <c r="B574" s="8">
        <v>40569</v>
      </c>
      <c r="C574" s="7">
        <v>1</v>
      </c>
      <c r="D574" s="7">
        <v>0</v>
      </c>
      <c r="E574" s="7">
        <v>1</v>
      </c>
      <c r="F574" s="7">
        <v>1</v>
      </c>
      <c r="G574" s="7" t="b">
        <v>0</v>
      </c>
      <c r="H574" s="7">
        <v>3</v>
      </c>
      <c r="I574" s="7">
        <v>2</v>
      </c>
      <c r="J574" s="7">
        <v>0.24</v>
      </c>
      <c r="K574" s="7" t="str">
        <f t="shared" si="16"/>
        <v>WENESDAY</v>
      </c>
      <c r="L574" t="str">
        <f t="shared" si="17"/>
        <v>Heavy Rain</v>
      </c>
    </row>
    <row r="575" spans="1:12" x14ac:dyDescent="0.25">
      <c r="A575" s="7">
        <v>574</v>
      </c>
      <c r="B575" s="8">
        <v>40569</v>
      </c>
      <c r="C575" s="7">
        <v>1</v>
      </c>
      <c r="D575" s="7">
        <v>0</v>
      </c>
      <c r="E575" s="7">
        <v>1</v>
      </c>
      <c r="F575" s="7">
        <v>2</v>
      </c>
      <c r="G575" s="7" t="b">
        <v>0</v>
      </c>
      <c r="H575" s="7">
        <v>3</v>
      </c>
      <c r="I575" s="7">
        <v>3</v>
      </c>
      <c r="J575" s="7">
        <v>0.22</v>
      </c>
      <c r="K575" s="7" t="str">
        <f t="shared" si="16"/>
        <v>WENESDAY</v>
      </c>
      <c r="L575" t="str">
        <f t="shared" si="17"/>
        <v>Heavy Rain</v>
      </c>
    </row>
    <row r="576" spans="1:12" x14ac:dyDescent="0.25">
      <c r="A576" s="7">
        <v>575</v>
      </c>
      <c r="B576" s="8">
        <v>40569</v>
      </c>
      <c r="C576" s="7">
        <v>1</v>
      </c>
      <c r="D576" s="7">
        <v>0</v>
      </c>
      <c r="E576" s="7">
        <v>1</v>
      </c>
      <c r="F576" s="7">
        <v>5</v>
      </c>
      <c r="G576" s="7" t="b">
        <v>0</v>
      </c>
      <c r="H576" s="7">
        <v>3</v>
      </c>
      <c r="I576" s="7">
        <v>3</v>
      </c>
      <c r="J576" s="7" t="s">
        <v>16</v>
      </c>
      <c r="K576" s="7" t="str">
        <f t="shared" si="16"/>
        <v>WENESDAY</v>
      </c>
      <c r="L576" t="str">
        <f t="shared" si="17"/>
        <v>Heavy Rain</v>
      </c>
    </row>
    <row r="577" spans="1:12" x14ac:dyDescent="0.25">
      <c r="A577" s="7">
        <v>576</v>
      </c>
      <c r="B577" s="8">
        <v>40569</v>
      </c>
      <c r="C577" s="7">
        <v>1</v>
      </c>
      <c r="D577" s="7">
        <v>0</v>
      </c>
      <c r="E577" s="7">
        <v>1</v>
      </c>
      <c r="F577" s="7">
        <v>6</v>
      </c>
      <c r="G577" s="7" t="b">
        <v>0</v>
      </c>
      <c r="H577" s="7">
        <v>3</v>
      </c>
      <c r="I577" s="7">
        <v>3</v>
      </c>
      <c r="J577" s="7">
        <v>0.2</v>
      </c>
      <c r="K577" s="7" t="str">
        <f t="shared" si="16"/>
        <v>WENESDAY</v>
      </c>
      <c r="L577" t="str">
        <f t="shared" si="17"/>
        <v>Heavy Rain</v>
      </c>
    </row>
    <row r="578" spans="1:12" x14ac:dyDescent="0.25">
      <c r="A578" s="7">
        <v>577</v>
      </c>
      <c r="B578" s="8">
        <v>40569</v>
      </c>
      <c r="C578" s="7">
        <v>1</v>
      </c>
      <c r="D578" s="7">
        <v>0</v>
      </c>
      <c r="E578" s="7">
        <v>1</v>
      </c>
      <c r="F578" s="7">
        <v>7</v>
      </c>
      <c r="G578" s="7" t="b">
        <v>0</v>
      </c>
      <c r="H578" s="7">
        <v>3</v>
      </c>
      <c r="I578" s="7">
        <v>3</v>
      </c>
      <c r="J578" s="7">
        <v>0.22</v>
      </c>
      <c r="K578" s="7" t="str">
        <f t="shared" ref="K578:K611" si="18">CHOOSE(H578+1, "SUNDAY", "MONDAY","TUESDAY", "WENESDAY","THUSDAY", "FRIDAY", "SATARDAY")</f>
        <v>WENESDAY</v>
      </c>
      <c r="L578" t="str">
        <f t="shared" ref="L578:L611" si="19">IF(A578=1,"Clear",IF(A578=2,"Mist",IF(A578=3,"Light Rain/Snow","Heavy Rain")))</f>
        <v>Heavy Rain</v>
      </c>
    </row>
    <row r="579" spans="1:12" x14ac:dyDescent="0.25">
      <c r="A579" s="7">
        <v>578</v>
      </c>
      <c r="B579" s="8">
        <v>40569</v>
      </c>
      <c r="C579" s="7">
        <v>1</v>
      </c>
      <c r="D579" s="7">
        <v>0</v>
      </c>
      <c r="E579" s="7">
        <v>1</v>
      </c>
      <c r="F579" s="7">
        <v>8</v>
      </c>
      <c r="G579" s="7" t="b">
        <v>0</v>
      </c>
      <c r="H579" s="7">
        <v>3</v>
      </c>
      <c r="I579" s="7">
        <v>3</v>
      </c>
      <c r="J579" s="7">
        <v>0.22</v>
      </c>
      <c r="K579" s="7" t="str">
        <f t="shared" si="18"/>
        <v>WENESDAY</v>
      </c>
      <c r="L579" t="str">
        <f t="shared" si="19"/>
        <v>Heavy Rain</v>
      </c>
    </row>
    <row r="580" spans="1:12" x14ac:dyDescent="0.25">
      <c r="A580" s="7">
        <v>579</v>
      </c>
      <c r="B580" s="8">
        <v>40569</v>
      </c>
      <c r="C580" s="7">
        <v>1</v>
      </c>
      <c r="D580" s="7">
        <v>0</v>
      </c>
      <c r="E580" s="7">
        <v>1</v>
      </c>
      <c r="F580" s="7">
        <v>9</v>
      </c>
      <c r="G580" s="7" t="b">
        <v>0</v>
      </c>
      <c r="H580" s="7">
        <v>3</v>
      </c>
      <c r="I580" s="7">
        <v>3</v>
      </c>
      <c r="J580" s="7">
        <v>0.22</v>
      </c>
      <c r="K580" s="7" t="str">
        <f t="shared" si="18"/>
        <v>WENESDAY</v>
      </c>
      <c r="L580" t="str">
        <f t="shared" si="19"/>
        <v>Heavy Rain</v>
      </c>
    </row>
    <row r="581" spans="1:12" x14ac:dyDescent="0.25">
      <c r="A581" s="7">
        <v>580</v>
      </c>
      <c r="B581" s="8">
        <v>40569</v>
      </c>
      <c r="C581" s="7">
        <v>1</v>
      </c>
      <c r="D581" s="7">
        <v>0</v>
      </c>
      <c r="E581" s="7">
        <v>1</v>
      </c>
      <c r="F581" s="7">
        <v>10</v>
      </c>
      <c r="G581" s="7" t="b">
        <v>0</v>
      </c>
      <c r="H581" s="7">
        <v>3</v>
      </c>
      <c r="I581" s="7">
        <v>3</v>
      </c>
      <c r="J581" s="7">
        <v>0.22</v>
      </c>
      <c r="K581" s="7" t="str">
        <f t="shared" si="18"/>
        <v>WENESDAY</v>
      </c>
      <c r="L581" t="str">
        <f t="shared" si="19"/>
        <v>Heavy Rain</v>
      </c>
    </row>
    <row r="582" spans="1:12" x14ac:dyDescent="0.25">
      <c r="A582" s="7">
        <v>581</v>
      </c>
      <c r="B582" s="8">
        <v>40569</v>
      </c>
      <c r="C582" s="7">
        <v>1</v>
      </c>
      <c r="D582" s="7">
        <v>0</v>
      </c>
      <c r="E582" s="7">
        <v>1</v>
      </c>
      <c r="F582" s="7">
        <v>11</v>
      </c>
      <c r="G582" s="7" t="b">
        <v>0</v>
      </c>
      <c r="H582" s="7">
        <v>3</v>
      </c>
      <c r="I582" s="7">
        <v>3</v>
      </c>
      <c r="J582" s="7">
        <v>0.22</v>
      </c>
      <c r="K582" s="7" t="str">
        <f t="shared" si="18"/>
        <v>WENESDAY</v>
      </c>
      <c r="L582" t="str">
        <f t="shared" si="19"/>
        <v>Heavy Rain</v>
      </c>
    </row>
    <row r="583" spans="1:12" x14ac:dyDescent="0.25">
      <c r="A583" s="7">
        <v>582</v>
      </c>
      <c r="B583" s="8">
        <v>40569</v>
      </c>
      <c r="C583" s="7">
        <v>1</v>
      </c>
      <c r="D583" s="7">
        <v>0</v>
      </c>
      <c r="E583" s="7">
        <v>1</v>
      </c>
      <c r="F583" s="7">
        <v>12</v>
      </c>
      <c r="G583" s="7" t="b">
        <v>0</v>
      </c>
      <c r="H583" s="7">
        <v>3</v>
      </c>
      <c r="I583" s="7">
        <v>3</v>
      </c>
      <c r="J583" s="7">
        <v>0.22</v>
      </c>
      <c r="K583" s="7" t="str">
        <f t="shared" si="18"/>
        <v>WENESDAY</v>
      </c>
      <c r="L583" t="str">
        <f t="shared" si="19"/>
        <v>Heavy Rain</v>
      </c>
    </row>
    <row r="584" spans="1:12" x14ac:dyDescent="0.25">
      <c r="A584" s="7">
        <v>583</v>
      </c>
      <c r="B584" s="8">
        <v>40569</v>
      </c>
      <c r="C584" s="7">
        <v>1</v>
      </c>
      <c r="D584" s="7">
        <v>0</v>
      </c>
      <c r="E584" s="7">
        <v>1</v>
      </c>
      <c r="F584" s="7">
        <v>13</v>
      </c>
      <c r="G584" s="7" t="b">
        <v>0</v>
      </c>
      <c r="H584" s="7">
        <v>3</v>
      </c>
      <c r="I584" s="7">
        <v>3</v>
      </c>
      <c r="J584" s="7">
        <v>0.22</v>
      </c>
      <c r="K584" s="7" t="str">
        <f t="shared" si="18"/>
        <v>WENESDAY</v>
      </c>
      <c r="L584" t="str">
        <f t="shared" si="19"/>
        <v>Heavy Rain</v>
      </c>
    </row>
    <row r="585" spans="1:12" x14ac:dyDescent="0.25">
      <c r="A585" s="7">
        <v>584</v>
      </c>
      <c r="B585" s="8">
        <v>40569</v>
      </c>
      <c r="C585" s="7">
        <v>1</v>
      </c>
      <c r="D585" s="7">
        <v>0</v>
      </c>
      <c r="E585" s="7">
        <v>1</v>
      </c>
      <c r="F585" s="7">
        <v>14</v>
      </c>
      <c r="G585" s="7" t="b">
        <v>0</v>
      </c>
      <c r="H585" s="7">
        <v>3</v>
      </c>
      <c r="I585" s="7">
        <v>3</v>
      </c>
      <c r="J585" s="7">
        <v>0.22</v>
      </c>
      <c r="K585" s="7" t="str">
        <f t="shared" si="18"/>
        <v>WENESDAY</v>
      </c>
      <c r="L585" t="str">
        <f t="shared" si="19"/>
        <v>Heavy Rain</v>
      </c>
    </row>
    <row r="586" spans="1:12" x14ac:dyDescent="0.25">
      <c r="A586" s="7">
        <v>585</v>
      </c>
      <c r="B586" s="8">
        <v>40569</v>
      </c>
      <c r="C586" s="7">
        <v>1</v>
      </c>
      <c r="D586" s="7">
        <v>0</v>
      </c>
      <c r="E586" s="7">
        <v>1</v>
      </c>
      <c r="F586" s="7">
        <v>15</v>
      </c>
      <c r="G586" s="7" t="b">
        <v>0</v>
      </c>
      <c r="H586" s="7">
        <v>3</v>
      </c>
      <c r="I586" s="7">
        <v>3</v>
      </c>
      <c r="J586" s="7">
        <v>0.22</v>
      </c>
      <c r="K586" s="7" t="str">
        <f t="shared" si="18"/>
        <v>WENESDAY</v>
      </c>
      <c r="L586" t="str">
        <f t="shared" si="19"/>
        <v>Heavy Rain</v>
      </c>
    </row>
    <row r="587" spans="1:12" x14ac:dyDescent="0.25">
      <c r="A587" s="7">
        <v>586</v>
      </c>
      <c r="B587" s="8">
        <v>40569</v>
      </c>
      <c r="C587" s="7">
        <v>1</v>
      </c>
      <c r="D587" s="7">
        <v>0</v>
      </c>
      <c r="E587" s="7">
        <v>1</v>
      </c>
      <c r="F587" s="7">
        <v>16</v>
      </c>
      <c r="G587" s="7" t="b">
        <v>0</v>
      </c>
      <c r="H587" s="7">
        <v>3</v>
      </c>
      <c r="I587" s="7">
        <v>4</v>
      </c>
      <c r="J587" s="7">
        <v>0.22</v>
      </c>
      <c r="K587" s="7" t="str">
        <f t="shared" si="18"/>
        <v>WENESDAY</v>
      </c>
      <c r="L587" t="str">
        <f t="shared" si="19"/>
        <v>Heavy Rain</v>
      </c>
    </row>
    <row r="588" spans="1:12" x14ac:dyDescent="0.25">
      <c r="A588" s="7">
        <v>587</v>
      </c>
      <c r="B588" s="8">
        <v>40569</v>
      </c>
      <c r="C588" s="7">
        <v>1</v>
      </c>
      <c r="D588" s="7">
        <v>0</v>
      </c>
      <c r="E588" s="7">
        <v>1</v>
      </c>
      <c r="F588" s="7">
        <v>17</v>
      </c>
      <c r="G588" s="7" t="b">
        <v>0</v>
      </c>
      <c r="H588" s="7">
        <v>3</v>
      </c>
      <c r="I588" s="7">
        <v>3</v>
      </c>
      <c r="J588" s="7">
        <v>0.2</v>
      </c>
      <c r="K588" s="7" t="str">
        <f t="shared" si="18"/>
        <v>WENESDAY</v>
      </c>
      <c r="L588" t="str">
        <f t="shared" si="19"/>
        <v>Heavy Rain</v>
      </c>
    </row>
    <row r="589" spans="1:12" x14ac:dyDescent="0.25">
      <c r="A589" s="7">
        <v>588</v>
      </c>
      <c r="B589" s="8">
        <v>40570</v>
      </c>
      <c r="C589" s="7">
        <v>1</v>
      </c>
      <c r="D589" s="7">
        <v>0</v>
      </c>
      <c r="E589" s="7">
        <v>1</v>
      </c>
      <c r="F589" s="7">
        <v>16</v>
      </c>
      <c r="G589" s="7" t="b">
        <v>0</v>
      </c>
      <c r="H589" s="7">
        <v>4</v>
      </c>
      <c r="I589" s="7">
        <v>1</v>
      </c>
      <c r="J589" s="7">
        <v>0.22</v>
      </c>
      <c r="K589" s="7" t="str">
        <f t="shared" si="18"/>
        <v>THUSDAY</v>
      </c>
      <c r="L589" t="str">
        <f t="shared" si="19"/>
        <v>Heavy Rain</v>
      </c>
    </row>
    <row r="590" spans="1:12" x14ac:dyDescent="0.25">
      <c r="A590" s="7">
        <v>589</v>
      </c>
      <c r="B590" s="8">
        <v>40570</v>
      </c>
      <c r="C590" s="7">
        <v>1</v>
      </c>
      <c r="D590" s="7">
        <v>0</v>
      </c>
      <c r="E590" s="7">
        <v>1</v>
      </c>
      <c r="F590" s="7">
        <v>17</v>
      </c>
      <c r="G590" s="7" t="b">
        <v>0</v>
      </c>
      <c r="H590" s="7">
        <v>4</v>
      </c>
      <c r="I590" s="7">
        <v>1</v>
      </c>
      <c r="J590" s="7">
        <v>0.22</v>
      </c>
      <c r="K590" s="7" t="str">
        <f t="shared" si="18"/>
        <v>THUSDAY</v>
      </c>
      <c r="L590" t="str">
        <f t="shared" si="19"/>
        <v>Heavy Rain</v>
      </c>
    </row>
    <row r="591" spans="1:12" x14ac:dyDescent="0.25">
      <c r="A591" s="7">
        <v>590</v>
      </c>
      <c r="B591" s="8">
        <v>40570</v>
      </c>
      <c r="C591" s="7">
        <v>1</v>
      </c>
      <c r="D591" s="7">
        <v>0</v>
      </c>
      <c r="E591" s="7">
        <v>1</v>
      </c>
      <c r="F591" s="7">
        <v>18</v>
      </c>
      <c r="G591" s="7" t="b">
        <v>0</v>
      </c>
      <c r="H591" s="7">
        <v>4</v>
      </c>
      <c r="I591" s="7">
        <v>1</v>
      </c>
      <c r="J591" s="7">
        <v>0.2</v>
      </c>
      <c r="K591" s="7" t="str">
        <f t="shared" si="18"/>
        <v>THUSDAY</v>
      </c>
      <c r="L591" t="str">
        <f t="shared" si="19"/>
        <v>Heavy Rain</v>
      </c>
    </row>
    <row r="592" spans="1:12" x14ac:dyDescent="0.25">
      <c r="A592" s="7">
        <v>591</v>
      </c>
      <c r="B592" s="8">
        <v>40570</v>
      </c>
      <c r="C592" s="7">
        <v>1</v>
      </c>
      <c r="D592" s="7">
        <v>0</v>
      </c>
      <c r="E592" s="7">
        <v>1</v>
      </c>
      <c r="F592" s="7">
        <v>19</v>
      </c>
      <c r="G592" s="7" t="b">
        <v>0</v>
      </c>
      <c r="H592" s="7">
        <v>4</v>
      </c>
      <c r="I592" s="7">
        <v>1</v>
      </c>
      <c r="J592" s="7">
        <v>0.2</v>
      </c>
      <c r="K592" s="7" t="str">
        <f t="shared" si="18"/>
        <v>THUSDAY</v>
      </c>
      <c r="L592" t="str">
        <f t="shared" si="19"/>
        <v>Heavy Rain</v>
      </c>
    </row>
    <row r="593" spans="1:12" x14ac:dyDescent="0.25">
      <c r="A593" s="7">
        <v>592</v>
      </c>
      <c r="B593" s="8">
        <v>40570</v>
      </c>
      <c r="C593" s="7">
        <v>1</v>
      </c>
      <c r="D593" s="7">
        <v>0</v>
      </c>
      <c r="E593" s="7">
        <v>1</v>
      </c>
      <c r="F593" s="7">
        <v>20</v>
      </c>
      <c r="G593" s="7" t="b">
        <v>0</v>
      </c>
      <c r="H593" s="7">
        <v>4</v>
      </c>
      <c r="I593" s="7">
        <v>1</v>
      </c>
      <c r="J593" s="7">
        <v>0.18</v>
      </c>
      <c r="K593" s="7" t="str">
        <f t="shared" si="18"/>
        <v>THUSDAY</v>
      </c>
      <c r="L593" t="str">
        <f t="shared" si="19"/>
        <v>Heavy Rain</v>
      </c>
    </row>
    <row r="594" spans="1:12" x14ac:dyDescent="0.25">
      <c r="A594" s="7">
        <v>593</v>
      </c>
      <c r="B594" s="8">
        <v>40570</v>
      </c>
      <c r="C594" s="7">
        <v>1</v>
      </c>
      <c r="D594" s="7">
        <v>0</v>
      </c>
      <c r="E594" s="7">
        <v>1</v>
      </c>
      <c r="F594" s="7">
        <v>21</v>
      </c>
      <c r="G594" s="7" t="b">
        <v>0</v>
      </c>
      <c r="H594" s="7">
        <v>4</v>
      </c>
      <c r="I594" s="7">
        <v>1</v>
      </c>
      <c r="J594" s="7">
        <v>0.18</v>
      </c>
      <c r="K594" s="7" t="str">
        <f t="shared" si="18"/>
        <v>THUSDAY</v>
      </c>
      <c r="L594" t="str">
        <f t="shared" si="19"/>
        <v>Heavy Rain</v>
      </c>
    </row>
    <row r="595" spans="1:12" x14ac:dyDescent="0.25">
      <c r="A595" s="7">
        <v>594</v>
      </c>
      <c r="B595" s="8">
        <v>40570</v>
      </c>
      <c r="C595" s="7">
        <v>1</v>
      </c>
      <c r="D595" s="7">
        <v>0</v>
      </c>
      <c r="E595" s="7">
        <v>1</v>
      </c>
      <c r="F595" s="7">
        <v>22</v>
      </c>
      <c r="G595" s="7" t="b">
        <v>0</v>
      </c>
      <c r="H595" s="7">
        <v>4</v>
      </c>
      <c r="I595" s="7">
        <v>1</v>
      </c>
      <c r="J595" s="7">
        <v>0.18</v>
      </c>
      <c r="K595" s="7" t="str">
        <f t="shared" si="18"/>
        <v>THUSDAY</v>
      </c>
      <c r="L595" t="str">
        <f t="shared" si="19"/>
        <v>Heavy Rain</v>
      </c>
    </row>
    <row r="596" spans="1:12" x14ac:dyDescent="0.25">
      <c r="A596" s="7">
        <v>595</v>
      </c>
      <c r="B596" s="8">
        <v>40570</v>
      </c>
      <c r="C596" s="7">
        <v>1</v>
      </c>
      <c r="D596" s="7">
        <v>0</v>
      </c>
      <c r="E596" s="7">
        <v>1</v>
      </c>
      <c r="F596" s="7">
        <v>23</v>
      </c>
      <c r="G596" s="7" t="b">
        <v>0</v>
      </c>
      <c r="H596" s="7">
        <v>4</v>
      </c>
      <c r="I596" s="7">
        <v>1</v>
      </c>
      <c r="J596" s="7">
        <v>0.18</v>
      </c>
      <c r="K596" s="7" t="str">
        <f t="shared" si="18"/>
        <v>THUSDAY</v>
      </c>
      <c r="L596" t="str">
        <f t="shared" si="19"/>
        <v>Heavy Rain</v>
      </c>
    </row>
    <row r="597" spans="1:12" x14ac:dyDescent="0.25">
      <c r="A597" s="7">
        <v>596</v>
      </c>
      <c r="B597" s="8">
        <v>40571</v>
      </c>
      <c r="C597" s="7">
        <v>1</v>
      </c>
      <c r="D597" s="7">
        <v>0</v>
      </c>
      <c r="E597" s="7">
        <v>1</v>
      </c>
      <c r="F597" s="7">
        <v>0</v>
      </c>
      <c r="G597" s="7" t="b">
        <v>0</v>
      </c>
      <c r="H597" s="7">
        <v>5</v>
      </c>
      <c r="I597" s="7">
        <v>2</v>
      </c>
      <c r="J597" s="7">
        <v>0.2</v>
      </c>
      <c r="K597" s="7" t="str">
        <f t="shared" si="18"/>
        <v>FRIDAY</v>
      </c>
      <c r="L597" t="str">
        <f t="shared" si="19"/>
        <v>Heavy Rain</v>
      </c>
    </row>
    <row r="598" spans="1:12" x14ac:dyDescent="0.25">
      <c r="A598" s="7">
        <v>597</v>
      </c>
      <c r="B598" s="8">
        <v>40571</v>
      </c>
      <c r="C598" s="7">
        <v>1</v>
      </c>
      <c r="D598" s="7">
        <v>0</v>
      </c>
      <c r="E598" s="7">
        <v>1</v>
      </c>
      <c r="F598" s="7">
        <v>1</v>
      </c>
      <c r="G598" s="7" t="b">
        <v>0</v>
      </c>
      <c r="H598" s="7">
        <v>5</v>
      </c>
      <c r="I598" s="7">
        <v>2</v>
      </c>
      <c r="J598" s="7">
        <v>0.2</v>
      </c>
      <c r="K598" s="7" t="str">
        <f t="shared" si="18"/>
        <v>FRIDAY</v>
      </c>
      <c r="L598" t="str">
        <f t="shared" si="19"/>
        <v>Heavy Rain</v>
      </c>
    </row>
    <row r="599" spans="1:12" x14ac:dyDescent="0.25">
      <c r="A599" s="7">
        <v>598</v>
      </c>
      <c r="B599" s="8">
        <v>40571</v>
      </c>
      <c r="C599" s="7">
        <v>1</v>
      </c>
      <c r="D599" s="7">
        <v>0</v>
      </c>
      <c r="E599" s="7">
        <v>1</v>
      </c>
      <c r="F599" s="7">
        <v>2</v>
      </c>
      <c r="G599" s="7" t="b">
        <v>0</v>
      </c>
      <c r="H599" s="7">
        <v>5</v>
      </c>
      <c r="I599" s="7">
        <v>2</v>
      </c>
      <c r="J599" s="7">
        <v>0.2</v>
      </c>
      <c r="K599" s="7" t="str">
        <f t="shared" si="18"/>
        <v>FRIDAY</v>
      </c>
      <c r="L599" t="str">
        <f t="shared" si="19"/>
        <v>Heavy Rain</v>
      </c>
    </row>
    <row r="600" spans="1:12" x14ac:dyDescent="0.25">
      <c r="A600" s="7">
        <v>599</v>
      </c>
      <c r="B600" s="8">
        <v>40571</v>
      </c>
      <c r="C600" s="7">
        <v>1</v>
      </c>
      <c r="D600" s="7">
        <v>0</v>
      </c>
      <c r="E600" s="7">
        <v>1</v>
      </c>
      <c r="F600" s="7">
        <v>3</v>
      </c>
      <c r="G600" s="7" t="b">
        <v>0</v>
      </c>
      <c r="H600" s="7">
        <v>5</v>
      </c>
      <c r="I600" s="7">
        <v>2</v>
      </c>
      <c r="J600" s="7">
        <v>0.2</v>
      </c>
      <c r="K600" s="7" t="str">
        <f t="shared" si="18"/>
        <v>FRIDAY</v>
      </c>
      <c r="L600" t="str">
        <f t="shared" si="19"/>
        <v>Heavy Rain</v>
      </c>
    </row>
    <row r="601" spans="1:12" x14ac:dyDescent="0.25">
      <c r="A601" s="7">
        <v>600</v>
      </c>
      <c r="B601" s="8">
        <v>40571</v>
      </c>
      <c r="C601" s="7">
        <v>1</v>
      </c>
      <c r="D601" s="7">
        <v>0</v>
      </c>
      <c r="E601" s="7">
        <v>1</v>
      </c>
      <c r="F601" s="7">
        <v>5</v>
      </c>
      <c r="G601" s="7" t="b">
        <v>0</v>
      </c>
      <c r="H601" s="7">
        <v>5</v>
      </c>
      <c r="I601" s="7">
        <v>2</v>
      </c>
      <c r="J601" s="7">
        <v>0.18</v>
      </c>
      <c r="K601" s="7" t="str">
        <f t="shared" si="18"/>
        <v>FRIDAY</v>
      </c>
      <c r="L601" t="str">
        <f t="shared" si="19"/>
        <v>Heavy Rain</v>
      </c>
    </row>
    <row r="602" spans="1:12" x14ac:dyDescent="0.25">
      <c r="A602" s="7">
        <v>601</v>
      </c>
      <c r="B602" s="8">
        <v>40571</v>
      </c>
      <c r="C602" s="7">
        <v>1</v>
      </c>
      <c r="D602" s="7">
        <v>0</v>
      </c>
      <c r="E602" s="7">
        <v>1</v>
      </c>
      <c r="F602" s="7">
        <v>6</v>
      </c>
      <c r="G602" s="7" t="b">
        <v>0</v>
      </c>
      <c r="H602" s="7">
        <v>5</v>
      </c>
      <c r="I602" s="7">
        <v>2</v>
      </c>
      <c r="J602" s="7">
        <v>0.18</v>
      </c>
      <c r="K602" s="7" t="str">
        <f t="shared" si="18"/>
        <v>FRIDAY</v>
      </c>
      <c r="L602" t="str">
        <f t="shared" si="19"/>
        <v>Heavy Rain</v>
      </c>
    </row>
    <row r="603" spans="1:12" x14ac:dyDescent="0.25">
      <c r="A603" s="7">
        <v>602</v>
      </c>
      <c r="B603" s="8">
        <v>40571</v>
      </c>
      <c r="C603" s="7">
        <v>1</v>
      </c>
      <c r="D603" s="7">
        <v>0</v>
      </c>
      <c r="E603" s="7">
        <v>1</v>
      </c>
      <c r="F603" s="7">
        <v>7</v>
      </c>
      <c r="G603" s="7" t="b">
        <v>0</v>
      </c>
      <c r="H603" s="7">
        <v>5</v>
      </c>
      <c r="I603" s="7">
        <v>2</v>
      </c>
      <c r="J603" s="7">
        <v>0.16</v>
      </c>
      <c r="K603" s="7" t="str">
        <f t="shared" si="18"/>
        <v>FRIDAY</v>
      </c>
      <c r="L603" t="str">
        <f t="shared" si="19"/>
        <v>Heavy Rain</v>
      </c>
    </row>
    <row r="604" spans="1:12" x14ac:dyDescent="0.25">
      <c r="A604" s="7">
        <v>603</v>
      </c>
      <c r="B604" s="8">
        <v>40571</v>
      </c>
      <c r="C604" s="7">
        <v>1</v>
      </c>
      <c r="D604" s="7">
        <v>0</v>
      </c>
      <c r="E604" s="7">
        <v>1</v>
      </c>
      <c r="F604" s="7">
        <v>8</v>
      </c>
      <c r="G604" s="7" t="b">
        <v>0</v>
      </c>
      <c r="H604" s="7">
        <v>5</v>
      </c>
      <c r="I604" s="7">
        <v>2</v>
      </c>
      <c r="J604" s="7">
        <v>0.16</v>
      </c>
      <c r="K604" s="7" t="str">
        <f t="shared" si="18"/>
        <v>FRIDAY</v>
      </c>
      <c r="L604" t="str">
        <f t="shared" si="19"/>
        <v>Heavy Rain</v>
      </c>
    </row>
    <row r="605" spans="1:12" x14ac:dyDescent="0.25">
      <c r="A605" s="7">
        <v>604</v>
      </c>
      <c r="B605" s="8">
        <v>40571</v>
      </c>
      <c r="C605" s="7">
        <v>1</v>
      </c>
      <c r="D605" s="7">
        <v>0</v>
      </c>
      <c r="E605" s="7">
        <v>1</v>
      </c>
      <c r="F605" s="7">
        <v>9</v>
      </c>
      <c r="G605" s="7" t="b">
        <v>0</v>
      </c>
      <c r="H605" s="7">
        <v>5</v>
      </c>
      <c r="I605" s="7">
        <v>3</v>
      </c>
      <c r="J605" s="7">
        <v>0.18</v>
      </c>
      <c r="K605" s="7" t="str">
        <f t="shared" si="18"/>
        <v>FRIDAY</v>
      </c>
      <c r="L605" t="str">
        <f t="shared" si="19"/>
        <v>Heavy Rain</v>
      </c>
    </row>
    <row r="606" spans="1:12" x14ac:dyDescent="0.25">
      <c r="A606" s="7">
        <v>605</v>
      </c>
      <c r="B606" s="8">
        <v>40571</v>
      </c>
      <c r="C606" s="7">
        <v>1</v>
      </c>
      <c r="D606" s="7">
        <v>0</v>
      </c>
      <c r="E606" s="7">
        <v>1</v>
      </c>
      <c r="F606" s="7">
        <v>10</v>
      </c>
      <c r="G606" s="7" t="b">
        <v>0</v>
      </c>
      <c r="H606" s="7">
        <v>5</v>
      </c>
      <c r="I606" s="7">
        <v>3</v>
      </c>
      <c r="J606" s="7">
        <v>0.18</v>
      </c>
      <c r="K606" s="7" t="str">
        <f t="shared" si="18"/>
        <v>FRIDAY</v>
      </c>
      <c r="L606" t="str">
        <f t="shared" si="19"/>
        <v>Heavy Rain</v>
      </c>
    </row>
    <row r="607" spans="1:12" x14ac:dyDescent="0.25">
      <c r="A607" s="7">
        <v>606</v>
      </c>
      <c r="B607" s="8">
        <v>40571</v>
      </c>
      <c r="C607" s="7">
        <v>1</v>
      </c>
      <c r="D607" s="7">
        <v>0</v>
      </c>
      <c r="E607" s="7">
        <v>1</v>
      </c>
      <c r="F607" s="7">
        <v>11</v>
      </c>
      <c r="G607" s="7" t="b">
        <v>0</v>
      </c>
      <c r="H607" s="7">
        <v>5</v>
      </c>
      <c r="I607" s="7">
        <v>3</v>
      </c>
      <c r="J607" s="7">
        <v>0.18</v>
      </c>
      <c r="K607" s="7" t="str">
        <f t="shared" si="18"/>
        <v>FRIDAY</v>
      </c>
      <c r="L607" t="str">
        <f t="shared" si="19"/>
        <v>Heavy Rain</v>
      </c>
    </row>
    <row r="608" spans="1:12" x14ac:dyDescent="0.25">
      <c r="A608" s="7">
        <v>607</v>
      </c>
      <c r="B608" s="8">
        <v>40571</v>
      </c>
      <c r="C608" s="7">
        <v>1</v>
      </c>
      <c r="D608" s="7">
        <v>0</v>
      </c>
      <c r="E608" s="7">
        <v>1</v>
      </c>
      <c r="F608" s="7">
        <v>12</v>
      </c>
      <c r="G608" s="7" t="b">
        <v>0</v>
      </c>
      <c r="H608" s="7">
        <v>5</v>
      </c>
      <c r="I608" s="7">
        <v>3</v>
      </c>
      <c r="J608" s="7">
        <v>0.18</v>
      </c>
      <c r="K608" s="7" t="str">
        <f t="shared" si="18"/>
        <v>FRIDAY</v>
      </c>
      <c r="L608" t="str">
        <f t="shared" si="19"/>
        <v>Heavy Rain</v>
      </c>
    </row>
    <row r="609" spans="1:12" x14ac:dyDescent="0.25">
      <c r="A609" s="7">
        <v>608</v>
      </c>
      <c r="B609" s="8">
        <v>40571</v>
      </c>
      <c r="C609" s="7">
        <v>1</v>
      </c>
      <c r="D609" s="7">
        <v>0</v>
      </c>
      <c r="E609" s="7">
        <v>1</v>
      </c>
      <c r="F609" s="7">
        <v>13</v>
      </c>
      <c r="G609" s="7" t="b">
        <v>0</v>
      </c>
      <c r="H609" s="7">
        <v>5</v>
      </c>
      <c r="I609" s="7">
        <v>3</v>
      </c>
      <c r="J609" s="7">
        <v>0.18</v>
      </c>
      <c r="K609" s="7" t="str">
        <f t="shared" si="18"/>
        <v>FRIDAY</v>
      </c>
      <c r="L609" t="str">
        <f t="shared" si="19"/>
        <v>Heavy Rain</v>
      </c>
    </row>
    <row r="610" spans="1:12" x14ac:dyDescent="0.25">
      <c r="A610" s="7">
        <v>609</v>
      </c>
      <c r="B610" s="8">
        <v>40571</v>
      </c>
      <c r="C610" s="7">
        <v>1</v>
      </c>
      <c r="D610" s="7">
        <v>0</v>
      </c>
      <c r="E610" s="7">
        <v>1</v>
      </c>
      <c r="F610" s="7">
        <v>14</v>
      </c>
      <c r="G610" s="7" t="b">
        <v>0</v>
      </c>
      <c r="H610" s="7">
        <v>5</v>
      </c>
      <c r="I610" s="7">
        <v>3</v>
      </c>
      <c r="J610" s="7">
        <v>0.22</v>
      </c>
      <c r="K610" s="7" t="str">
        <f t="shared" si="18"/>
        <v>FRIDAY</v>
      </c>
      <c r="L610" t="str">
        <f t="shared" si="19"/>
        <v>Heavy Rain</v>
      </c>
    </row>
    <row r="611" spans="1:12" x14ac:dyDescent="0.25">
      <c r="A611" s="7">
        <v>610</v>
      </c>
      <c r="B611" s="8">
        <v>40571</v>
      </c>
      <c r="C611" s="7">
        <v>1</v>
      </c>
      <c r="D611" s="7">
        <v>0</v>
      </c>
      <c r="E611" s="7">
        <v>1</v>
      </c>
      <c r="F611" s="7">
        <v>15</v>
      </c>
      <c r="G611" s="7" t="b">
        <v>0</v>
      </c>
      <c r="H611" s="7">
        <v>5</v>
      </c>
      <c r="I611" s="7">
        <v>2</v>
      </c>
      <c r="J611" s="7">
        <v>0.2</v>
      </c>
      <c r="K611" s="7" t="str">
        <f t="shared" si="18"/>
        <v>FRIDAY</v>
      </c>
      <c r="L611" t="str">
        <f t="shared" si="19"/>
        <v>Heavy Rain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24"/>
  <sheetViews>
    <sheetView topLeftCell="B1" workbookViewId="0">
      <selection activeCell="K21" sqref="K21"/>
    </sheetView>
  </sheetViews>
  <sheetFormatPr defaultColWidth="14.42578125" defaultRowHeight="15" x14ac:dyDescent="0.25"/>
  <cols>
    <col min="1" max="4" width="8.7109375" customWidth="1"/>
    <col min="5" max="5" width="10.42578125" customWidth="1"/>
    <col min="6" max="6" width="8.7109375" customWidth="1"/>
    <col min="7" max="7" width="9.7109375" customWidth="1"/>
    <col min="8" max="8" width="4.28515625" customWidth="1"/>
    <col min="9" max="26" width="8.7109375" customWidth="1"/>
  </cols>
  <sheetData>
    <row r="1" spans="1:8" x14ac:dyDescent="0.25">
      <c r="A1" s="9" t="s">
        <v>38</v>
      </c>
      <c r="B1" s="9" t="s">
        <v>0</v>
      </c>
      <c r="C1" s="9" t="s">
        <v>10</v>
      </c>
      <c r="D1" s="9" t="s">
        <v>11</v>
      </c>
      <c r="E1" s="9" t="s">
        <v>12</v>
      </c>
      <c r="F1" s="9" t="s">
        <v>13</v>
      </c>
      <c r="G1" s="9" t="s">
        <v>14</v>
      </c>
      <c r="H1" s="9" t="s">
        <v>15</v>
      </c>
    </row>
    <row r="2" spans="1:8" x14ac:dyDescent="0.25">
      <c r="A2" s="9">
        <v>0</v>
      </c>
      <c r="B2" s="9">
        <v>1</v>
      </c>
      <c r="C2" s="9">
        <v>0.28789999999999999</v>
      </c>
      <c r="D2" s="9">
        <v>0.81</v>
      </c>
      <c r="E2" s="9">
        <v>0</v>
      </c>
      <c r="F2" s="9">
        <v>3</v>
      </c>
      <c r="G2" s="9">
        <v>13</v>
      </c>
      <c r="H2" s="9">
        <v>16</v>
      </c>
    </row>
    <row r="3" spans="1:8" x14ac:dyDescent="0.25">
      <c r="A3" s="9">
        <v>1</v>
      </c>
      <c r="B3" s="9">
        <v>2</v>
      </c>
      <c r="C3" s="9">
        <v>0.2727</v>
      </c>
      <c r="D3" s="9">
        <v>0.8</v>
      </c>
      <c r="E3" s="9">
        <v>0</v>
      </c>
      <c r="F3" s="9">
        <v>8</v>
      </c>
      <c r="G3" s="9">
        <v>32</v>
      </c>
      <c r="H3" s="9">
        <v>40</v>
      </c>
    </row>
    <row r="4" spans="1:8" x14ac:dyDescent="0.25">
      <c r="A4" s="9">
        <v>2</v>
      </c>
      <c r="B4" s="9">
        <v>3</v>
      </c>
      <c r="C4" s="9">
        <v>0.2727</v>
      </c>
      <c r="D4" s="9">
        <v>0.8</v>
      </c>
      <c r="E4" s="9">
        <v>0</v>
      </c>
      <c r="F4" s="9">
        <v>5</v>
      </c>
      <c r="G4" s="9">
        <v>27</v>
      </c>
      <c r="H4" s="9">
        <v>32</v>
      </c>
    </row>
    <row r="5" spans="1:8" x14ac:dyDescent="0.25">
      <c r="A5" s="9">
        <v>3</v>
      </c>
      <c r="B5" s="9">
        <v>4</v>
      </c>
      <c r="C5" s="9">
        <v>0.28789999999999999</v>
      </c>
      <c r="D5" s="9">
        <v>0.75</v>
      </c>
      <c r="E5" s="9">
        <v>0</v>
      </c>
      <c r="F5" s="9">
        <v>3</v>
      </c>
      <c r="G5" s="9">
        <v>10</v>
      </c>
      <c r="H5" s="9">
        <v>13</v>
      </c>
    </row>
    <row r="6" spans="1:8" x14ac:dyDescent="0.25">
      <c r="A6" s="9">
        <v>4</v>
      </c>
      <c r="B6" s="9">
        <v>5</v>
      </c>
      <c r="C6" s="9">
        <v>0.28789999999999999</v>
      </c>
      <c r="D6" s="9">
        <v>0.75</v>
      </c>
      <c r="E6" s="9">
        <v>0</v>
      </c>
      <c r="F6" s="9">
        <v>0</v>
      </c>
      <c r="G6" s="9">
        <v>1</v>
      </c>
      <c r="H6" s="9">
        <v>1</v>
      </c>
    </row>
    <row r="7" spans="1:8" x14ac:dyDescent="0.25">
      <c r="A7" s="9">
        <v>5</v>
      </c>
      <c r="B7" s="9">
        <v>6</v>
      </c>
      <c r="C7" s="9">
        <v>0.2576</v>
      </c>
      <c r="D7" s="9">
        <v>0.75</v>
      </c>
      <c r="E7" s="9">
        <v>8.9599999999999999E-2</v>
      </c>
      <c r="F7" s="9">
        <v>0</v>
      </c>
      <c r="G7" s="9">
        <v>1</v>
      </c>
      <c r="H7" s="9">
        <v>1</v>
      </c>
    </row>
    <row r="8" spans="1:8" x14ac:dyDescent="0.25">
      <c r="A8" s="9">
        <v>6</v>
      </c>
      <c r="B8" s="9">
        <v>7</v>
      </c>
      <c r="C8" s="9">
        <v>0.2727</v>
      </c>
      <c r="D8" s="9">
        <v>0.8</v>
      </c>
      <c r="E8" s="9">
        <v>0</v>
      </c>
      <c r="F8" s="9">
        <v>2</v>
      </c>
      <c r="G8" s="9">
        <v>0</v>
      </c>
      <c r="H8" s="9">
        <v>2</v>
      </c>
    </row>
    <row r="9" spans="1:8" x14ac:dyDescent="0.25">
      <c r="A9" s="9">
        <v>7</v>
      </c>
      <c r="B9" s="9">
        <v>8</v>
      </c>
      <c r="C9" s="9">
        <v>0.2576</v>
      </c>
      <c r="D9" s="9">
        <v>0.86</v>
      </c>
      <c r="E9" s="9">
        <v>0</v>
      </c>
      <c r="F9" s="9">
        <v>1</v>
      </c>
      <c r="G9" s="9">
        <v>2</v>
      </c>
      <c r="H9" s="9">
        <v>3</v>
      </c>
    </row>
    <row r="10" spans="1:8" x14ac:dyDescent="0.25">
      <c r="A10" s="9">
        <v>8</v>
      </c>
      <c r="B10" s="9">
        <v>9</v>
      </c>
      <c r="D10" s="9">
        <v>0.75</v>
      </c>
      <c r="E10" s="9">
        <v>0</v>
      </c>
      <c r="F10" s="9">
        <v>1</v>
      </c>
      <c r="G10" s="9">
        <v>7</v>
      </c>
      <c r="H10" s="9">
        <v>8</v>
      </c>
    </row>
    <row r="11" spans="1:8" x14ac:dyDescent="0.25">
      <c r="A11" s="9">
        <v>9</v>
      </c>
      <c r="B11" s="9">
        <v>10</v>
      </c>
      <c r="C11" s="9">
        <v>0.34849999999999998</v>
      </c>
      <c r="D11" s="9">
        <v>0.76</v>
      </c>
      <c r="E11" s="9">
        <v>0</v>
      </c>
      <c r="F11" s="9">
        <v>8</v>
      </c>
      <c r="G11" s="9">
        <v>6</v>
      </c>
      <c r="H11" s="9">
        <v>14</v>
      </c>
    </row>
    <row r="12" spans="1:8" x14ac:dyDescent="0.25">
      <c r="A12" s="9">
        <v>10</v>
      </c>
      <c r="B12" s="9">
        <v>11</v>
      </c>
      <c r="C12" s="9">
        <v>0.39389999999999997</v>
      </c>
      <c r="D12" s="9">
        <v>0.76</v>
      </c>
      <c r="E12" s="9">
        <v>0.25369999999999998</v>
      </c>
      <c r="F12" s="9">
        <v>12</v>
      </c>
      <c r="G12" s="9">
        <v>24</v>
      </c>
      <c r="H12" s="9">
        <v>36</v>
      </c>
    </row>
    <row r="13" spans="1:8" x14ac:dyDescent="0.25">
      <c r="A13" s="9">
        <v>11</v>
      </c>
      <c r="B13" s="9">
        <v>12</v>
      </c>
      <c r="C13" s="9">
        <v>0.33329999999999999</v>
      </c>
      <c r="D13" s="9">
        <v>0.81</v>
      </c>
      <c r="E13" s="9">
        <v>0.28360000000000002</v>
      </c>
      <c r="F13" s="9">
        <v>26</v>
      </c>
      <c r="G13" s="9">
        <v>30</v>
      </c>
      <c r="H13" s="9">
        <v>56</v>
      </c>
    </row>
    <row r="14" spans="1:8" x14ac:dyDescent="0.25">
      <c r="A14" s="9">
        <v>12</v>
      </c>
      <c r="B14" s="9">
        <v>13</v>
      </c>
      <c r="C14" s="9">
        <v>0.42420000000000002</v>
      </c>
      <c r="D14" s="9">
        <v>0.77</v>
      </c>
      <c r="E14" s="9">
        <v>0.28360000000000002</v>
      </c>
      <c r="F14" s="9">
        <v>29</v>
      </c>
      <c r="G14" s="9">
        <v>55</v>
      </c>
      <c r="H14" s="9">
        <v>84</v>
      </c>
    </row>
    <row r="15" spans="1:8" x14ac:dyDescent="0.25">
      <c r="A15" s="9">
        <v>13</v>
      </c>
      <c r="B15" s="9">
        <v>14</v>
      </c>
      <c r="C15" s="9">
        <v>0.45450000000000002</v>
      </c>
      <c r="D15" s="9">
        <v>0.72</v>
      </c>
      <c r="E15" s="9">
        <v>0.29849999999999999</v>
      </c>
      <c r="F15" s="9">
        <v>47</v>
      </c>
      <c r="G15" s="9">
        <v>47</v>
      </c>
      <c r="H15" s="9">
        <v>94</v>
      </c>
    </row>
    <row r="16" spans="1:8" x14ac:dyDescent="0.25">
      <c r="A16" s="9">
        <v>14</v>
      </c>
      <c r="B16" s="9">
        <v>15</v>
      </c>
      <c r="C16" s="9">
        <v>0.45450000000000002</v>
      </c>
      <c r="D16" s="9">
        <v>0.72</v>
      </c>
      <c r="E16" s="9">
        <v>0.28360000000000002</v>
      </c>
      <c r="F16" s="9">
        <v>35</v>
      </c>
      <c r="G16" s="9">
        <v>71</v>
      </c>
      <c r="H16" s="9">
        <v>106</v>
      </c>
    </row>
    <row r="17" spans="1:8" x14ac:dyDescent="0.25">
      <c r="A17" s="9">
        <v>15</v>
      </c>
      <c r="B17" s="9">
        <v>16</v>
      </c>
      <c r="C17" s="9">
        <v>0.43940000000000001</v>
      </c>
      <c r="D17" s="9">
        <v>0.77</v>
      </c>
      <c r="E17" s="9">
        <v>0.29849999999999999</v>
      </c>
      <c r="F17" s="9">
        <v>40</v>
      </c>
      <c r="G17" s="9">
        <v>70</v>
      </c>
      <c r="H17" s="9">
        <v>110</v>
      </c>
    </row>
    <row r="18" spans="1:8" x14ac:dyDescent="0.25">
      <c r="A18" s="9">
        <v>16</v>
      </c>
      <c r="B18" s="9">
        <v>17</v>
      </c>
      <c r="C18" s="9">
        <v>0.42420000000000002</v>
      </c>
      <c r="D18" s="9">
        <v>0.82</v>
      </c>
      <c r="E18" s="9">
        <v>0.29849999999999999</v>
      </c>
      <c r="F18" s="9">
        <v>41</v>
      </c>
      <c r="G18" s="9">
        <v>52</v>
      </c>
      <c r="H18" s="9">
        <v>93</v>
      </c>
    </row>
    <row r="19" spans="1:8" x14ac:dyDescent="0.25">
      <c r="A19" s="9">
        <v>17</v>
      </c>
      <c r="B19" s="9">
        <v>18</v>
      </c>
      <c r="D19" s="9">
        <v>0.82</v>
      </c>
      <c r="E19" s="9">
        <v>0.28360000000000002</v>
      </c>
      <c r="F19" s="9">
        <v>15</v>
      </c>
      <c r="G19" s="9">
        <v>52</v>
      </c>
      <c r="H19" s="9">
        <v>67</v>
      </c>
    </row>
    <row r="20" spans="1:8" x14ac:dyDescent="0.25">
      <c r="A20" s="9">
        <v>18</v>
      </c>
      <c r="B20" s="9">
        <v>19</v>
      </c>
      <c r="C20" s="9">
        <v>0.42420000000000002</v>
      </c>
      <c r="D20" s="9">
        <v>0.88</v>
      </c>
      <c r="E20" s="9">
        <v>0.25369999999999998</v>
      </c>
      <c r="F20" s="9">
        <v>9</v>
      </c>
      <c r="G20" s="9">
        <v>26</v>
      </c>
      <c r="H20" s="9">
        <v>35</v>
      </c>
    </row>
    <row r="21" spans="1:8" ht="15.75" customHeight="1" x14ac:dyDescent="0.25">
      <c r="A21" s="9">
        <v>19</v>
      </c>
      <c r="B21" s="9">
        <v>20</v>
      </c>
      <c r="C21" s="9">
        <v>0.42420000000000002</v>
      </c>
      <c r="D21" s="9">
        <v>0.88</v>
      </c>
      <c r="E21" s="9">
        <v>0.25369999999999998</v>
      </c>
      <c r="F21" s="9">
        <v>6</v>
      </c>
      <c r="G21" s="9">
        <v>31</v>
      </c>
      <c r="H21" s="9">
        <v>37</v>
      </c>
    </row>
    <row r="22" spans="1:8" ht="15.75" customHeight="1" x14ac:dyDescent="0.25">
      <c r="A22" s="9">
        <v>20</v>
      </c>
      <c r="B22" s="9">
        <v>21</v>
      </c>
      <c r="C22" s="9">
        <v>0.40910000000000002</v>
      </c>
      <c r="D22" s="9">
        <v>0.87</v>
      </c>
      <c r="E22" s="9">
        <v>0.25369999999999998</v>
      </c>
      <c r="F22" s="9">
        <v>11</v>
      </c>
      <c r="G22" s="9">
        <v>25</v>
      </c>
      <c r="H22" s="9">
        <v>36</v>
      </c>
    </row>
    <row r="23" spans="1:8" ht="15.75" customHeight="1" x14ac:dyDescent="0.25">
      <c r="A23" s="9">
        <v>21</v>
      </c>
      <c r="B23" s="9">
        <v>22</v>
      </c>
      <c r="C23" s="9">
        <v>0.40910000000000002</v>
      </c>
      <c r="D23" s="9">
        <v>0.87</v>
      </c>
      <c r="E23" s="9">
        <v>0.19400000000000001</v>
      </c>
      <c r="F23" s="9">
        <v>3</v>
      </c>
      <c r="G23" s="9">
        <v>31</v>
      </c>
      <c r="H23" s="9">
        <v>34</v>
      </c>
    </row>
    <row r="24" spans="1:8" ht="15.75" customHeight="1" x14ac:dyDescent="0.25">
      <c r="A24" s="9">
        <v>22</v>
      </c>
      <c r="B24" s="9">
        <v>23</v>
      </c>
      <c r="C24" s="9">
        <v>0.40910000000000002</v>
      </c>
      <c r="D24" s="9">
        <v>0.94</v>
      </c>
      <c r="E24" s="9">
        <v>0.22389999999999999</v>
      </c>
      <c r="F24" s="9">
        <v>11</v>
      </c>
      <c r="G24" s="9">
        <v>17</v>
      </c>
      <c r="H24" s="9">
        <v>28</v>
      </c>
    </row>
    <row r="25" spans="1:8" ht="15.75" customHeight="1" x14ac:dyDescent="0.25">
      <c r="A25" s="9">
        <v>23</v>
      </c>
      <c r="B25" s="9">
        <v>24</v>
      </c>
      <c r="D25" s="9">
        <v>0.88</v>
      </c>
      <c r="E25" s="9">
        <v>0.29849999999999999</v>
      </c>
      <c r="F25" s="9">
        <v>15</v>
      </c>
      <c r="G25" s="9">
        <v>24</v>
      </c>
      <c r="H25" s="9">
        <v>39</v>
      </c>
    </row>
    <row r="26" spans="1:8" ht="15.75" customHeight="1" x14ac:dyDescent="0.25">
      <c r="A26" s="9">
        <v>24</v>
      </c>
      <c r="B26" s="9">
        <v>25</v>
      </c>
      <c r="C26" s="9">
        <v>0.45450000000000002</v>
      </c>
      <c r="D26" s="9">
        <v>0.88</v>
      </c>
      <c r="E26" s="9">
        <v>0.29849999999999999</v>
      </c>
      <c r="F26" s="9">
        <v>4</v>
      </c>
      <c r="G26" s="9">
        <v>13</v>
      </c>
      <c r="H26" s="9">
        <v>17</v>
      </c>
    </row>
    <row r="27" spans="1:8" ht="15.75" customHeight="1" x14ac:dyDescent="0.25">
      <c r="A27" s="9">
        <v>25</v>
      </c>
      <c r="B27" s="9">
        <v>26</v>
      </c>
      <c r="C27" s="9">
        <v>0.43940000000000001</v>
      </c>
      <c r="D27" s="9">
        <v>0.94</v>
      </c>
      <c r="E27" s="9">
        <v>0.25369999999999998</v>
      </c>
      <c r="F27" s="9">
        <v>1</v>
      </c>
      <c r="G27" s="9">
        <v>16</v>
      </c>
      <c r="H27" s="9">
        <v>17</v>
      </c>
    </row>
    <row r="28" spans="1:8" ht="15.75" customHeight="1" x14ac:dyDescent="0.25">
      <c r="A28" s="9">
        <v>26</v>
      </c>
      <c r="B28" s="9">
        <v>27</v>
      </c>
      <c r="C28" s="9">
        <v>0.42420000000000002</v>
      </c>
      <c r="D28" s="9">
        <v>1</v>
      </c>
      <c r="E28" s="9">
        <v>0.28360000000000002</v>
      </c>
      <c r="F28" s="9">
        <v>1</v>
      </c>
      <c r="G28" s="9">
        <v>8</v>
      </c>
      <c r="H28" s="9">
        <v>9</v>
      </c>
    </row>
    <row r="29" spans="1:8" ht="15.75" customHeight="1" x14ac:dyDescent="0.25">
      <c r="A29" s="9">
        <v>27</v>
      </c>
      <c r="B29" s="9">
        <v>28</v>
      </c>
      <c r="C29" s="9">
        <v>0.45450000000000002</v>
      </c>
      <c r="D29" s="9">
        <v>0.94</v>
      </c>
      <c r="E29" s="9">
        <v>0.19400000000000001</v>
      </c>
      <c r="F29" s="9">
        <v>2</v>
      </c>
      <c r="G29" s="9">
        <v>4</v>
      </c>
      <c r="H29" s="9">
        <v>6</v>
      </c>
    </row>
    <row r="30" spans="1:8" ht="15.75" customHeight="1" x14ac:dyDescent="0.25">
      <c r="A30" s="9">
        <v>28</v>
      </c>
      <c r="B30" s="9">
        <v>29</v>
      </c>
      <c r="D30" s="9">
        <v>0.94</v>
      </c>
      <c r="E30" s="9">
        <v>0.19400000000000001</v>
      </c>
      <c r="F30" s="9">
        <v>2</v>
      </c>
      <c r="G30" s="9">
        <v>1</v>
      </c>
      <c r="H30" s="9">
        <v>3</v>
      </c>
    </row>
    <row r="31" spans="1:8" ht="15.75" customHeight="1" x14ac:dyDescent="0.25">
      <c r="A31" s="9">
        <v>29</v>
      </c>
      <c r="B31" s="9">
        <v>30</v>
      </c>
      <c r="C31" s="9">
        <v>0.42420000000000002</v>
      </c>
      <c r="D31" s="9">
        <v>0.77</v>
      </c>
      <c r="E31" s="9">
        <v>0.29849999999999999</v>
      </c>
      <c r="F31" s="9">
        <v>0</v>
      </c>
      <c r="G31" s="9">
        <v>2</v>
      </c>
      <c r="H31" s="9">
        <v>2</v>
      </c>
    </row>
    <row r="32" spans="1:8" ht="15.75" customHeight="1" x14ac:dyDescent="0.25">
      <c r="A32" s="9">
        <v>30</v>
      </c>
      <c r="B32" s="9">
        <v>31</v>
      </c>
      <c r="C32" s="9">
        <v>0.40910000000000002</v>
      </c>
      <c r="D32" s="9">
        <v>0.76</v>
      </c>
      <c r="E32" s="9">
        <v>0.19400000000000001</v>
      </c>
      <c r="F32" s="9">
        <v>0</v>
      </c>
      <c r="G32" s="9">
        <v>1</v>
      </c>
      <c r="H32" s="9">
        <v>1</v>
      </c>
    </row>
    <row r="33" spans="1:8" ht="15.75" customHeight="1" x14ac:dyDescent="0.25">
      <c r="A33" s="9">
        <v>31</v>
      </c>
      <c r="B33" s="9">
        <v>32</v>
      </c>
      <c r="C33" s="9">
        <v>0.40910000000000002</v>
      </c>
      <c r="D33" s="9">
        <v>0.71</v>
      </c>
      <c r="E33" s="9">
        <v>0.22389999999999999</v>
      </c>
      <c r="F33" s="9">
        <v>0</v>
      </c>
      <c r="G33" s="9">
        <v>8</v>
      </c>
      <c r="H33" s="9">
        <v>8</v>
      </c>
    </row>
    <row r="34" spans="1:8" ht="15.75" customHeight="1" x14ac:dyDescent="0.25">
      <c r="A34" s="9">
        <v>32</v>
      </c>
      <c r="B34" s="9">
        <v>33</v>
      </c>
      <c r="D34" s="9">
        <v>0.76</v>
      </c>
      <c r="E34" s="9">
        <v>0.22389999999999999</v>
      </c>
      <c r="F34" s="9">
        <v>1</v>
      </c>
      <c r="G34" s="9">
        <v>19</v>
      </c>
      <c r="H34" s="9">
        <v>20</v>
      </c>
    </row>
    <row r="35" spans="1:8" ht="15.75" customHeight="1" x14ac:dyDescent="0.25">
      <c r="A35" s="9">
        <v>33</v>
      </c>
      <c r="B35" s="9">
        <v>34</v>
      </c>
      <c r="C35" s="9">
        <v>0.34849999999999998</v>
      </c>
      <c r="D35" s="9">
        <v>0.81</v>
      </c>
      <c r="E35" s="9">
        <v>0.22389999999999999</v>
      </c>
      <c r="F35" s="9">
        <v>7</v>
      </c>
      <c r="G35" s="9">
        <v>46</v>
      </c>
      <c r="H35" s="9">
        <v>53</v>
      </c>
    </row>
    <row r="36" spans="1:8" ht="15.75" customHeight="1" x14ac:dyDescent="0.25">
      <c r="A36" s="9">
        <v>34</v>
      </c>
      <c r="B36" s="9">
        <v>35</v>
      </c>
      <c r="C36" s="9">
        <v>0.33329999999999999</v>
      </c>
      <c r="D36" s="9">
        <v>0.71</v>
      </c>
      <c r="E36" s="9">
        <v>0.25369999999999998</v>
      </c>
      <c r="F36" s="9">
        <v>16</v>
      </c>
      <c r="G36" s="9">
        <v>54</v>
      </c>
      <c r="H36" s="9">
        <v>70</v>
      </c>
    </row>
    <row r="37" spans="1:8" ht="15.75" customHeight="1" x14ac:dyDescent="0.25">
      <c r="A37" s="9">
        <v>35</v>
      </c>
      <c r="B37" s="9">
        <v>36</v>
      </c>
      <c r="C37" s="9">
        <v>0.33329999999999999</v>
      </c>
      <c r="D37" s="9">
        <v>0.66</v>
      </c>
      <c r="E37" s="9">
        <v>0.29849999999999999</v>
      </c>
      <c r="F37" s="9">
        <v>20</v>
      </c>
      <c r="G37" s="9">
        <v>73</v>
      </c>
      <c r="H37" s="9">
        <v>93</v>
      </c>
    </row>
    <row r="38" spans="1:8" ht="15.75" customHeight="1" x14ac:dyDescent="0.25">
      <c r="A38" s="9">
        <v>36</v>
      </c>
      <c r="B38" s="9">
        <v>37</v>
      </c>
      <c r="C38" s="9">
        <v>0.34849999999999998</v>
      </c>
      <c r="D38" s="9">
        <v>0.66</v>
      </c>
      <c r="E38" s="9">
        <v>0.1343</v>
      </c>
      <c r="F38" s="9">
        <v>11</v>
      </c>
      <c r="G38" s="9">
        <v>64</v>
      </c>
      <c r="H38" s="9">
        <v>75</v>
      </c>
    </row>
    <row r="39" spans="1:8" ht="15.75" customHeight="1" x14ac:dyDescent="0.25">
      <c r="A39" s="9">
        <v>37</v>
      </c>
      <c r="B39" s="9">
        <v>38</v>
      </c>
      <c r="D39" s="9">
        <v>0.76</v>
      </c>
      <c r="E39" s="9">
        <v>0.19400000000000001</v>
      </c>
      <c r="F39" s="9">
        <v>4</v>
      </c>
      <c r="G39" s="9">
        <v>55</v>
      </c>
      <c r="H39" s="9">
        <v>59</v>
      </c>
    </row>
    <row r="40" spans="1:8" ht="15.75" customHeight="1" x14ac:dyDescent="0.25">
      <c r="A40" s="9">
        <v>38</v>
      </c>
      <c r="B40" s="9">
        <v>39</v>
      </c>
      <c r="C40" s="9">
        <v>0.33329999999999999</v>
      </c>
      <c r="D40" s="9">
        <v>0.81</v>
      </c>
      <c r="E40" s="9">
        <v>0.16420000000000001</v>
      </c>
      <c r="F40" s="9">
        <v>19</v>
      </c>
      <c r="G40" s="9">
        <v>55</v>
      </c>
      <c r="H40" s="9">
        <v>74</v>
      </c>
    </row>
    <row r="41" spans="1:8" ht="15.75" customHeight="1" x14ac:dyDescent="0.25">
      <c r="A41" s="9">
        <v>39</v>
      </c>
      <c r="B41" s="9">
        <v>40</v>
      </c>
      <c r="C41" s="9">
        <v>0.33329999999999999</v>
      </c>
      <c r="D41" s="9">
        <v>0.71</v>
      </c>
      <c r="E41" s="9">
        <v>0.16420000000000001</v>
      </c>
      <c r="F41" s="9">
        <v>9</v>
      </c>
      <c r="G41" s="9">
        <v>67</v>
      </c>
      <c r="H41" s="9">
        <v>76</v>
      </c>
    </row>
    <row r="42" spans="1:8" ht="15.75" customHeight="1" x14ac:dyDescent="0.25">
      <c r="A42" s="9">
        <v>40</v>
      </c>
      <c r="B42" s="9">
        <v>41</v>
      </c>
      <c r="C42" s="9">
        <v>0.33329999999999999</v>
      </c>
      <c r="D42" s="9">
        <v>0.56999999999999995</v>
      </c>
      <c r="E42" s="9">
        <v>0.19400000000000001</v>
      </c>
      <c r="F42" s="9">
        <v>7</v>
      </c>
      <c r="G42" s="9">
        <v>58</v>
      </c>
      <c r="H42" s="9">
        <v>65</v>
      </c>
    </row>
    <row r="43" spans="1:8" ht="15.75" customHeight="1" x14ac:dyDescent="0.25">
      <c r="A43" s="9">
        <v>41</v>
      </c>
      <c r="B43" s="9">
        <v>42</v>
      </c>
      <c r="C43" s="9">
        <v>0.33329999999999999</v>
      </c>
      <c r="D43" s="9">
        <v>0.46</v>
      </c>
      <c r="E43" s="9">
        <v>0.32840000000000003</v>
      </c>
      <c r="F43" s="9">
        <v>10</v>
      </c>
      <c r="G43" s="9">
        <v>43</v>
      </c>
      <c r="H43" s="9">
        <v>53</v>
      </c>
    </row>
    <row r="44" spans="1:8" ht="15.75" customHeight="1" x14ac:dyDescent="0.25">
      <c r="A44" s="9">
        <v>42</v>
      </c>
      <c r="B44" s="9">
        <v>43</v>
      </c>
      <c r="C44" s="9">
        <v>0.28789999999999999</v>
      </c>
      <c r="D44" s="9">
        <v>0.42</v>
      </c>
      <c r="E44" s="9">
        <v>0.44779999999999998</v>
      </c>
      <c r="F44" s="9">
        <v>1</v>
      </c>
      <c r="G44" s="9">
        <v>29</v>
      </c>
      <c r="H44" s="9">
        <v>30</v>
      </c>
    </row>
    <row r="45" spans="1:8" ht="15.75" customHeight="1" x14ac:dyDescent="0.25">
      <c r="A45" s="9">
        <v>43</v>
      </c>
      <c r="B45" s="9">
        <v>44</v>
      </c>
      <c r="D45" s="9">
        <v>0.39</v>
      </c>
      <c r="E45" s="9">
        <v>0.35820000000000002</v>
      </c>
      <c r="F45" s="9">
        <v>5</v>
      </c>
      <c r="G45" s="9">
        <v>17</v>
      </c>
      <c r="H45" s="9">
        <v>22</v>
      </c>
    </row>
    <row r="46" spans="1:8" ht="15.75" customHeight="1" x14ac:dyDescent="0.25">
      <c r="A46" s="9">
        <v>44</v>
      </c>
      <c r="B46" s="9">
        <v>45</v>
      </c>
      <c r="C46" s="9">
        <v>0.2273</v>
      </c>
      <c r="D46" s="9">
        <v>0.44</v>
      </c>
      <c r="E46" s="9">
        <v>0.32840000000000003</v>
      </c>
      <c r="F46" s="9">
        <v>11</v>
      </c>
      <c r="G46" s="9">
        <v>20</v>
      </c>
      <c r="H46" s="9">
        <v>31</v>
      </c>
    </row>
    <row r="47" spans="1:8" ht="15.75" customHeight="1" x14ac:dyDescent="0.25">
      <c r="A47" s="9">
        <v>45</v>
      </c>
      <c r="B47" s="9">
        <v>46</v>
      </c>
      <c r="C47" s="9">
        <v>0.21210000000000001</v>
      </c>
      <c r="D47" s="9">
        <v>0.44</v>
      </c>
      <c r="E47" s="9">
        <v>0.29849999999999999</v>
      </c>
      <c r="F47" s="9">
        <v>0</v>
      </c>
      <c r="G47" s="9">
        <v>9</v>
      </c>
      <c r="H47" s="9">
        <v>9</v>
      </c>
    </row>
    <row r="48" spans="1:8" ht="15.75" customHeight="1" x14ac:dyDescent="0.25">
      <c r="A48" s="9">
        <v>46</v>
      </c>
      <c r="B48" s="9">
        <v>47</v>
      </c>
      <c r="C48" s="9">
        <v>0.2273</v>
      </c>
      <c r="D48" s="9">
        <v>0.47</v>
      </c>
      <c r="E48" s="9">
        <v>0.16420000000000001</v>
      </c>
      <c r="F48" s="9">
        <v>0</v>
      </c>
      <c r="G48" s="9">
        <v>8</v>
      </c>
      <c r="H48" s="9">
        <v>8</v>
      </c>
    </row>
    <row r="49" spans="1:8" ht="15.75" customHeight="1" x14ac:dyDescent="0.25">
      <c r="A49" s="9">
        <v>47</v>
      </c>
      <c r="B49" s="9">
        <v>48</v>
      </c>
      <c r="C49" s="9">
        <v>0.19700000000000001</v>
      </c>
      <c r="D49" s="9">
        <v>0.44</v>
      </c>
      <c r="E49" s="9">
        <v>0.35820000000000002</v>
      </c>
      <c r="F49" s="9">
        <v>0</v>
      </c>
      <c r="G49" s="9">
        <v>5</v>
      </c>
      <c r="H49" s="9">
        <v>5</v>
      </c>
    </row>
    <row r="50" spans="1:8" ht="15.75" customHeight="1" x14ac:dyDescent="0.25">
      <c r="A50" s="9">
        <v>48</v>
      </c>
      <c r="B50" s="9">
        <v>49</v>
      </c>
      <c r="D50" s="9">
        <v>0.44</v>
      </c>
      <c r="E50" s="9">
        <v>0.41789999999999999</v>
      </c>
      <c r="F50" s="9">
        <v>0</v>
      </c>
      <c r="G50" s="9">
        <v>2</v>
      </c>
      <c r="H50" s="9">
        <v>2</v>
      </c>
    </row>
    <row r="51" spans="1:8" ht="15.75" customHeight="1" x14ac:dyDescent="0.25">
      <c r="A51" s="9">
        <v>49</v>
      </c>
      <c r="B51" s="9">
        <v>50</v>
      </c>
      <c r="C51" s="9">
        <v>0.13639999999999999</v>
      </c>
      <c r="D51" s="9">
        <v>0.47</v>
      </c>
      <c r="E51" s="9">
        <v>0.3881</v>
      </c>
      <c r="F51" s="9">
        <v>0</v>
      </c>
      <c r="G51" s="9">
        <v>1</v>
      </c>
      <c r="H51" s="9">
        <v>1</v>
      </c>
    </row>
    <row r="52" spans="1:8" ht="15.75" customHeight="1" x14ac:dyDescent="0.25">
      <c r="A52" s="9">
        <v>50</v>
      </c>
      <c r="B52" s="9">
        <v>51</v>
      </c>
      <c r="C52" s="9">
        <v>0.13639999999999999</v>
      </c>
      <c r="D52" s="9">
        <v>0.47</v>
      </c>
      <c r="E52" s="9">
        <v>0.28360000000000002</v>
      </c>
      <c r="F52" s="9">
        <v>0</v>
      </c>
      <c r="G52" s="9">
        <v>3</v>
      </c>
      <c r="H52" s="9">
        <v>3</v>
      </c>
    </row>
    <row r="53" spans="1:8" ht="15.75" customHeight="1" x14ac:dyDescent="0.25">
      <c r="A53" s="9">
        <v>51</v>
      </c>
      <c r="B53" s="9">
        <v>52</v>
      </c>
      <c r="C53" s="9">
        <v>0.1061</v>
      </c>
      <c r="D53" s="9">
        <v>0.5</v>
      </c>
      <c r="E53" s="9">
        <v>0.3881</v>
      </c>
      <c r="F53" s="9">
        <v>0</v>
      </c>
      <c r="G53" s="9">
        <v>30</v>
      </c>
      <c r="H53" s="9">
        <v>30</v>
      </c>
    </row>
    <row r="54" spans="1:8" ht="15.75" customHeight="1" x14ac:dyDescent="0.25">
      <c r="A54" s="9">
        <v>52</v>
      </c>
      <c r="B54" s="9">
        <v>53</v>
      </c>
      <c r="C54" s="9">
        <v>0.13639999999999999</v>
      </c>
      <c r="D54" s="9">
        <v>0.5</v>
      </c>
      <c r="E54" s="9">
        <v>0.19400000000000001</v>
      </c>
      <c r="F54" s="9">
        <v>1</v>
      </c>
      <c r="G54" s="9">
        <v>63</v>
      </c>
      <c r="H54" s="9">
        <v>64</v>
      </c>
    </row>
    <row r="55" spans="1:8" ht="15.75" customHeight="1" x14ac:dyDescent="0.25">
      <c r="A55" s="9">
        <v>53</v>
      </c>
      <c r="B55" s="9">
        <v>54</v>
      </c>
      <c r="C55" s="9">
        <v>0.1212</v>
      </c>
      <c r="D55" s="9">
        <v>0.5</v>
      </c>
      <c r="E55" s="9">
        <v>0.28360000000000002</v>
      </c>
      <c r="F55" s="9">
        <v>1</v>
      </c>
      <c r="G55" s="9">
        <v>153</v>
      </c>
      <c r="H55" s="9">
        <v>154</v>
      </c>
    </row>
    <row r="56" spans="1:8" ht="15.75" customHeight="1" x14ac:dyDescent="0.25">
      <c r="A56" s="9">
        <v>54</v>
      </c>
      <c r="B56" s="9">
        <v>55</v>
      </c>
      <c r="C56" s="9">
        <v>0.13639999999999999</v>
      </c>
      <c r="D56" s="9">
        <v>0.43</v>
      </c>
      <c r="E56" s="9">
        <v>0.3881</v>
      </c>
      <c r="F56" s="9">
        <v>7</v>
      </c>
      <c r="G56" s="9">
        <v>81</v>
      </c>
      <c r="H56" s="9">
        <v>88</v>
      </c>
    </row>
    <row r="57" spans="1:8" ht="15.75" customHeight="1" x14ac:dyDescent="0.25">
      <c r="A57" s="9">
        <v>55</v>
      </c>
      <c r="B57" s="9">
        <v>56</v>
      </c>
      <c r="C57" s="9">
        <v>0.16669999999999999</v>
      </c>
      <c r="D57" s="9">
        <v>0.43</v>
      </c>
      <c r="E57" s="9">
        <v>0.25369999999999998</v>
      </c>
      <c r="F57" s="9">
        <v>11</v>
      </c>
      <c r="G57" s="9">
        <v>33</v>
      </c>
      <c r="H57" s="9">
        <v>44</v>
      </c>
    </row>
    <row r="58" spans="1:8" ht="15.75" customHeight="1" x14ac:dyDescent="0.25">
      <c r="A58" s="9">
        <v>56</v>
      </c>
      <c r="B58" s="9">
        <v>57</v>
      </c>
      <c r="C58" s="9">
        <v>0.18179999999999999</v>
      </c>
      <c r="D58" s="9">
        <v>0.4</v>
      </c>
      <c r="E58" s="9">
        <v>0.32840000000000003</v>
      </c>
      <c r="F58" s="9">
        <v>10</v>
      </c>
      <c r="G58" s="9">
        <v>41</v>
      </c>
      <c r="H58" s="9">
        <v>51</v>
      </c>
    </row>
    <row r="59" spans="1:8" ht="15.75" customHeight="1" x14ac:dyDescent="0.25">
      <c r="A59" s="9">
        <v>57</v>
      </c>
      <c r="B59" s="9">
        <v>58</v>
      </c>
      <c r="C59" s="9">
        <v>0.21210000000000001</v>
      </c>
      <c r="D59" s="9">
        <v>0.35</v>
      </c>
      <c r="E59" s="9">
        <v>0.29849999999999999</v>
      </c>
      <c r="F59" s="9">
        <v>13</v>
      </c>
      <c r="G59" s="9">
        <v>48</v>
      </c>
      <c r="H59" s="9">
        <v>61</v>
      </c>
    </row>
    <row r="60" spans="1:8" ht="15.75" customHeight="1" x14ac:dyDescent="0.25">
      <c r="A60" s="9">
        <v>58</v>
      </c>
      <c r="B60" s="9">
        <v>59</v>
      </c>
      <c r="D60" s="9">
        <v>0.35</v>
      </c>
      <c r="E60" s="9">
        <v>0.28360000000000002</v>
      </c>
      <c r="F60" s="9">
        <v>8</v>
      </c>
      <c r="G60" s="9">
        <v>53</v>
      </c>
      <c r="H60" s="9">
        <v>61</v>
      </c>
    </row>
    <row r="61" spans="1:8" ht="15.75" customHeight="1" x14ac:dyDescent="0.25">
      <c r="A61" s="9">
        <v>59</v>
      </c>
      <c r="B61" s="9">
        <v>60</v>
      </c>
      <c r="C61" s="9">
        <v>0.2424</v>
      </c>
      <c r="D61" s="9">
        <v>0.3</v>
      </c>
      <c r="E61" s="9">
        <v>0.28360000000000002</v>
      </c>
      <c r="F61" s="9">
        <v>11</v>
      </c>
      <c r="G61" s="9">
        <v>66</v>
      </c>
      <c r="H61" s="9">
        <v>77</v>
      </c>
    </row>
    <row r="62" spans="1:8" ht="15.75" customHeight="1" x14ac:dyDescent="0.25">
      <c r="A62" s="9">
        <v>60</v>
      </c>
      <c r="B62" s="9">
        <v>61</v>
      </c>
      <c r="C62" s="9">
        <v>0.2424</v>
      </c>
      <c r="D62" s="9">
        <v>0.3</v>
      </c>
      <c r="E62" s="9">
        <v>0.25369999999999998</v>
      </c>
      <c r="F62" s="9">
        <v>14</v>
      </c>
      <c r="G62" s="9">
        <v>58</v>
      </c>
      <c r="H62" s="9">
        <v>72</v>
      </c>
    </row>
    <row r="63" spans="1:8" ht="15.75" customHeight="1" x14ac:dyDescent="0.25">
      <c r="A63" s="9">
        <v>61</v>
      </c>
      <c r="B63" s="9">
        <v>62</v>
      </c>
      <c r="C63" s="9">
        <v>0.2424</v>
      </c>
      <c r="D63" s="9">
        <v>0.3</v>
      </c>
      <c r="E63" s="9">
        <v>0.25369999999999998</v>
      </c>
      <c r="F63" s="9">
        <v>9</v>
      </c>
      <c r="G63" s="9">
        <v>67</v>
      </c>
      <c r="H63" s="9">
        <v>76</v>
      </c>
    </row>
    <row r="64" spans="1:8" ht="15.75" customHeight="1" x14ac:dyDescent="0.25">
      <c r="A64" s="9">
        <v>62</v>
      </c>
      <c r="B64" s="9">
        <v>63</v>
      </c>
      <c r="C64" s="9">
        <v>0.2273</v>
      </c>
      <c r="D64" s="9">
        <v>0.3</v>
      </c>
      <c r="E64" s="9">
        <v>0.22389999999999999</v>
      </c>
      <c r="F64" s="9">
        <v>11</v>
      </c>
      <c r="G64" s="9">
        <v>146</v>
      </c>
      <c r="H64" s="9">
        <v>157</v>
      </c>
    </row>
    <row r="65" spans="1:8" ht="15.75" customHeight="1" x14ac:dyDescent="0.25">
      <c r="A65" s="9">
        <v>63</v>
      </c>
      <c r="B65" s="9">
        <v>64</v>
      </c>
      <c r="C65" s="9">
        <v>0.2576</v>
      </c>
      <c r="D65" s="9">
        <v>0.32</v>
      </c>
      <c r="E65" s="9">
        <v>0.1045</v>
      </c>
      <c r="F65" s="9">
        <v>9</v>
      </c>
      <c r="G65" s="9">
        <v>148</v>
      </c>
      <c r="H65" s="9">
        <v>157</v>
      </c>
    </row>
    <row r="66" spans="1:8" ht="15.75" customHeight="1" x14ac:dyDescent="0.25">
      <c r="A66" s="9">
        <v>64</v>
      </c>
      <c r="B66" s="9">
        <v>65</v>
      </c>
      <c r="C66" s="9">
        <v>0.2576</v>
      </c>
      <c r="D66" s="9">
        <v>0.47</v>
      </c>
      <c r="E66" s="9">
        <v>0</v>
      </c>
      <c r="F66" s="9">
        <v>8</v>
      </c>
      <c r="G66" s="9">
        <v>102</v>
      </c>
      <c r="H66" s="9">
        <v>110</v>
      </c>
    </row>
    <row r="67" spans="1:8" ht="15.75" customHeight="1" x14ac:dyDescent="0.25">
      <c r="A67" s="9">
        <v>65</v>
      </c>
      <c r="B67" s="9">
        <v>66</v>
      </c>
      <c r="D67" s="9">
        <v>0.47</v>
      </c>
      <c r="E67" s="9">
        <v>0.1045</v>
      </c>
      <c r="F67" s="9">
        <v>3</v>
      </c>
      <c r="G67" s="9">
        <v>49</v>
      </c>
      <c r="H67" s="9">
        <v>52</v>
      </c>
    </row>
    <row r="68" spans="1:8" ht="15.75" customHeight="1" x14ac:dyDescent="0.25">
      <c r="A68" s="9">
        <v>66</v>
      </c>
      <c r="B68" s="9">
        <v>67</v>
      </c>
      <c r="C68" s="9">
        <v>0.19700000000000001</v>
      </c>
      <c r="D68" s="9">
        <v>0.64</v>
      </c>
      <c r="E68" s="9">
        <v>0.1343</v>
      </c>
      <c r="F68" s="9">
        <v>3</v>
      </c>
      <c r="G68" s="9">
        <v>49</v>
      </c>
      <c r="H68" s="9">
        <v>52</v>
      </c>
    </row>
    <row r="69" spans="1:8" ht="15.75" customHeight="1" x14ac:dyDescent="0.25">
      <c r="A69" s="9">
        <v>67</v>
      </c>
      <c r="B69" s="9">
        <v>68</v>
      </c>
      <c r="C69" s="9">
        <v>0.1515</v>
      </c>
      <c r="D69" s="9">
        <v>0.69</v>
      </c>
      <c r="E69" s="9">
        <v>0.1343</v>
      </c>
      <c r="F69" s="9">
        <v>0</v>
      </c>
      <c r="G69" s="9">
        <v>20</v>
      </c>
      <c r="H69" s="9">
        <v>20</v>
      </c>
    </row>
    <row r="70" spans="1:8" ht="15.75" customHeight="1" x14ac:dyDescent="0.25">
      <c r="A70" s="9">
        <v>68</v>
      </c>
      <c r="B70" s="9">
        <v>69</v>
      </c>
      <c r="C70" s="9">
        <v>0.21210000000000001</v>
      </c>
      <c r="D70" s="9">
        <v>0.55000000000000004</v>
      </c>
      <c r="E70" s="9">
        <v>0.1045</v>
      </c>
      <c r="F70" s="9">
        <v>1</v>
      </c>
      <c r="G70" s="9">
        <v>11</v>
      </c>
      <c r="H70" s="9">
        <v>12</v>
      </c>
    </row>
    <row r="71" spans="1:8" ht="15.75" customHeight="1" x14ac:dyDescent="0.25">
      <c r="A71" s="9">
        <v>69</v>
      </c>
      <c r="B71" s="9">
        <v>70</v>
      </c>
      <c r="D71" s="9">
        <v>0.55000000000000004</v>
      </c>
      <c r="E71" s="9">
        <v>0.1045</v>
      </c>
      <c r="F71" s="9">
        <v>0</v>
      </c>
      <c r="G71" s="9">
        <v>5</v>
      </c>
      <c r="H71" s="9">
        <v>5</v>
      </c>
    </row>
    <row r="72" spans="1:8" ht="15.75" customHeight="1" x14ac:dyDescent="0.25">
      <c r="A72" s="9">
        <v>70</v>
      </c>
      <c r="B72" s="9">
        <v>71</v>
      </c>
      <c r="C72" s="9">
        <v>0.18179999999999999</v>
      </c>
      <c r="D72" s="9">
        <v>0.59</v>
      </c>
      <c r="E72" s="9">
        <v>0.1045</v>
      </c>
      <c r="F72" s="9">
        <v>0</v>
      </c>
      <c r="G72" s="9">
        <v>2</v>
      </c>
      <c r="H72" s="9">
        <v>2</v>
      </c>
    </row>
    <row r="73" spans="1:8" ht="15.75" customHeight="1" x14ac:dyDescent="0.25">
      <c r="A73" s="9">
        <v>71</v>
      </c>
      <c r="B73" s="9">
        <v>72</v>
      </c>
      <c r="C73" s="9">
        <v>0.1515</v>
      </c>
      <c r="D73" s="9">
        <v>0.63</v>
      </c>
      <c r="E73" s="9">
        <v>0.1343</v>
      </c>
      <c r="F73" s="9">
        <v>0</v>
      </c>
      <c r="G73" s="9">
        <v>1</v>
      </c>
      <c r="H73" s="9">
        <v>1</v>
      </c>
    </row>
    <row r="74" spans="1:8" ht="15.75" customHeight="1" x14ac:dyDescent="0.25">
      <c r="A74" s="9">
        <v>72</v>
      </c>
      <c r="B74" s="9">
        <v>73</v>
      </c>
      <c r="C74" s="9">
        <v>0.18179999999999999</v>
      </c>
      <c r="D74" s="9">
        <v>0.63</v>
      </c>
      <c r="E74" s="9">
        <v>8.9599999999999999E-2</v>
      </c>
      <c r="F74" s="9">
        <v>0</v>
      </c>
      <c r="G74" s="9">
        <v>2</v>
      </c>
      <c r="H74" s="9">
        <v>2</v>
      </c>
    </row>
    <row r="75" spans="1:8" ht="15.75" customHeight="1" x14ac:dyDescent="0.25">
      <c r="A75" s="9">
        <v>73</v>
      </c>
      <c r="B75" s="9">
        <v>74</v>
      </c>
      <c r="C75" s="9">
        <v>0.1515</v>
      </c>
      <c r="D75" s="9">
        <v>0.68</v>
      </c>
      <c r="E75" s="9">
        <v>0.1045</v>
      </c>
      <c r="F75" s="9">
        <v>0</v>
      </c>
      <c r="G75" s="9">
        <v>4</v>
      </c>
      <c r="H75" s="9">
        <v>4</v>
      </c>
    </row>
    <row r="76" spans="1:8" ht="15.75" customHeight="1" x14ac:dyDescent="0.25">
      <c r="A76" s="9">
        <v>74</v>
      </c>
      <c r="B76" s="9">
        <v>75</v>
      </c>
      <c r="C76" s="9">
        <v>0.1515</v>
      </c>
      <c r="D76" s="9">
        <v>0.74</v>
      </c>
      <c r="E76" s="9">
        <v>0.1045</v>
      </c>
      <c r="F76" s="9">
        <v>0</v>
      </c>
      <c r="G76" s="9">
        <v>36</v>
      </c>
      <c r="H76" s="9">
        <v>36</v>
      </c>
    </row>
    <row r="77" spans="1:8" ht="15.75" customHeight="1" x14ac:dyDescent="0.25">
      <c r="A77" s="9">
        <v>75</v>
      </c>
      <c r="B77" s="9">
        <v>76</v>
      </c>
      <c r="C77" s="9">
        <v>0.1515</v>
      </c>
      <c r="D77" s="9">
        <v>0.74</v>
      </c>
      <c r="E77" s="9">
        <v>0.1343</v>
      </c>
      <c r="F77" s="9">
        <v>2</v>
      </c>
      <c r="G77" s="9">
        <v>92</v>
      </c>
      <c r="H77" s="9">
        <v>94</v>
      </c>
    </row>
    <row r="78" spans="1:8" ht="15.75" customHeight="1" x14ac:dyDescent="0.25">
      <c r="A78" s="9">
        <v>76</v>
      </c>
      <c r="B78" s="9">
        <v>77</v>
      </c>
      <c r="C78" s="9">
        <v>0.1515</v>
      </c>
      <c r="D78" s="9">
        <v>0.69</v>
      </c>
      <c r="E78" s="9">
        <v>0.16420000000000001</v>
      </c>
      <c r="F78" s="9">
        <v>2</v>
      </c>
      <c r="G78" s="9">
        <v>177</v>
      </c>
      <c r="H78" s="9">
        <v>179</v>
      </c>
    </row>
    <row r="79" spans="1:8" ht="15.75" customHeight="1" x14ac:dyDescent="0.25">
      <c r="A79" s="9">
        <v>77</v>
      </c>
      <c r="B79" s="9">
        <v>78</v>
      </c>
      <c r="C79" s="9">
        <v>0.1515</v>
      </c>
      <c r="D79" s="9">
        <v>0.64</v>
      </c>
      <c r="E79" s="9">
        <v>0.22389999999999999</v>
      </c>
      <c r="F79" s="9">
        <v>2</v>
      </c>
      <c r="G79" s="9">
        <v>98</v>
      </c>
      <c r="H79" s="9">
        <v>100</v>
      </c>
    </row>
    <row r="80" spans="1:8" ht="15.75" customHeight="1" x14ac:dyDescent="0.25">
      <c r="A80" s="9">
        <v>78</v>
      </c>
      <c r="B80" s="9">
        <v>79</v>
      </c>
      <c r="C80" s="9">
        <v>0.13639999999999999</v>
      </c>
      <c r="D80" s="9">
        <v>0.69</v>
      </c>
      <c r="E80" s="9">
        <v>0.32840000000000003</v>
      </c>
      <c r="F80" s="9">
        <v>5</v>
      </c>
      <c r="G80" s="9">
        <v>37</v>
      </c>
      <c r="H80" s="9">
        <v>42</v>
      </c>
    </row>
    <row r="81" spans="1:8" ht="15.75" customHeight="1" x14ac:dyDescent="0.25">
      <c r="A81" s="9">
        <v>79</v>
      </c>
      <c r="B81" s="9">
        <v>80</v>
      </c>
      <c r="C81" s="9">
        <v>0.21210000000000001</v>
      </c>
      <c r="D81" s="9">
        <v>0.51</v>
      </c>
      <c r="E81" s="9">
        <v>0.29849999999999999</v>
      </c>
      <c r="F81" s="9">
        <v>7</v>
      </c>
      <c r="G81" s="9">
        <v>50</v>
      </c>
      <c r="H81" s="9">
        <v>57</v>
      </c>
    </row>
    <row r="82" spans="1:8" ht="15.75" customHeight="1" x14ac:dyDescent="0.25">
      <c r="A82" s="9">
        <v>80</v>
      </c>
      <c r="B82" s="9">
        <v>81</v>
      </c>
      <c r="C82" s="9">
        <v>0.2273</v>
      </c>
      <c r="D82" s="9">
        <v>0.51</v>
      </c>
      <c r="E82" s="9">
        <v>0.16420000000000001</v>
      </c>
      <c r="F82" s="9">
        <v>12</v>
      </c>
      <c r="G82" s="9">
        <v>66</v>
      </c>
      <c r="H82" s="9">
        <v>78</v>
      </c>
    </row>
    <row r="83" spans="1:8" ht="15.75" customHeight="1" x14ac:dyDescent="0.25">
      <c r="A83" s="9">
        <v>81</v>
      </c>
      <c r="B83" s="9">
        <v>82</v>
      </c>
      <c r="C83" s="9">
        <v>0.2273</v>
      </c>
      <c r="D83" s="9">
        <v>0.56000000000000005</v>
      </c>
      <c r="E83" s="9">
        <v>0.19400000000000001</v>
      </c>
      <c r="F83" s="9">
        <v>18</v>
      </c>
      <c r="G83" s="9">
        <v>79</v>
      </c>
      <c r="H83" s="9">
        <v>97</v>
      </c>
    </row>
    <row r="84" spans="1:8" ht="15.75" customHeight="1" x14ac:dyDescent="0.25">
      <c r="A84" s="9">
        <v>82</v>
      </c>
      <c r="B84" s="9">
        <v>83</v>
      </c>
      <c r="C84" s="9">
        <v>0.2576</v>
      </c>
      <c r="D84" s="9">
        <v>0.52</v>
      </c>
      <c r="E84" s="9">
        <v>0.22389999999999999</v>
      </c>
      <c r="F84" s="9">
        <v>9</v>
      </c>
      <c r="G84" s="9">
        <v>54</v>
      </c>
      <c r="H84" s="9">
        <v>63</v>
      </c>
    </row>
    <row r="85" spans="1:8" ht="15.75" customHeight="1" x14ac:dyDescent="0.25">
      <c r="A85" s="9">
        <v>83</v>
      </c>
      <c r="B85" s="9">
        <v>84</v>
      </c>
      <c r="C85" s="9">
        <v>0.2727</v>
      </c>
      <c r="D85" s="9">
        <v>0.52</v>
      </c>
      <c r="E85" s="9">
        <v>0.25369999999999998</v>
      </c>
      <c r="F85" s="9">
        <v>17</v>
      </c>
      <c r="G85" s="9">
        <v>48</v>
      </c>
      <c r="H85" s="9">
        <v>65</v>
      </c>
    </row>
    <row r="86" spans="1:8" ht="15.75" customHeight="1" x14ac:dyDescent="0.25">
      <c r="A86" s="9">
        <v>84</v>
      </c>
      <c r="B86" s="9">
        <v>85</v>
      </c>
      <c r="C86" s="9">
        <v>0.28789999999999999</v>
      </c>
      <c r="D86" s="9">
        <v>0.49</v>
      </c>
      <c r="E86" s="9">
        <v>0.25369999999999998</v>
      </c>
      <c r="F86" s="9">
        <v>15</v>
      </c>
      <c r="G86" s="9">
        <v>68</v>
      </c>
      <c r="H86" s="9">
        <v>83</v>
      </c>
    </row>
    <row r="87" spans="1:8" ht="15.75" customHeight="1" x14ac:dyDescent="0.25">
      <c r="A87" s="9">
        <v>85</v>
      </c>
      <c r="B87" s="9">
        <v>86</v>
      </c>
      <c r="C87" s="9">
        <v>0.2727</v>
      </c>
      <c r="D87" s="9">
        <v>0.48</v>
      </c>
      <c r="E87" s="9">
        <v>0.22389999999999999</v>
      </c>
      <c r="F87" s="9">
        <v>10</v>
      </c>
      <c r="G87" s="9">
        <v>202</v>
      </c>
      <c r="H87" s="9">
        <v>212</v>
      </c>
    </row>
    <row r="88" spans="1:8" ht="15.75" customHeight="1" x14ac:dyDescent="0.25">
      <c r="A88" s="9">
        <v>86</v>
      </c>
      <c r="B88" s="9">
        <v>87</v>
      </c>
      <c r="C88" s="9">
        <v>0.2576</v>
      </c>
      <c r="D88" s="9">
        <v>0.48</v>
      </c>
      <c r="E88" s="9">
        <v>0.19400000000000001</v>
      </c>
      <c r="F88" s="9">
        <v>3</v>
      </c>
      <c r="G88" s="9">
        <v>179</v>
      </c>
      <c r="H88" s="9">
        <v>182</v>
      </c>
    </row>
    <row r="89" spans="1:8" ht="15.75" customHeight="1" x14ac:dyDescent="0.25">
      <c r="A89" s="9">
        <v>87</v>
      </c>
      <c r="B89" s="9">
        <v>88</v>
      </c>
      <c r="C89" s="9">
        <v>0.2576</v>
      </c>
      <c r="D89" s="9">
        <v>0.48</v>
      </c>
      <c r="E89" s="9">
        <v>0.1045</v>
      </c>
      <c r="F89" s="9">
        <v>2</v>
      </c>
      <c r="G89" s="9">
        <v>110</v>
      </c>
      <c r="H89" s="9">
        <v>112</v>
      </c>
    </row>
    <row r="90" spans="1:8" ht="15.75" customHeight="1" x14ac:dyDescent="0.25">
      <c r="A90" s="9">
        <v>88</v>
      </c>
      <c r="B90" s="9">
        <v>89</v>
      </c>
      <c r="C90" s="9">
        <v>0.2576</v>
      </c>
      <c r="D90" s="9">
        <v>0.48</v>
      </c>
      <c r="E90" s="9">
        <v>0.1045</v>
      </c>
      <c r="F90" s="9">
        <v>1</v>
      </c>
      <c r="G90" s="9">
        <v>53</v>
      </c>
      <c r="H90" s="9">
        <v>54</v>
      </c>
    </row>
    <row r="91" spans="1:8" ht="15.75" customHeight="1" x14ac:dyDescent="0.25">
      <c r="A91" s="9">
        <v>89</v>
      </c>
      <c r="B91" s="9">
        <v>90</v>
      </c>
      <c r="C91" s="9">
        <v>0.2727</v>
      </c>
      <c r="D91" s="9">
        <v>0.64</v>
      </c>
      <c r="E91" s="9">
        <v>0</v>
      </c>
      <c r="F91" s="9">
        <v>0</v>
      </c>
      <c r="G91" s="9">
        <v>48</v>
      </c>
      <c r="H91" s="9">
        <v>48</v>
      </c>
    </row>
    <row r="92" spans="1:8" ht="15.75" customHeight="1" x14ac:dyDescent="0.25">
      <c r="A92" s="9">
        <v>90</v>
      </c>
      <c r="B92" s="9">
        <v>91</v>
      </c>
      <c r="C92" s="9">
        <v>0.2576</v>
      </c>
      <c r="D92" s="9">
        <v>0.64</v>
      </c>
      <c r="E92" s="9">
        <v>8.9599999999999999E-2</v>
      </c>
      <c r="F92" s="9">
        <v>1</v>
      </c>
      <c r="G92" s="9">
        <v>34</v>
      </c>
      <c r="H92" s="9">
        <v>35</v>
      </c>
    </row>
    <row r="93" spans="1:8" ht="15.75" customHeight="1" x14ac:dyDescent="0.25">
      <c r="A93" s="9">
        <v>91</v>
      </c>
      <c r="B93" s="9">
        <v>92</v>
      </c>
      <c r="C93" s="9">
        <v>0.2273</v>
      </c>
      <c r="D93" s="9">
        <v>0.69</v>
      </c>
      <c r="E93" s="9">
        <v>8.9599999999999999E-2</v>
      </c>
      <c r="F93" s="9">
        <v>2</v>
      </c>
      <c r="G93" s="9">
        <v>9</v>
      </c>
      <c r="H93" s="9">
        <v>11</v>
      </c>
    </row>
    <row r="94" spans="1:8" ht="15.75" customHeight="1" x14ac:dyDescent="0.25">
      <c r="A94" s="9">
        <v>92</v>
      </c>
      <c r="B94" s="9">
        <v>93</v>
      </c>
      <c r="C94" s="9">
        <v>0.2576</v>
      </c>
      <c r="D94" s="9">
        <v>0.64</v>
      </c>
      <c r="E94" s="9">
        <v>0</v>
      </c>
      <c r="F94" s="9">
        <v>0</v>
      </c>
      <c r="G94" s="9">
        <v>6</v>
      </c>
      <c r="H94" s="9">
        <v>6</v>
      </c>
    </row>
    <row r="95" spans="1:8" ht="15.75" customHeight="1" x14ac:dyDescent="0.25">
      <c r="A95" s="9">
        <v>93</v>
      </c>
      <c r="B95" s="9">
        <v>94</v>
      </c>
      <c r="C95" s="9">
        <v>0.19700000000000001</v>
      </c>
      <c r="D95" s="9">
        <v>0.74</v>
      </c>
      <c r="E95" s="9">
        <v>8.9599999999999999E-2</v>
      </c>
      <c r="F95" s="9">
        <v>0</v>
      </c>
      <c r="G95" s="9">
        <v>6</v>
      </c>
      <c r="H95" s="9">
        <v>6</v>
      </c>
    </row>
    <row r="96" spans="1:8" ht="15.75" customHeight="1" x14ac:dyDescent="0.25">
      <c r="A96" s="9">
        <v>94</v>
      </c>
      <c r="B96" s="9">
        <v>95</v>
      </c>
      <c r="C96" s="9">
        <v>0.19700000000000001</v>
      </c>
      <c r="D96" s="9">
        <v>0.74</v>
      </c>
      <c r="E96" s="9">
        <v>8.9599999999999999E-2</v>
      </c>
      <c r="F96" s="9">
        <v>0</v>
      </c>
      <c r="G96" s="9">
        <v>2</v>
      </c>
      <c r="H96" s="9">
        <v>2</v>
      </c>
    </row>
    <row r="97" spans="1:8" ht="15.75" customHeight="1" x14ac:dyDescent="0.25">
      <c r="A97" s="9">
        <v>95</v>
      </c>
      <c r="B97" s="9">
        <v>96</v>
      </c>
      <c r="C97" s="9">
        <v>0.2273</v>
      </c>
      <c r="D97" s="9">
        <v>0.48</v>
      </c>
      <c r="E97" s="9">
        <v>0.22389999999999999</v>
      </c>
      <c r="F97" s="9">
        <v>0</v>
      </c>
      <c r="G97" s="9">
        <v>2</v>
      </c>
      <c r="H97" s="9">
        <v>2</v>
      </c>
    </row>
    <row r="98" spans="1:8" ht="15.75" customHeight="1" x14ac:dyDescent="0.25">
      <c r="A98" s="9">
        <v>96</v>
      </c>
      <c r="B98" s="9">
        <v>97</v>
      </c>
      <c r="C98" s="9">
        <v>0.2273</v>
      </c>
      <c r="D98" s="9">
        <v>0.47</v>
      </c>
      <c r="E98" s="9">
        <v>0.16420000000000001</v>
      </c>
      <c r="F98" s="9">
        <v>0</v>
      </c>
      <c r="G98" s="9">
        <v>3</v>
      </c>
      <c r="H98" s="9">
        <v>3</v>
      </c>
    </row>
    <row r="99" spans="1:8" ht="15.75" customHeight="1" x14ac:dyDescent="0.25">
      <c r="A99" s="9">
        <v>97</v>
      </c>
      <c r="B99" s="9">
        <v>98</v>
      </c>
      <c r="C99" s="9">
        <v>0.19700000000000001</v>
      </c>
      <c r="D99" s="9">
        <v>0.47</v>
      </c>
      <c r="E99" s="9">
        <v>0.22389999999999999</v>
      </c>
      <c r="F99" s="9">
        <v>0</v>
      </c>
      <c r="G99" s="9">
        <v>33</v>
      </c>
      <c r="H99" s="9">
        <v>33</v>
      </c>
    </row>
    <row r="100" spans="1:8" ht="15.75" customHeight="1" x14ac:dyDescent="0.25">
      <c r="A100" s="9">
        <v>98</v>
      </c>
      <c r="B100" s="9">
        <v>99</v>
      </c>
      <c r="C100" s="9">
        <v>0.18179999999999999</v>
      </c>
      <c r="D100" s="9">
        <v>0.43</v>
      </c>
      <c r="E100" s="9">
        <v>0.19400000000000001</v>
      </c>
      <c r="F100" s="9">
        <v>1</v>
      </c>
      <c r="G100" s="9">
        <v>87</v>
      </c>
      <c r="H100" s="9">
        <v>88</v>
      </c>
    </row>
    <row r="101" spans="1:8" ht="15.75" customHeight="1" x14ac:dyDescent="0.25">
      <c r="A101" s="9">
        <v>99</v>
      </c>
      <c r="B101" s="9">
        <v>100</v>
      </c>
      <c r="C101" s="9">
        <v>0.18179999999999999</v>
      </c>
      <c r="D101" s="9">
        <v>0.4</v>
      </c>
      <c r="E101" s="9">
        <v>0.29849999999999999</v>
      </c>
      <c r="F101" s="9">
        <v>3</v>
      </c>
      <c r="G101" s="9">
        <v>192</v>
      </c>
      <c r="H101" s="9">
        <v>195</v>
      </c>
    </row>
    <row r="102" spans="1:8" ht="15.75" customHeight="1" x14ac:dyDescent="0.25">
      <c r="A102" s="9">
        <v>100</v>
      </c>
      <c r="B102" s="9">
        <v>101</v>
      </c>
      <c r="C102" s="9">
        <v>0.19700000000000001</v>
      </c>
      <c r="D102" s="9">
        <v>0.37</v>
      </c>
      <c r="E102" s="9">
        <v>0.32840000000000003</v>
      </c>
      <c r="F102" s="9">
        <v>6</v>
      </c>
      <c r="G102" s="9">
        <v>109</v>
      </c>
      <c r="H102" s="9">
        <v>115</v>
      </c>
    </row>
    <row r="103" spans="1:8" ht="15.75" customHeight="1" x14ac:dyDescent="0.25">
      <c r="A103" s="9">
        <v>101</v>
      </c>
      <c r="B103" s="9">
        <v>102</v>
      </c>
      <c r="C103" s="9">
        <v>0.19700000000000001</v>
      </c>
      <c r="D103" s="9">
        <v>0.37</v>
      </c>
      <c r="E103" s="9">
        <v>0.32840000000000003</v>
      </c>
      <c r="F103" s="9">
        <v>4</v>
      </c>
      <c r="G103" s="9">
        <v>53</v>
      </c>
      <c r="H103" s="9">
        <v>57</v>
      </c>
    </row>
    <row r="104" spans="1:8" ht="15.75" customHeight="1" x14ac:dyDescent="0.25">
      <c r="A104" s="9">
        <v>102</v>
      </c>
      <c r="B104" s="9">
        <v>103</v>
      </c>
      <c r="C104" s="9">
        <v>0.2273</v>
      </c>
      <c r="D104" s="9">
        <v>0.33</v>
      </c>
      <c r="E104" s="9">
        <v>0.32840000000000003</v>
      </c>
      <c r="F104" s="9">
        <v>12</v>
      </c>
      <c r="G104" s="9">
        <v>34</v>
      </c>
      <c r="H104" s="9">
        <v>46</v>
      </c>
    </row>
    <row r="105" spans="1:8" ht="15.75" customHeight="1" x14ac:dyDescent="0.25">
      <c r="A105" s="9">
        <v>103</v>
      </c>
      <c r="B105" s="9">
        <v>104</v>
      </c>
      <c r="C105" s="9">
        <v>0.2273</v>
      </c>
      <c r="D105" s="9">
        <v>0.33</v>
      </c>
      <c r="E105" s="9">
        <v>0.32840000000000003</v>
      </c>
      <c r="F105" s="9">
        <v>5</v>
      </c>
      <c r="G105" s="9">
        <v>74</v>
      </c>
      <c r="H105" s="9">
        <v>79</v>
      </c>
    </row>
    <row r="106" spans="1:8" ht="15.75" customHeight="1" x14ac:dyDescent="0.25">
      <c r="A106" s="9">
        <v>104</v>
      </c>
      <c r="B106" s="9">
        <v>105</v>
      </c>
      <c r="C106" s="9">
        <v>0.2576</v>
      </c>
      <c r="D106" s="9">
        <v>0.3</v>
      </c>
      <c r="E106" s="9">
        <v>0.29849999999999999</v>
      </c>
      <c r="F106" s="9">
        <v>6</v>
      </c>
      <c r="G106" s="9">
        <v>65</v>
      </c>
      <c r="H106" s="9">
        <v>71</v>
      </c>
    </row>
    <row r="107" spans="1:8" ht="15.75" customHeight="1" x14ac:dyDescent="0.25">
      <c r="A107" s="9">
        <v>105</v>
      </c>
      <c r="B107" s="9">
        <v>106</v>
      </c>
      <c r="C107" s="9">
        <v>0.28789999999999999</v>
      </c>
      <c r="D107" s="9">
        <v>0.28000000000000003</v>
      </c>
      <c r="E107" s="9">
        <v>0.19400000000000001</v>
      </c>
      <c r="F107" s="9">
        <v>10</v>
      </c>
      <c r="G107" s="9">
        <v>52</v>
      </c>
      <c r="H107" s="9">
        <v>62</v>
      </c>
    </row>
    <row r="108" spans="1:8" ht="15.75" customHeight="1" x14ac:dyDescent="0.25">
      <c r="A108" s="9">
        <v>106</v>
      </c>
      <c r="B108" s="9">
        <v>107</v>
      </c>
      <c r="C108" s="9">
        <v>0.28789999999999999</v>
      </c>
      <c r="D108" s="9">
        <v>0.28000000000000003</v>
      </c>
      <c r="E108" s="9">
        <v>0.19400000000000001</v>
      </c>
      <c r="F108" s="9">
        <v>7</v>
      </c>
      <c r="G108" s="9">
        <v>55</v>
      </c>
      <c r="H108" s="9">
        <v>62</v>
      </c>
    </row>
    <row r="109" spans="1:8" ht="15.75" customHeight="1" x14ac:dyDescent="0.25">
      <c r="A109" s="9">
        <v>107</v>
      </c>
      <c r="B109" s="9">
        <v>108</v>
      </c>
      <c r="C109" s="9">
        <v>0.31819999999999998</v>
      </c>
      <c r="D109" s="9">
        <v>0.28000000000000003</v>
      </c>
      <c r="E109" s="9">
        <v>8.9599999999999999E-2</v>
      </c>
      <c r="F109" s="9">
        <v>4</v>
      </c>
      <c r="G109" s="9">
        <v>85</v>
      </c>
      <c r="H109" s="9">
        <v>89</v>
      </c>
    </row>
    <row r="110" spans="1:8" ht="15.75" customHeight="1" x14ac:dyDescent="0.25">
      <c r="A110" s="9">
        <v>108</v>
      </c>
      <c r="B110" s="9">
        <v>109</v>
      </c>
      <c r="C110" s="9">
        <v>0.2273</v>
      </c>
      <c r="D110" s="9">
        <v>0.38</v>
      </c>
      <c r="E110" s="9">
        <v>0.19400000000000001</v>
      </c>
      <c r="F110" s="9">
        <v>4</v>
      </c>
      <c r="G110" s="9">
        <v>186</v>
      </c>
      <c r="H110" s="9">
        <v>190</v>
      </c>
    </row>
    <row r="111" spans="1:8" ht="15.75" customHeight="1" x14ac:dyDescent="0.25">
      <c r="A111" s="9">
        <v>109</v>
      </c>
      <c r="B111" s="9">
        <v>110</v>
      </c>
      <c r="C111" s="9">
        <v>0.2424</v>
      </c>
      <c r="D111" s="9">
        <v>0.38</v>
      </c>
      <c r="E111" s="9">
        <v>0.1343</v>
      </c>
      <c r="F111" s="9">
        <v>3</v>
      </c>
      <c r="G111" s="9">
        <v>166</v>
      </c>
      <c r="H111" s="9">
        <v>169</v>
      </c>
    </row>
    <row r="112" spans="1:8" ht="15.75" customHeight="1" x14ac:dyDescent="0.25">
      <c r="A112" s="9">
        <v>110</v>
      </c>
      <c r="B112" s="9">
        <v>111</v>
      </c>
      <c r="C112" s="9">
        <v>0.2576</v>
      </c>
      <c r="D112" s="9">
        <v>0.38</v>
      </c>
      <c r="E112" s="9">
        <v>0.1045</v>
      </c>
      <c r="F112" s="9">
        <v>5</v>
      </c>
      <c r="G112" s="9">
        <v>127</v>
      </c>
      <c r="H112" s="9">
        <v>132</v>
      </c>
    </row>
    <row r="113" spans="1:8" ht="15.75" customHeight="1" x14ac:dyDescent="0.25">
      <c r="A113" s="9">
        <v>111</v>
      </c>
      <c r="B113" s="9">
        <v>112</v>
      </c>
      <c r="C113" s="9">
        <v>0.2273</v>
      </c>
      <c r="D113" s="9">
        <v>0.47</v>
      </c>
      <c r="E113" s="9">
        <v>0.16420000000000001</v>
      </c>
      <c r="F113" s="9">
        <v>7</v>
      </c>
      <c r="G113" s="9">
        <v>82</v>
      </c>
      <c r="H113" s="9">
        <v>89</v>
      </c>
    </row>
    <row r="114" spans="1:8" ht="15.75" customHeight="1" x14ac:dyDescent="0.25">
      <c r="A114" s="9">
        <v>112</v>
      </c>
      <c r="B114" s="9">
        <v>113</v>
      </c>
      <c r="C114" s="9">
        <v>0.19700000000000001</v>
      </c>
      <c r="D114" s="9">
        <v>0.51</v>
      </c>
      <c r="E114" s="9">
        <v>0.19400000000000001</v>
      </c>
      <c r="F114" s="9">
        <v>3</v>
      </c>
      <c r="G114" s="9">
        <v>40</v>
      </c>
      <c r="H114" s="9">
        <v>43</v>
      </c>
    </row>
    <row r="115" spans="1:8" ht="15.75" customHeight="1" x14ac:dyDescent="0.25">
      <c r="A115" s="9">
        <v>113</v>
      </c>
      <c r="B115" s="9">
        <v>114</v>
      </c>
      <c r="C115" s="9">
        <v>0.19700000000000001</v>
      </c>
      <c r="D115" s="9">
        <v>0.55000000000000004</v>
      </c>
      <c r="E115" s="9">
        <v>0.1343</v>
      </c>
      <c r="F115" s="9">
        <v>1</v>
      </c>
      <c r="G115" s="9">
        <v>41</v>
      </c>
      <c r="H115" s="9">
        <v>42</v>
      </c>
    </row>
    <row r="116" spans="1:8" ht="15.75" customHeight="1" x14ac:dyDescent="0.25">
      <c r="A116" s="9">
        <v>114</v>
      </c>
      <c r="B116" s="9">
        <v>115</v>
      </c>
      <c r="C116" s="9">
        <v>0.2576</v>
      </c>
      <c r="D116" s="9">
        <v>0.47</v>
      </c>
      <c r="E116" s="9">
        <v>0</v>
      </c>
      <c r="F116" s="9">
        <v>1</v>
      </c>
      <c r="G116" s="9">
        <v>18</v>
      </c>
      <c r="H116" s="9">
        <v>19</v>
      </c>
    </row>
    <row r="117" spans="1:8" ht="15.75" customHeight="1" x14ac:dyDescent="0.25">
      <c r="A117" s="9">
        <v>115</v>
      </c>
      <c r="B117" s="9">
        <v>116</v>
      </c>
      <c r="C117" s="9">
        <v>0.2424</v>
      </c>
      <c r="D117" s="9">
        <v>0.55000000000000004</v>
      </c>
      <c r="E117" s="9">
        <v>0</v>
      </c>
      <c r="F117" s="9">
        <v>0</v>
      </c>
      <c r="G117" s="9">
        <v>11</v>
      </c>
      <c r="H117" s="9">
        <v>11</v>
      </c>
    </row>
    <row r="118" spans="1:8" ht="15.75" customHeight="1" x14ac:dyDescent="0.25">
      <c r="A118" s="9">
        <v>116</v>
      </c>
      <c r="B118" s="9">
        <v>117</v>
      </c>
      <c r="C118" s="9">
        <v>0.2273</v>
      </c>
      <c r="D118" s="9">
        <v>0.64</v>
      </c>
      <c r="E118" s="9">
        <v>0</v>
      </c>
      <c r="F118" s="9">
        <v>0</v>
      </c>
      <c r="G118" s="9">
        <v>4</v>
      </c>
      <c r="H118" s="9">
        <v>4</v>
      </c>
    </row>
    <row r="119" spans="1:8" ht="15.75" customHeight="1" x14ac:dyDescent="0.25">
      <c r="A119" s="9">
        <v>117</v>
      </c>
      <c r="B119" s="9">
        <v>118</v>
      </c>
      <c r="C119" s="9">
        <v>0.2273</v>
      </c>
      <c r="D119" s="9">
        <v>0.64</v>
      </c>
      <c r="E119" s="9">
        <v>0</v>
      </c>
      <c r="F119" s="9">
        <v>0</v>
      </c>
      <c r="G119" s="9">
        <v>2</v>
      </c>
      <c r="H119" s="9">
        <v>2</v>
      </c>
    </row>
    <row r="120" spans="1:8" ht="15.75" customHeight="1" x14ac:dyDescent="0.25">
      <c r="A120" s="9">
        <v>118</v>
      </c>
      <c r="B120" s="9">
        <v>119</v>
      </c>
      <c r="C120" s="9">
        <v>0.19700000000000001</v>
      </c>
      <c r="D120" s="9">
        <v>0.64</v>
      </c>
      <c r="E120" s="9">
        <v>8.9599999999999999E-2</v>
      </c>
      <c r="F120" s="9">
        <v>0</v>
      </c>
      <c r="G120" s="9">
        <v>1</v>
      </c>
      <c r="H120" s="9">
        <v>1</v>
      </c>
    </row>
    <row r="121" spans="1:8" ht="15.75" customHeight="1" x14ac:dyDescent="0.25">
      <c r="A121" s="9">
        <v>119</v>
      </c>
      <c r="B121" s="9">
        <v>120</v>
      </c>
      <c r="C121" s="9">
        <v>0.18179999999999999</v>
      </c>
      <c r="D121" s="9">
        <v>0.69</v>
      </c>
      <c r="E121" s="9">
        <v>8.9599999999999999E-2</v>
      </c>
      <c r="F121" s="9">
        <v>0</v>
      </c>
      <c r="G121" s="9">
        <v>4</v>
      </c>
      <c r="H121" s="9">
        <v>4</v>
      </c>
    </row>
    <row r="122" spans="1:8" ht="15.75" customHeight="1" x14ac:dyDescent="0.25">
      <c r="A122" s="9">
        <v>120</v>
      </c>
      <c r="B122" s="9">
        <v>121</v>
      </c>
      <c r="C122" s="9">
        <v>0.16669999999999999</v>
      </c>
      <c r="D122" s="9">
        <v>0.63</v>
      </c>
      <c r="E122" s="9">
        <v>0.1045</v>
      </c>
      <c r="F122" s="9">
        <v>0</v>
      </c>
      <c r="G122" s="9">
        <v>36</v>
      </c>
      <c r="H122" s="9">
        <v>36</v>
      </c>
    </row>
    <row r="123" spans="1:8" ht="15.75" customHeight="1" x14ac:dyDescent="0.25">
      <c r="A123" s="9">
        <v>121</v>
      </c>
      <c r="B123" s="9">
        <v>122</v>
      </c>
      <c r="C123" s="9">
        <v>0.2273</v>
      </c>
      <c r="D123" s="9">
        <v>0.59</v>
      </c>
      <c r="E123" s="9">
        <v>0</v>
      </c>
      <c r="F123" s="9">
        <v>0</v>
      </c>
      <c r="G123" s="9">
        <v>95</v>
      </c>
      <c r="H123" s="9">
        <v>95</v>
      </c>
    </row>
    <row r="124" spans="1:8" ht="15.75" customHeight="1" x14ac:dyDescent="0.25">
      <c r="A124" s="9">
        <v>122</v>
      </c>
      <c r="B124" s="9">
        <v>123</v>
      </c>
      <c r="C124" s="9">
        <v>0.2273</v>
      </c>
      <c r="D124" s="9">
        <v>0.59</v>
      </c>
      <c r="E124" s="9">
        <v>0</v>
      </c>
      <c r="F124" s="9">
        <v>3</v>
      </c>
      <c r="G124" s="9">
        <v>216</v>
      </c>
      <c r="H124" s="9">
        <v>219</v>
      </c>
    </row>
    <row r="125" spans="1:8" ht="15.75" customHeight="1" x14ac:dyDescent="0.25">
      <c r="A125" s="9">
        <v>123</v>
      </c>
      <c r="B125" s="9">
        <v>124</v>
      </c>
      <c r="C125" s="9">
        <v>0.2424</v>
      </c>
      <c r="D125" s="9">
        <v>0.51</v>
      </c>
      <c r="E125" s="9">
        <v>0</v>
      </c>
      <c r="F125" s="9">
        <v>6</v>
      </c>
      <c r="G125" s="9">
        <v>116</v>
      </c>
      <c r="H125" s="9">
        <v>122</v>
      </c>
    </row>
    <row r="126" spans="1:8" ht="15.75" customHeight="1" x14ac:dyDescent="0.25">
      <c r="A126" s="9">
        <v>124</v>
      </c>
      <c r="B126" s="9">
        <v>125</v>
      </c>
      <c r="C126" s="9">
        <v>0.2576</v>
      </c>
      <c r="D126" s="9">
        <v>0.47</v>
      </c>
      <c r="E126" s="9">
        <v>0</v>
      </c>
      <c r="F126" s="9">
        <v>3</v>
      </c>
      <c r="G126" s="9">
        <v>42</v>
      </c>
      <c r="H126" s="9">
        <v>45</v>
      </c>
    </row>
    <row r="127" spans="1:8" ht="15.75" customHeight="1" x14ac:dyDescent="0.25">
      <c r="A127" s="9">
        <v>125</v>
      </c>
      <c r="B127" s="9">
        <v>126</v>
      </c>
      <c r="C127" s="9">
        <v>0.2576</v>
      </c>
      <c r="D127" s="9">
        <v>0.44</v>
      </c>
      <c r="E127" s="9">
        <v>8.9599999999999999E-2</v>
      </c>
      <c r="F127" s="9">
        <v>2</v>
      </c>
      <c r="G127" s="9">
        <v>57</v>
      </c>
      <c r="H127" s="9">
        <v>59</v>
      </c>
    </row>
    <row r="128" spans="1:8" ht="15.75" customHeight="1" x14ac:dyDescent="0.25">
      <c r="A128" s="9">
        <v>126</v>
      </c>
      <c r="B128" s="9">
        <v>127</v>
      </c>
      <c r="C128" s="9">
        <v>0.28789999999999999</v>
      </c>
      <c r="D128" s="9">
        <v>0.35</v>
      </c>
      <c r="E128" s="9">
        <v>0</v>
      </c>
      <c r="F128" s="9">
        <v>6</v>
      </c>
      <c r="G128" s="9">
        <v>78</v>
      </c>
      <c r="H128" s="9">
        <v>84</v>
      </c>
    </row>
    <row r="129" spans="1:8" ht="15.75" customHeight="1" x14ac:dyDescent="0.25">
      <c r="A129" s="9">
        <v>127</v>
      </c>
      <c r="B129" s="9">
        <v>128</v>
      </c>
      <c r="C129" s="9">
        <v>0.2727</v>
      </c>
      <c r="D129" s="9">
        <v>0.35</v>
      </c>
      <c r="E129" s="9">
        <v>0.1045</v>
      </c>
      <c r="F129" s="9">
        <v>12</v>
      </c>
      <c r="G129" s="9">
        <v>55</v>
      </c>
      <c r="H129" s="9">
        <v>67</v>
      </c>
    </row>
    <row r="130" spans="1:8" ht="15.75" customHeight="1" x14ac:dyDescent="0.25">
      <c r="A130" s="9">
        <v>128</v>
      </c>
      <c r="B130" s="9">
        <v>129</v>
      </c>
      <c r="C130" s="9">
        <v>0.2727</v>
      </c>
      <c r="D130" s="9">
        <v>0.36</v>
      </c>
      <c r="E130" s="9">
        <v>0.16420000000000001</v>
      </c>
      <c r="F130" s="9">
        <v>11</v>
      </c>
      <c r="G130" s="9">
        <v>59</v>
      </c>
      <c r="H130" s="9">
        <v>70</v>
      </c>
    </row>
    <row r="131" spans="1:8" ht="15.75" customHeight="1" x14ac:dyDescent="0.25">
      <c r="A131" s="9">
        <v>129</v>
      </c>
      <c r="B131" s="9">
        <v>130</v>
      </c>
      <c r="C131" s="9">
        <v>0.2727</v>
      </c>
      <c r="D131" s="9">
        <v>0.36</v>
      </c>
      <c r="E131" s="9">
        <v>0</v>
      </c>
      <c r="F131" s="9">
        <v>8</v>
      </c>
      <c r="G131" s="9">
        <v>54</v>
      </c>
      <c r="H131" s="9">
        <v>62</v>
      </c>
    </row>
    <row r="132" spans="1:8" ht="15.75" customHeight="1" x14ac:dyDescent="0.25">
      <c r="A132" s="9">
        <v>130</v>
      </c>
      <c r="B132" s="9">
        <v>131</v>
      </c>
      <c r="C132" s="9">
        <v>0.2576</v>
      </c>
      <c r="D132" s="9">
        <v>0.38</v>
      </c>
      <c r="E132" s="9">
        <v>0.16420000000000001</v>
      </c>
      <c r="F132" s="9">
        <v>12</v>
      </c>
      <c r="G132" s="9">
        <v>74</v>
      </c>
      <c r="H132" s="9">
        <v>86</v>
      </c>
    </row>
    <row r="133" spans="1:8" ht="15.75" customHeight="1" x14ac:dyDescent="0.25">
      <c r="A133" s="9">
        <v>131</v>
      </c>
      <c r="B133" s="9">
        <v>132</v>
      </c>
      <c r="C133" s="9">
        <v>0.2273</v>
      </c>
      <c r="D133" s="9">
        <v>0.51</v>
      </c>
      <c r="E133" s="9">
        <v>0.16420000000000001</v>
      </c>
      <c r="F133" s="9">
        <v>9</v>
      </c>
      <c r="G133" s="9">
        <v>163</v>
      </c>
      <c r="H133" s="9">
        <v>172</v>
      </c>
    </row>
    <row r="134" spans="1:8" ht="15.75" customHeight="1" x14ac:dyDescent="0.25">
      <c r="A134" s="9">
        <v>132</v>
      </c>
      <c r="B134" s="9">
        <v>133</v>
      </c>
      <c r="C134" s="9">
        <v>0.2273</v>
      </c>
      <c r="D134" s="9">
        <v>0.51</v>
      </c>
      <c r="E134" s="9">
        <v>0.1343</v>
      </c>
      <c r="F134" s="9">
        <v>5</v>
      </c>
      <c r="G134" s="9">
        <v>158</v>
      </c>
      <c r="H134" s="9">
        <v>163</v>
      </c>
    </row>
    <row r="135" spans="1:8" ht="15.75" customHeight="1" x14ac:dyDescent="0.25">
      <c r="A135" s="9">
        <v>133</v>
      </c>
      <c r="B135" s="9">
        <v>134</v>
      </c>
      <c r="C135" s="9">
        <v>0.2576</v>
      </c>
      <c r="D135" s="9">
        <v>0.55000000000000004</v>
      </c>
      <c r="E135" s="9">
        <v>8.9599999999999999E-2</v>
      </c>
      <c r="F135" s="9">
        <v>3</v>
      </c>
      <c r="G135" s="9">
        <v>109</v>
      </c>
      <c r="H135" s="9">
        <v>112</v>
      </c>
    </row>
    <row r="136" spans="1:8" ht="15.75" customHeight="1" x14ac:dyDescent="0.25">
      <c r="A136" s="9">
        <v>134</v>
      </c>
      <c r="B136" s="9">
        <v>135</v>
      </c>
      <c r="C136" s="9">
        <v>0.21210000000000001</v>
      </c>
      <c r="D136" s="9">
        <v>0.51</v>
      </c>
      <c r="E136" s="9">
        <v>0.16420000000000001</v>
      </c>
      <c r="F136" s="9">
        <v>3</v>
      </c>
      <c r="G136" s="9">
        <v>66</v>
      </c>
      <c r="H136" s="9">
        <v>69</v>
      </c>
    </row>
    <row r="137" spans="1:8" ht="15.75" customHeight="1" x14ac:dyDescent="0.25">
      <c r="A137" s="9">
        <v>135</v>
      </c>
      <c r="B137" s="9">
        <v>136</v>
      </c>
      <c r="C137" s="9">
        <v>0.21210000000000001</v>
      </c>
      <c r="D137" s="9">
        <v>0.55000000000000004</v>
      </c>
      <c r="E137" s="9">
        <v>0.22389999999999999</v>
      </c>
      <c r="F137" s="9">
        <v>0</v>
      </c>
      <c r="G137" s="9">
        <v>48</v>
      </c>
      <c r="H137" s="9">
        <v>48</v>
      </c>
    </row>
    <row r="138" spans="1:8" ht="15.75" customHeight="1" x14ac:dyDescent="0.25">
      <c r="A138" s="9">
        <v>136</v>
      </c>
      <c r="B138" s="9">
        <v>137</v>
      </c>
      <c r="C138" s="9">
        <v>0.21210000000000001</v>
      </c>
      <c r="D138" s="9">
        <v>0.51</v>
      </c>
      <c r="E138" s="9">
        <v>0.28360000000000002</v>
      </c>
      <c r="F138" s="9">
        <v>1</v>
      </c>
      <c r="G138" s="9">
        <v>51</v>
      </c>
      <c r="H138" s="9">
        <v>52</v>
      </c>
    </row>
    <row r="139" spans="1:8" ht="15.75" customHeight="1" x14ac:dyDescent="0.25">
      <c r="A139" s="9">
        <v>137</v>
      </c>
      <c r="B139" s="9">
        <v>138</v>
      </c>
      <c r="C139" s="9">
        <v>0.19700000000000001</v>
      </c>
      <c r="D139" s="9">
        <v>0.59</v>
      </c>
      <c r="E139" s="9">
        <v>0.19400000000000001</v>
      </c>
      <c r="F139" s="9">
        <v>4</v>
      </c>
      <c r="G139" s="9">
        <v>19</v>
      </c>
      <c r="H139" s="9">
        <v>23</v>
      </c>
    </row>
    <row r="140" spans="1:8" ht="15.75" customHeight="1" x14ac:dyDescent="0.25">
      <c r="A140" s="9">
        <v>138</v>
      </c>
      <c r="B140" s="9">
        <v>139</v>
      </c>
      <c r="C140" s="9">
        <v>0.19700000000000001</v>
      </c>
      <c r="D140" s="9">
        <v>0.64</v>
      </c>
      <c r="E140" s="9">
        <v>0.19400000000000001</v>
      </c>
      <c r="F140" s="9">
        <v>4</v>
      </c>
      <c r="G140" s="9">
        <v>13</v>
      </c>
      <c r="H140" s="9">
        <v>17</v>
      </c>
    </row>
    <row r="141" spans="1:8" ht="15.75" customHeight="1" x14ac:dyDescent="0.25">
      <c r="A141" s="9">
        <v>139</v>
      </c>
      <c r="B141" s="9">
        <v>140</v>
      </c>
      <c r="C141" s="9">
        <v>0.19700000000000001</v>
      </c>
      <c r="D141" s="9">
        <v>0.69</v>
      </c>
      <c r="E141" s="9">
        <v>0.22389999999999999</v>
      </c>
      <c r="F141" s="9">
        <v>2</v>
      </c>
      <c r="G141" s="9">
        <v>5</v>
      </c>
      <c r="H141" s="9">
        <v>7</v>
      </c>
    </row>
    <row r="142" spans="1:8" ht="15.75" customHeight="1" x14ac:dyDescent="0.25">
      <c r="A142" s="9">
        <v>140</v>
      </c>
      <c r="B142" s="9">
        <v>141</v>
      </c>
      <c r="C142" s="9">
        <v>0.19700000000000001</v>
      </c>
      <c r="D142" s="9">
        <v>0.69</v>
      </c>
      <c r="E142" s="9">
        <v>0.22389999999999999</v>
      </c>
      <c r="F142" s="9">
        <v>0</v>
      </c>
      <c r="G142" s="9">
        <v>1</v>
      </c>
      <c r="H142" s="9">
        <v>1</v>
      </c>
    </row>
    <row r="143" spans="1:8" ht="15.75" customHeight="1" x14ac:dyDescent="0.25">
      <c r="A143" s="9">
        <v>141</v>
      </c>
      <c r="B143" s="9">
        <v>142</v>
      </c>
      <c r="C143" s="9">
        <v>0.21210000000000001</v>
      </c>
      <c r="D143" s="9">
        <v>0.69</v>
      </c>
      <c r="E143" s="9">
        <v>0.1343</v>
      </c>
      <c r="F143" s="9">
        <v>0</v>
      </c>
      <c r="G143" s="9">
        <v>1</v>
      </c>
      <c r="H143" s="9">
        <v>1</v>
      </c>
    </row>
    <row r="144" spans="1:8" ht="15.75" customHeight="1" x14ac:dyDescent="0.25">
      <c r="A144" s="9">
        <v>142</v>
      </c>
      <c r="B144" s="9">
        <v>143</v>
      </c>
      <c r="C144" s="9">
        <v>0.2727</v>
      </c>
      <c r="D144" s="9">
        <v>0.55000000000000004</v>
      </c>
      <c r="E144" s="9">
        <v>0</v>
      </c>
      <c r="F144" s="9">
        <v>0</v>
      </c>
      <c r="G144" s="9">
        <v>5</v>
      </c>
      <c r="H144" s="9">
        <v>5</v>
      </c>
    </row>
    <row r="145" spans="1:8" ht="15.75" customHeight="1" x14ac:dyDescent="0.25">
      <c r="A145" s="9">
        <v>143</v>
      </c>
      <c r="B145" s="9">
        <v>144</v>
      </c>
      <c r="C145" s="9">
        <v>0.2576</v>
      </c>
      <c r="D145" s="9">
        <v>0.69</v>
      </c>
      <c r="E145" s="9">
        <v>0</v>
      </c>
      <c r="F145" s="9">
        <v>8</v>
      </c>
      <c r="G145" s="9">
        <v>26</v>
      </c>
      <c r="H145" s="9">
        <v>34</v>
      </c>
    </row>
    <row r="146" spans="1:8" ht="15.75" customHeight="1" x14ac:dyDescent="0.25">
      <c r="A146" s="9">
        <v>144</v>
      </c>
      <c r="B146" s="9">
        <v>145</v>
      </c>
      <c r="C146" s="9">
        <v>0.21210000000000001</v>
      </c>
      <c r="D146" s="9">
        <v>0.69</v>
      </c>
      <c r="E146" s="9">
        <v>0.1343</v>
      </c>
      <c r="F146" s="9">
        <v>8</v>
      </c>
      <c r="G146" s="9">
        <v>76</v>
      </c>
      <c r="H146" s="9">
        <v>84</v>
      </c>
    </row>
    <row r="147" spans="1:8" ht="15.75" customHeight="1" x14ac:dyDescent="0.25">
      <c r="A147" s="9">
        <v>145</v>
      </c>
      <c r="B147" s="9">
        <v>146</v>
      </c>
      <c r="C147" s="9">
        <v>0.19700000000000001</v>
      </c>
      <c r="D147" s="9">
        <v>0.51</v>
      </c>
      <c r="E147" s="9">
        <v>0.25369999999999998</v>
      </c>
      <c r="F147" s="9">
        <v>20</v>
      </c>
      <c r="G147" s="9">
        <v>190</v>
      </c>
      <c r="H147" s="9">
        <v>210</v>
      </c>
    </row>
    <row r="148" spans="1:8" ht="15.75" customHeight="1" x14ac:dyDescent="0.25">
      <c r="A148" s="9">
        <v>146</v>
      </c>
      <c r="B148" s="9">
        <v>147</v>
      </c>
      <c r="C148" s="9">
        <v>0.18179999999999999</v>
      </c>
      <c r="D148" s="9">
        <v>0.47</v>
      </c>
      <c r="E148" s="9">
        <v>0.29849999999999999</v>
      </c>
      <c r="F148" s="9">
        <v>9</v>
      </c>
      <c r="G148" s="9">
        <v>125</v>
      </c>
      <c r="H148" s="9">
        <v>134</v>
      </c>
    </row>
    <row r="149" spans="1:8" ht="15.75" customHeight="1" x14ac:dyDescent="0.25">
      <c r="A149" s="9">
        <v>147</v>
      </c>
      <c r="B149" s="9">
        <v>148</v>
      </c>
      <c r="C149" s="9">
        <v>0.19700000000000001</v>
      </c>
      <c r="D149" s="9">
        <v>0.37</v>
      </c>
      <c r="E149" s="9">
        <v>0.32840000000000003</v>
      </c>
      <c r="F149" s="9">
        <v>16</v>
      </c>
      <c r="G149" s="9">
        <v>47</v>
      </c>
      <c r="H149" s="9">
        <v>63</v>
      </c>
    </row>
    <row r="150" spans="1:8" ht="15.75" customHeight="1" x14ac:dyDescent="0.25">
      <c r="A150" s="9">
        <v>148</v>
      </c>
      <c r="B150" s="9">
        <v>149</v>
      </c>
      <c r="C150" s="9">
        <v>0.19700000000000001</v>
      </c>
      <c r="D150" s="9">
        <v>0.4</v>
      </c>
      <c r="E150" s="9">
        <v>0.22389999999999999</v>
      </c>
      <c r="F150" s="9">
        <v>19</v>
      </c>
      <c r="G150" s="9">
        <v>48</v>
      </c>
      <c r="H150" s="9">
        <v>67</v>
      </c>
    </row>
    <row r="151" spans="1:8" ht="15.75" customHeight="1" x14ac:dyDescent="0.25">
      <c r="A151" s="9">
        <v>149</v>
      </c>
      <c r="B151" s="9">
        <v>150</v>
      </c>
      <c r="C151" s="9">
        <v>0.19700000000000001</v>
      </c>
      <c r="D151" s="9">
        <v>0.37</v>
      </c>
      <c r="E151" s="9">
        <v>0.25369999999999998</v>
      </c>
      <c r="F151" s="9">
        <v>9</v>
      </c>
      <c r="G151" s="9">
        <v>50</v>
      </c>
      <c r="H151" s="9">
        <v>59</v>
      </c>
    </row>
    <row r="152" spans="1:8" ht="15.75" customHeight="1" x14ac:dyDescent="0.25">
      <c r="A152" s="9">
        <v>150</v>
      </c>
      <c r="B152" s="9">
        <v>151</v>
      </c>
      <c r="C152" s="9">
        <v>0.18179999999999999</v>
      </c>
      <c r="D152" s="9">
        <v>0.37</v>
      </c>
      <c r="E152" s="9">
        <v>0.28360000000000002</v>
      </c>
      <c r="F152" s="9">
        <v>9</v>
      </c>
      <c r="G152" s="9">
        <v>64</v>
      </c>
      <c r="H152" s="9">
        <v>73</v>
      </c>
    </row>
    <row r="153" spans="1:8" ht="15.75" customHeight="1" x14ac:dyDescent="0.25">
      <c r="A153" s="9">
        <v>151</v>
      </c>
      <c r="B153" s="9">
        <v>152</v>
      </c>
      <c r="C153" s="9">
        <v>0.19700000000000001</v>
      </c>
      <c r="D153" s="9">
        <v>0.4</v>
      </c>
      <c r="E153" s="9">
        <v>0.25369999999999998</v>
      </c>
      <c r="F153" s="9">
        <v>7</v>
      </c>
      <c r="G153" s="9">
        <v>43</v>
      </c>
      <c r="H153" s="9">
        <v>50</v>
      </c>
    </row>
    <row r="154" spans="1:8" ht="15.75" customHeight="1" x14ac:dyDescent="0.25">
      <c r="A154" s="9">
        <v>152</v>
      </c>
      <c r="B154" s="9">
        <v>153</v>
      </c>
      <c r="C154" s="9">
        <v>0.21210000000000001</v>
      </c>
      <c r="D154" s="9">
        <v>0.37</v>
      </c>
      <c r="E154" s="9">
        <v>0.16420000000000001</v>
      </c>
      <c r="F154" s="9">
        <v>9</v>
      </c>
      <c r="G154" s="9">
        <v>63</v>
      </c>
      <c r="H154" s="9">
        <v>72</v>
      </c>
    </row>
    <row r="155" spans="1:8" ht="15.75" customHeight="1" x14ac:dyDescent="0.25">
      <c r="A155" s="9">
        <v>153</v>
      </c>
      <c r="B155" s="9">
        <v>154</v>
      </c>
      <c r="C155" s="9">
        <v>0.21210000000000001</v>
      </c>
      <c r="D155" s="9">
        <v>0.37</v>
      </c>
      <c r="E155" s="9">
        <v>0.16420000000000001</v>
      </c>
      <c r="F155" s="9">
        <v>5</v>
      </c>
      <c r="G155" s="9">
        <v>82</v>
      </c>
      <c r="H155" s="9">
        <v>87</v>
      </c>
    </row>
    <row r="156" spans="1:8" ht="15.75" customHeight="1" x14ac:dyDescent="0.25">
      <c r="A156" s="9">
        <v>154</v>
      </c>
      <c r="B156" s="9">
        <v>155</v>
      </c>
      <c r="C156" s="9">
        <v>0.2576</v>
      </c>
      <c r="D156" s="9">
        <v>0.37</v>
      </c>
      <c r="E156" s="9">
        <v>0</v>
      </c>
      <c r="F156" s="9">
        <v>9</v>
      </c>
      <c r="G156" s="9">
        <v>178</v>
      </c>
      <c r="H156" s="9">
        <v>187</v>
      </c>
    </row>
    <row r="157" spans="1:8" ht="15.75" customHeight="1" x14ac:dyDescent="0.25">
      <c r="A157" s="9">
        <v>155</v>
      </c>
      <c r="B157" s="9">
        <v>156</v>
      </c>
      <c r="C157" s="9">
        <v>0.2273</v>
      </c>
      <c r="D157" s="9">
        <v>0.4</v>
      </c>
      <c r="E157" s="9">
        <v>8.9599999999999999E-2</v>
      </c>
      <c r="F157" s="9">
        <v>7</v>
      </c>
      <c r="G157" s="9">
        <v>116</v>
      </c>
      <c r="H157" s="9">
        <v>123</v>
      </c>
    </row>
    <row r="158" spans="1:8" ht="15.75" customHeight="1" x14ac:dyDescent="0.25">
      <c r="A158" s="9">
        <v>156</v>
      </c>
      <c r="B158" s="9">
        <v>157</v>
      </c>
      <c r="C158" s="9">
        <v>0.19700000000000001</v>
      </c>
      <c r="D158" s="9">
        <v>0.55000000000000004</v>
      </c>
      <c r="E158" s="9">
        <v>8.9599999999999999E-2</v>
      </c>
      <c r="F158" s="9">
        <v>3</v>
      </c>
      <c r="G158" s="9">
        <v>92</v>
      </c>
      <c r="H158" s="9">
        <v>95</v>
      </c>
    </row>
    <row r="159" spans="1:8" ht="15.75" customHeight="1" x14ac:dyDescent="0.25">
      <c r="A159" s="9">
        <v>157</v>
      </c>
      <c r="B159" s="9">
        <v>158</v>
      </c>
      <c r="C159" s="9">
        <v>0.21210000000000001</v>
      </c>
      <c r="D159" s="9">
        <v>0.47</v>
      </c>
      <c r="E159" s="9">
        <v>0.1045</v>
      </c>
      <c r="F159" s="9">
        <v>1</v>
      </c>
      <c r="G159" s="9">
        <v>50</v>
      </c>
      <c r="H159" s="9">
        <v>51</v>
      </c>
    </row>
    <row r="160" spans="1:8" ht="15.75" customHeight="1" x14ac:dyDescent="0.25">
      <c r="A160" s="9">
        <v>158</v>
      </c>
      <c r="B160" s="9">
        <v>159</v>
      </c>
      <c r="C160" s="9">
        <v>0.19700000000000001</v>
      </c>
      <c r="D160" s="9">
        <v>0.47</v>
      </c>
      <c r="E160" s="9">
        <v>0.1343</v>
      </c>
      <c r="F160" s="9">
        <v>0</v>
      </c>
      <c r="G160" s="9">
        <v>39</v>
      </c>
      <c r="H160" s="9">
        <v>39</v>
      </c>
    </row>
    <row r="161" spans="1:8" ht="15.75" customHeight="1" x14ac:dyDescent="0.25">
      <c r="A161" s="9">
        <v>159</v>
      </c>
      <c r="B161" s="9">
        <v>160</v>
      </c>
      <c r="C161" s="9">
        <v>0.19700000000000001</v>
      </c>
      <c r="D161" s="9">
        <v>0.43</v>
      </c>
      <c r="E161" s="9">
        <v>0.16420000000000001</v>
      </c>
      <c r="F161" s="9">
        <v>2</v>
      </c>
      <c r="G161" s="9">
        <v>34</v>
      </c>
      <c r="H161" s="9">
        <v>36</v>
      </c>
    </row>
    <row r="162" spans="1:8" ht="15.75" customHeight="1" x14ac:dyDescent="0.25">
      <c r="A162" s="9">
        <v>160</v>
      </c>
      <c r="B162" s="9">
        <v>161</v>
      </c>
      <c r="C162" s="9">
        <v>0.19700000000000001</v>
      </c>
      <c r="D162" s="9">
        <v>0.51</v>
      </c>
      <c r="E162" s="9">
        <v>0.16420000000000001</v>
      </c>
      <c r="F162" s="9">
        <v>1</v>
      </c>
      <c r="G162" s="9">
        <v>14</v>
      </c>
      <c r="H162" s="9">
        <v>15</v>
      </c>
    </row>
    <row r="163" spans="1:8" ht="15.75" customHeight="1" x14ac:dyDescent="0.25">
      <c r="A163" s="9">
        <v>161</v>
      </c>
      <c r="B163" s="9">
        <v>162</v>
      </c>
      <c r="C163" s="9">
        <v>0.19700000000000001</v>
      </c>
      <c r="D163" s="9">
        <v>0.51</v>
      </c>
      <c r="E163" s="9">
        <v>0.16420000000000001</v>
      </c>
      <c r="F163" s="9">
        <v>1</v>
      </c>
      <c r="G163" s="9">
        <v>24</v>
      </c>
      <c r="H163" s="9">
        <v>25</v>
      </c>
    </row>
    <row r="164" spans="1:8" ht="15.75" customHeight="1" x14ac:dyDescent="0.25">
      <c r="A164" s="9">
        <v>162</v>
      </c>
      <c r="B164" s="9">
        <v>163</v>
      </c>
      <c r="C164" s="9">
        <v>0.21210000000000001</v>
      </c>
      <c r="D164" s="9">
        <v>0.55000000000000004</v>
      </c>
      <c r="E164" s="9">
        <v>8.9599999999999999E-2</v>
      </c>
      <c r="F164" s="9">
        <v>1</v>
      </c>
      <c r="G164" s="9">
        <v>15</v>
      </c>
      <c r="H164" s="9">
        <v>16</v>
      </c>
    </row>
    <row r="165" spans="1:8" ht="15.75" customHeight="1" x14ac:dyDescent="0.25">
      <c r="A165" s="9">
        <v>163</v>
      </c>
      <c r="B165" s="9">
        <v>164</v>
      </c>
      <c r="C165" s="9">
        <v>0.2424</v>
      </c>
      <c r="D165" s="9">
        <v>0.55000000000000004</v>
      </c>
      <c r="E165" s="9">
        <v>0</v>
      </c>
      <c r="F165" s="9">
        <v>3</v>
      </c>
      <c r="G165" s="9">
        <v>13</v>
      </c>
      <c r="H165" s="9">
        <v>16</v>
      </c>
    </row>
    <row r="166" spans="1:8" ht="15.75" customHeight="1" x14ac:dyDescent="0.25">
      <c r="A166" s="9">
        <v>164</v>
      </c>
      <c r="B166" s="9">
        <v>165</v>
      </c>
      <c r="C166" s="9">
        <v>0.19700000000000001</v>
      </c>
      <c r="D166" s="9">
        <v>0.55000000000000004</v>
      </c>
      <c r="E166" s="9">
        <v>0.16420000000000001</v>
      </c>
      <c r="F166" s="9">
        <v>0</v>
      </c>
      <c r="G166" s="9">
        <v>7</v>
      </c>
      <c r="H166" s="9">
        <v>7</v>
      </c>
    </row>
    <row r="167" spans="1:8" ht="15.75" customHeight="1" x14ac:dyDescent="0.25">
      <c r="A167" s="9">
        <v>165</v>
      </c>
      <c r="B167" s="9">
        <v>166</v>
      </c>
      <c r="C167" s="9">
        <v>0.19700000000000001</v>
      </c>
      <c r="D167" s="9">
        <v>0.55000000000000004</v>
      </c>
      <c r="E167" s="9">
        <v>0.16420000000000001</v>
      </c>
      <c r="F167" s="9">
        <v>0</v>
      </c>
      <c r="G167" s="9">
        <v>1</v>
      </c>
      <c r="H167" s="9">
        <v>1</v>
      </c>
    </row>
    <row r="168" spans="1:8" ht="15.75" customHeight="1" x14ac:dyDescent="0.25">
      <c r="A168" s="9">
        <v>166</v>
      </c>
      <c r="B168" s="9">
        <v>167</v>
      </c>
      <c r="C168" s="9">
        <v>0.16669999999999999</v>
      </c>
      <c r="D168" s="9">
        <v>0.74</v>
      </c>
      <c r="E168" s="9">
        <v>0.16420000000000001</v>
      </c>
      <c r="F168" s="9">
        <v>0</v>
      </c>
      <c r="G168" s="9">
        <v>5</v>
      </c>
      <c r="H168" s="9">
        <v>5</v>
      </c>
    </row>
    <row r="169" spans="1:8" ht="15.75" customHeight="1" x14ac:dyDescent="0.25">
      <c r="A169" s="9">
        <v>167</v>
      </c>
      <c r="B169" s="9">
        <v>168</v>
      </c>
      <c r="C169" s="9">
        <v>0.16669999999999999</v>
      </c>
      <c r="D169" s="9">
        <v>0.74</v>
      </c>
      <c r="E169" s="9">
        <v>0.16420000000000001</v>
      </c>
      <c r="F169" s="9">
        <v>0</v>
      </c>
      <c r="G169" s="9">
        <v>2</v>
      </c>
      <c r="H169" s="9">
        <v>2</v>
      </c>
    </row>
    <row r="170" spans="1:8" ht="15.75" customHeight="1" x14ac:dyDescent="0.25">
      <c r="A170" s="9">
        <v>168</v>
      </c>
      <c r="B170" s="9">
        <v>169</v>
      </c>
      <c r="C170" s="9">
        <v>0.18179999999999999</v>
      </c>
      <c r="D170" s="9">
        <v>0.74</v>
      </c>
      <c r="E170" s="9">
        <v>0.1045</v>
      </c>
      <c r="F170" s="9">
        <v>1</v>
      </c>
      <c r="G170" s="9">
        <v>8</v>
      </c>
      <c r="H170" s="9">
        <v>9</v>
      </c>
    </row>
    <row r="171" spans="1:8" ht="15.75" customHeight="1" x14ac:dyDescent="0.25">
      <c r="A171" s="9">
        <v>169</v>
      </c>
      <c r="B171" s="9">
        <v>170</v>
      </c>
      <c r="C171" s="9">
        <v>0.18179999999999999</v>
      </c>
      <c r="D171" s="9">
        <v>0.93</v>
      </c>
      <c r="E171" s="9">
        <v>0.1045</v>
      </c>
      <c r="F171" s="9">
        <v>0</v>
      </c>
      <c r="G171" s="9">
        <v>15</v>
      </c>
      <c r="H171" s="9">
        <v>15</v>
      </c>
    </row>
    <row r="172" spans="1:8" ht="15.75" customHeight="1" x14ac:dyDescent="0.25">
      <c r="A172" s="9">
        <v>170</v>
      </c>
      <c r="B172" s="9">
        <v>171</v>
      </c>
      <c r="C172" s="9">
        <v>0.18179999999999999</v>
      </c>
      <c r="D172" s="9">
        <v>0.93</v>
      </c>
      <c r="E172" s="9">
        <v>0.1045</v>
      </c>
      <c r="F172" s="9">
        <v>0</v>
      </c>
      <c r="G172" s="9">
        <v>20</v>
      </c>
      <c r="H172" s="9">
        <v>20</v>
      </c>
    </row>
    <row r="173" spans="1:8" ht="15.75" customHeight="1" x14ac:dyDescent="0.25">
      <c r="A173" s="9">
        <v>171</v>
      </c>
      <c r="B173" s="9">
        <v>172</v>
      </c>
      <c r="C173" s="9">
        <v>0.19700000000000001</v>
      </c>
      <c r="D173" s="9">
        <v>0.8</v>
      </c>
      <c r="E173" s="9">
        <v>0.16420000000000001</v>
      </c>
      <c r="F173" s="9">
        <v>5</v>
      </c>
      <c r="G173" s="9">
        <v>56</v>
      </c>
      <c r="H173" s="9">
        <v>61</v>
      </c>
    </row>
    <row r="174" spans="1:8" ht="15.75" customHeight="1" x14ac:dyDescent="0.25">
      <c r="A174" s="9">
        <v>172</v>
      </c>
      <c r="B174" s="9">
        <v>173</v>
      </c>
      <c r="C174" s="9">
        <v>0.18179999999999999</v>
      </c>
      <c r="D174" s="9">
        <v>0.69</v>
      </c>
      <c r="E174" s="9">
        <v>0.3881</v>
      </c>
      <c r="F174" s="9">
        <v>2</v>
      </c>
      <c r="G174" s="9">
        <v>60</v>
      </c>
      <c r="H174" s="9">
        <v>62</v>
      </c>
    </row>
    <row r="175" spans="1:8" ht="15.75" customHeight="1" x14ac:dyDescent="0.25">
      <c r="A175" s="9">
        <v>173</v>
      </c>
      <c r="B175" s="9">
        <v>174</v>
      </c>
      <c r="C175" s="9">
        <v>0.18179999999999999</v>
      </c>
      <c r="D175" s="9">
        <v>0.59</v>
      </c>
      <c r="E175" s="9">
        <v>0.35820000000000002</v>
      </c>
      <c r="F175" s="9">
        <v>8</v>
      </c>
      <c r="G175" s="9">
        <v>90</v>
      </c>
      <c r="H175" s="9">
        <v>98</v>
      </c>
    </row>
    <row r="176" spans="1:8" ht="15.75" customHeight="1" x14ac:dyDescent="0.25">
      <c r="A176" s="9">
        <v>174</v>
      </c>
      <c r="B176" s="9">
        <v>175</v>
      </c>
      <c r="C176" s="9">
        <v>0.18179999999999999</v>
      </c>
      <c r="D176" s="9">
        <v>0.44</v>
      </c>
      <c r="E176" s="9">
        <v>0.32840000000000003</v>
      </c>
      <c r="F176" s="9">
        <v>7</v>
      </c>
      <c r="G176" s="9">
        <v>95</v>
      </c>
      <c r="H176" s="9">
        <v>102</v>
      </c>
    </row>
    <row r="177" spans="1:8" ht="15.75" customHeight="1" x14ac:dyDescent="0.25">
      <c r="A177" s="9">
        <v>175</v>
      </c>
      <c r="B177" s="9">
        <v>176</v>
      </c>
      <c r="C177" s="9">
        <v>0.16669999999999999</v>
      </c>
      <c r="D177" s="9">
        <v>0.32</v>
      </c>
      <c r="E177" s="9">
        <v>0.49249999999999999</v>
      </c>
      <c r="F177" s="9">
        <v>12</v>
      </c>
      <c r="G177" s="9">
        <v>83</v>
      </c>
      <c r="H177" s="9">
        <v>95</v>
      </c>
    </row>
    <row r="178" spans="1:8" ht="15.75" customHeight="1" x14ac:dyDescent="0.25">
      <c r="A178" s="9">
        <v>176</v>
      </c>
      <c r="B178" s="9">
        <v>177</v>
      </c>
      <c r="C178" s="9">
        <v>0.16669999999999999</v>
      </c>
      <c r="D178" s="9">
        <v>0.32</v>
      </c>
      <c r="E178" s="9">
        <v>0.44779999999999998</v>
      </c>
      <c r="F178" s="9">
        <v>5</v>
      </c>
      <c r="G178" s="9">
        <v>69</v>
      </c>
      <c r="H178" s="9">
        <v>74</v>
      </c>
    </row>
    <row r="179" spans="1:8" ht="15.75" customHeight="1" x14ac:dyDescent="0.25">
      <c r="A179" s="9">
        <v>177</v>
      </c>
      <c r="B179" s="9">
        <v>178</v>
      </c>
      <c r="C179" s="9">
        <v>0.13639999999999999</v>
      </c>
      <c r="D179" s="9">
        <v>0.28999999999999998</v>
      </c>
      <c r="E179" s="9">
        <v>0.44779999999999998</v>
      </c>
      <c r="F179" s="9">
        <v>8</v>
      </c>
      <c r="G179" s="9">
        <v>68</v>
      </c>
      <c r="H179" s="9">
        <v>76</v>
      </c>
    </row>
    <row r="180" spans="1:8" ht="15.75" customHeight="1" x14ac:dyDescent="0.25">
      <c r="A180" s="9">
        <v>178</v>
      </c>
      <c r="B180" s="9">
        <v>179</v>
      </c>
      <c r="C180" s="9">
        <v>0.1212</v>
      </c>
      <c r="D180" s="9">
        <v>0.37</v>
      </c>
      <c r="E180" s="9">
        <v>0.55220000000000002</v>
      </c>
      <c r="F180" s="9">
        <v>5</v>
      </c>
      <c r="G180" s="9">
        <v>64</v>
      </c>
      <c r="H180" s="9">
        <v>69</v>
      </c>
    </row>
    <row r="181" spans="1:8" ht="15.75" customHeight="1" x14ac:dyDescent="0.25">
      <c r="A181" s="9">
        <v>179</v>
      </c>
      <c r="B181" s="9">
        <v>180</v>
      </c>
      <c r="C181" s="9">
        <v>0.1212</v>
      </c>
      <c r="D181" s="9">
        <v>0.39</v>
      </c>
      <c r="E181" s="9">
        <v>0.29849999999999999</v>
      </c>
      <c r="F181" s="9">
        <v>3</v>
      </c>
      <c r="G181" s="9">
        <v>52</v>
      </c>
      <c r="H181" s="9">
        <v>55</v>
      </c>
    </row>
    <row r="182" spans="1:8" ht="15.75" customHeight="1" x14ac:dyDescent="0.25">
      <c r="A182" s="9">
        <v>180</v>
      </c>
      <c r="B182" s="9">
        <v>181</v>
      </c>
      <c r="C182" s="9">
        <v>0.1212</v>
      </c>
      <c r="D182" s="9">
        <v>0.36</v>
      </c>
      <c r="E182" s="9">
        <v>0.25369999999999998</v>
      </c>
      <c r="F182" s="9">
        <v>4</v>
      </c>
      <c r="G182" s="9">
        <v>26</v>
      </c>
      <c r="H182" s="9">
        <v>30</v>
      </c>
    </row>
    <row r="183" spans="1:8" ht="15.75" customHeight="1" x14ac:dyDescent="0.25">
      <c r="A183" s="9">
        <v>181</v>
      </c>
      <c r="B183" s="9">
        <v>182</v>
      </c>
      <c r="C183" s="9">
        <v>0.1212</v>
      </c>
      <c r="D183" s="9">
        <v>0.36</v>
      </c>
      <c r="E183" s="9">
        <v>0.25369999999999998</v>
      </c>
      <c r="F183" s="9">
        <v>0</v>
      </c>
      <c r="G183" s="9">
        <v>28</v>
      </c>
      <c r="H183" s="9">
        <v>28</v>
      </c>
    </row>
    <row r="184" spans="1:8" ht="15.75" customHeight="1" x14ac:dyDescent="0.25">
      <c r="A184" s="9">
        <v>182</v>
      </c>
      <c r="B184" s="9">
        <v>183</v>
      </c>
      <c r="C184" s="9">
        <v>0.1061</v>
      </c>
      <c r="D184" s="9">
        <v>0.39</v>
      </c>
      <c r="E184" s="9">
        <v>0.35820000000000002</v>
      </c>
      <c r="F184" s="9">
        <v>2</v>
      </c>
      <c r="G184" s="9">
        <v>35</v>
      </c>
      <c r="H184" s="9">
        <v>37</v>
      </c>
    </row>
    <row r="185" spans="1:8" ht="15.75" customHeight="1" x14ac:dyDescent="0.25">
      <c r="A185" s="9">
        <v>183</v>
      </c>
      <c r="B185" s="9">
        <v>184</v>
      </c>
      <c r="C185" s="9">
        <v>0.1061</v>
      </c>
      <c r="D185" s="9">
        <v>0.36</v>
      </c>
      <c r="E185" s="9">
        <v>0.3881</v>
      </c>
      <c r="F185" s="9">
        <v>1</v>
      </c>
      <c r="G185" s="9">
        <v>33</v>
      </c>
      <c r="H185" s="9">
        <v>34</v>
      </c>
    </row>
    <row r="186" spans="1:8" ht="15.75" customHeight="1" x14ac:dyDescent="0.25">
      <c r="A186" s="9">
        <v>184</v>
      </c>
      <c r="B186" s="9">
        <v>185</v>
      </c>
      <c r="C186" s="9">
        <v>6.0600000000000001E-2</v>
      </c>
      <c r="D186" s="9">
        <v>0.39</v>
      </c>
      <c r="E186" s="9">
        <v>0.44779999999999998</v>
      </c>
      <c r="F186" s="9">
        <v>0</v>
      </c>
      <c r="G186" s="9">
        <v>22</v>
      </c>
      <c r="H186" s="9">
        <v>22</v>
      </c>
    </row>
    <row r="187" spans="1:8" ht="15.75" customHeight="1" x14ac:dyDescent="0.25">
      <c r="A187" s="9">
        <v>185</v>
      </c>
      <c r="B187" s="9">
        <v>186</v>
      </c>
      <c r="C187" s="9">
        <v>7.5800000000000006E-2</v>
      </c>
      <c r="D187" s="9">
        <v>0.42</v>
      </c>
      <c r="E187" s="9">
        <v>0.3881</v>
      </c>
      <c r="F187" s="9">
        <v>1</v>
      </c>
      <c r="G187" s="9">
        <v>24</v>
      </c>
      <c r="H187" s="9">
        <v>25</v>
      </c>
    </row>
    <row r="188" spans="1:8" ht="15.75" customHeight="1" x14ac:dyDescent="0.25">
      <c r="A188" s="9">
        <v>186</v>
      </c>
      <c r="B188" s="9">
        <v>187</v>
      </c>
      <c r="C188" s="9">
        <v>6.0600000000000001E-2</v>
      </c>
      <c r="D188" s="9">
        <v>0.42</v>
      </c>
      <c r="E188" s="9">
        <v>0.4627</v>
      </c>
      <c r="F188" s="9">
        <v>0</v>
      </c>
      <c r="G188" s="9">
        <v>12</v>
      </c>
      <c r="H188" s="9">
        <v>12</v>
      </c>
    </row>
    <row r="189" spans="1:8" ht="15.75" customHeight="1" x14ac:dyDescent="0.25">
      <c r="A189" s="9">
        <v>187</v>
      </c>
      <c r="B189" s="9">
        <v>188</v>
      </c>
      <c r="C189" s="9">
        <v>6.0600000000000001E-2</v>
      </c>
      <c r="D189" s="9">
        <v>0.46</v>
      </c>
      <c r="E189" s="9">
        <v>0.4627</v>
      </c>
      <c r="F189" s="9">
        <v>0</v>
      </c>
      <c r="G189" s="9">
        <v>11</v>
      </c>
      <c r="H189" s="9">
        <v>11</v>
      </c>
    </row>
    <row r="190" spans="1:8" ht="15.75" customHeight="1" x14ac:dyDescent="0.25">
      <c r="A190" s="9">
        <v>188</v>
      </c>
      <c r="B190" s="9">
        <v>189</v>
      </c>
      <c r="C190" s="9">
        <v>7.5800000000000006E-2</v>
      </c>
      <c r="D190" s="9">
        <v>0.46</v>
      </c>
      <c r="E190" s="9">
        <v>0.41789999999999999</v>
      </c>
      <c r="F190" s="9">
        <v>0</v>
      </c>
      <c r="G190" s="9">
        <v>4</v>
      </c>
      <c r="H190" s="9">
        <v>4</v>
      </c>
    </row>
    <row r="191" spans="1:8" ht="15.75" customHeight="1" x14ac:dyDescent="0.25">
      <c r="A191" s="9">
        <v>189</v>
      </c>
      <c r="B191" s="9">
        <v>190</v>
      </c>
      <c r="C191" s="9">
        <v>9.0899999999999995E-2</v>
      </c>
      <c r="D191" s="9">
        <v>0.53</v>
      </c>
      <c r="E191" s="9">
        <v>0.19400000000000001</v>
      </c>
      <c r="F191" s="9">
        <v>0</v>
      </c>
      <c r="G191" s="9">
        <v>1</v>
      </c>
      <c r="H191" s="9">
        <v>1</v>
      </c>
    </row>
    <row r="192" spans="1:8" ht="15.75" customHeight="1" x14ac:dyDescent="0.25">
      <c r="A192" s="9">
        <v>190</v>
      </c>
      <c r="B192" s="9">
        <v>191</v>
      </c>
      <c r="C192" s="9">
        <v>9.0899999999999995E-2</v>
      </c>
      <c r="D192" s="9">
        <v>0.53</v>
      </c>
      <c r="E192" s="9">
        <v>0.19400000000000001</v>
      </c>
      <c r="F192" s="9">
        <v>0</v>
      </c>
      <c r="G192" s="9">
        <v>1</v>
      </c>
      <c r="H192" s="9">
        <v>1</v>
      </c>
    </row>
    <row r="193" spans="1:8" ht="15.75" customHeight="1" x14ac:dyDescent="0.25">
      <c r="A193" s="9">
        <v>191</v>
      </c>
      <c r="B193" s="9">
        <v>192</v>
      </c>
      <c r="C193" s="9">
        <v>9.0899999999999995E-2</v>
      </c>
      <c r="D193" s="9">
        <v>0.49</v>
      </c>
      <c r="E193" s="9">
        <v>0.28360000000000002</v>
      </c>
      <c r="F193" s="9">
        <v>0</v>
      </c>
      <c r="G193" s="9">
        <v>1</v>
      </c>
      <c r="H193" s="9">
        <v>1</v>
      </c>
    </row>
    <row r="194" spans="1:8" ht="15.75" customHeight="1" x14ac:dyDescent="0.25">
      <c r="A194" s="9">
        <v>192</v>
      </c>
      <c r="B194" s="9">
        <v>193</v>
      </c>
      <c r="C194" s="9">
        <v>9.0899999999999995E-2</v>
      </c>
      <c r="D194" s="9">
        <v>0.53</v>
      </c>
      <c r="E194" s="9">
        <v>0.19400000000000001</v>
      </c>
      <c r="F194" s="9">
        <v>1</v>
      </c>
      <c r="G194" s="9">
        <v>5</v>
      </c>
      <c r="H194" s="9">
        <v>6</v>
      </c>
    </row>
    <row r="195" spans="1:8" ht="15.75" customHeight="1" x14ac:dyDescent="0.25">
      <c r="A195" s="9">
        <v>193</v>
      </c>
      <c r="B195" s="9">
        <v>194</v>
      </c>
      <c r="C195" s="9">
        <v>9.0899999999999995E-2</v>
      </c>
      <c r="D195" s="9">
        <v>0.49</v>
      </c>
      <c r="E195" s="9">
        <v>0.28360000000000002</v>
      </c>
      <c r="F195" s="9">
        <v>0</v>
      </c>
      <c r="G195" s="9">
        <v>10</v>
      </c>
      <c r="H195" s="9">
        <v>10</v>
      </c>
    </row>
    <row r="196" spans="1:8" ht="15.75" customHeight="1" x14ac:dyDescent="0.25">
      <c r="A196" s="9">
        <v>194</v>
      </c>
      <c r="B196" s="9">
        <v>195</v>
      </c>
      <c r="C196" s="9">
        <v>7.5800000000000006E-2</v>
      </c>
      <c r="D196" s="9">
        <v>0.46</v>
      </c>
      <c r="E196" s="9">
        <v>0.52239999999999998</v>
      </c>
      <c r="F196" s="9">
        <v>0</v>
      </c>
      <c r="G196" s="9">
        <v>19</v>
      </c>
      <c r="H196" s="9">
        <v>19</v>
      </c>
    </row>
    <row r="197" spans="1:8" ht="15.75" customHeight="1" x14ac:dyDescent="0.25">
      <c r="A197" s="9">
        <v>195</v>
      </c>
      <c r="B197" s="9">
        <v>196</v>
      </c>
      <c r="C197" s="9">
        <v>0.1061</v>
      </c>
      <c r="D197" s="9">
        <v>0.43</v>
      </c>
      <c r="E197" s="9">
        <v>0.3881</v>
      </c>
      <c r="F197" s="9">
        <v>0</v>
      </c>
      <c r="G197" s="9">
        <v>49</v>
      </c>
      <c r="H197" s="9">
        <v>49</v>
      </c>
    </row>
    <row r="198" spans="1:8" ht="15.75" customHeight="1" x14ac:dyDescent="0.25">
      <c r="A198" s="9">
        <v>196</v>
      </c>
      <c r="B198" s="9">
        <v>197</v>
      </c>
      <c r="C198" s="9">
        <v>0.1212</v>
      </c>
      <c r="D198" s="9">
        <v>0.4</v>
      </c>
      <c r="E198" s="9">
        <v>0.52239999999999998</v>
      </c>
      <c r="F198" s="9">
        <v>2</v>
      </c>
      <c r="G198" s="9">
        <v>47</v>
      </c>
      <c r="H198" s="9">
        <v>49</v>
      </c>
    </row>
    <row r="199" spans="1:8" ht="15.75" customHeight="1" x14ac:dyDescent="0.25">
      <c r="A199" s="9">
        <v>197</v>
      </c>
      <c r="B199" s="9">
        <v>198</v>
      </c>
      <c r="C199" s="9">
        <v>0.13639999999999999</v>
      </c>
      <c r="D199" s="9">
        <v>0.37</v>
      </c>
      <c r="E199" s="9">
        <v>0.44779999999999998</v>
      </c>
      <c r="F199" s="9">
        <v>4</v>
      </c>
      <c r="G199" s="9">
        <v>79</v>
      </c>
      <c r="H199" s="9">
        <v>83</v>
      </c>
    </row>
    <row r="200" spans="1:8" ht="15.75" customHeight="1" x14ac:dyDescent="0.25">
      <c r="A200" s="9">
        <v>198</v>
      </c>
      <c r="B200" s="9">
        <v>199</v>
      </c>
      <c r="C200" s="9">
        <v>0.16669999999999999</v>
      </c>
      <c r="D200" s="9">
        <v>0.34</v>
      </c>
      <c r="E200" s="9">
        <v>0.44779999999999998</v>
      </c>
      <c r="F200" s="9">
        <v>6</v>
      </c>
      <c r="G200" s="9">
        <v>69</v>
      </c>
      <c r="H200" s="9">
        <v>75</v>
      </c>
    </row>
    <row r="201" spans="1:8" ht="15.75" customHeight="1" x14ac:dyDescent="0.25">
      <c r="A201" s="9">
        <v>199</v>
      </c>
      <c r="B201" s="9">
        <v>200</v>
      </c>
      <c r="C201" s="9">
        <v>0.18179999999999999</v>
      </c>
      <c r="D201" s="9">
        <v>0.32</v>
      </c>
      <c r="E201" s="9">
        <v>0.4627</v>
      </c>
      <c r="F201" s="9">
        <v>8</v>
      </c>
      <c r="G201" s="9">
        <v>64</v>
      </c>
      <c r="H201" s="9">
        <v>72</v>
      </c>
    </row>
    <row r="202" spans="1:8" ht="15.75" customHeight="1" x14ac:dyDescent="0.25">
      <c r="A202" s="9">
        <v>200</v>
      </c>
      <c r="B202" s="9">
        <v>201</v>
      </c>
      <c r="C202" s="9">
        <v>0.19700000000000001</v>
      </c>
      <c r="D202" s="9">
        <v>0.35</v>
      </c>
      <c r="E202" s="9">
        <v>0.35820000000000002</v>
      </c>
      <c r="F202" s="9">
        <v>5</v>
      </c>
      <c r="G202" s="9">
        <v>77</v>
      </c>
      <c r="H202" s="9">
        <v>82</v>
      </c>
    </row>
    <row r="203" spans="1:8" ht="15.75" customHeight="1" x14ac:dyDescent="0.25">
      <c r="A203" s="9">
        <v>201</v>
      </c>
      <c r="B203" s="9">
        <v>202</v>
      </c>
      <c r="C203" s="9">
        <v>0.16669999999999999</v>
      </c>
      <c r="D203" s="9">
        <v>0.34</v>
      </c>
      <c r="E203" s="9">
        <v>0.44779999999999998</v>
      </c>
      <c r="F203" s="9">
        <v>13</v>
      </c>
      <c r="G203" s="9">
        <v>79</v>
      </c>
      <c r="H203" s="9">
        <v>92</v>
      </c>
    </row>
    <row r="204" spans="1:8" ht="15.75" customHeight="1" x14ac:dyDescent="0.25">
      <c r="A204" s="9">
        <v>202</v>
      </c>
      <c r="B204" s="9">
        <v>203</v>
      </c>
      <c r="C204" s="9">
        <v>0.1515</v>
      </c>
      <c r="D204" s="9">
        <v>0.37</v>
      </c>
      <c r="E204" s="9">
        <v>0.3881</v>
      </c>
      <c r="F204" s="9">
        <v>3</v>
      </c>
      <c r="G204" s="9">
        <v>59</v>
      </c>
      <c r="H204" s="9">
        <v>62</v>
      </c>
    </row>
    <row r="205" spans="1:8" ht="15.75" customHeight="1" x14ac:dyDescent="0.25">
      <c r="A205" s="9">
        <v>203</v>
      </c>
      <c r="B205" s="9">
        <v>204</v>
      </c>
      <c r="C205" s="9">
        <v>0.13639999999999999</v>
      </c>
      <c r="D205" s="9">
        <v>0.4</v>
      </c>
      <c r="E205" s="9">
        <v>0.32840000000000003</v>
      </c>
      <c r="F205" s="9">
        <v>4</v>
      </c>
      <c r="G205" s="9">
        <v>44</v>
      </c>
      <c r="H205" s="9">
        <v>48</v>
      </c>
    </row>
    <row r="206" spans="1:8" ht="15.75" customHeight="1" x14ac:dyDescent="0.25">
      <c r="A206" s="9">
        <v>204</v>
      </c>
      <c r="B206" s="9">
        <v>205</v>
      </c>
      <c r="C206" s="9">
        <v>0.13639999999999999</v>
      </c>
      <c r="D206" s="9">
        <v>0.43</v>
      </c>
      <c r="E206" s="9">
        <v>0.32840000000000003</v>
      </c>
      <c r="F206" s="9">
        <v>1</v>
      </c>
      <c r="G206" s="9">
        <v>40</v>
      </c>
      <c r="H206" s="9">
        <v>41</v>
      </c>
    </row>
    <row r="207" spans="1:8" ht="15.75" customHeight="1" x14ac:dyDescent="0.25">
      <c r="A207" s="9">
        <v>205</v>
      </c>
      <c r="B207" s="9">
        <v>206</v>
      </c>
      <c r="C207" s="9">
        <v>0.1212</v>
      </c>
      <c r="D207" s="9">
        <v>0.46</v>
      </c>
      <c r="E207" s="9">
        <v>0.25369999999999998</v>
      </c>
      <c r="F207" s="9">
        <v>0</v>
      </c>
      <c r="G207" s="9">
        <v>38</v>
      </c>
      <c r="H207" s="9">
        <v>38</v>
      </c>
    </row>
    <row r="208" spans="1:8" ht="15.75" customHeight="1" x14ac:dyDescent="0.25">
      <c r="A208" s="9">
        <v>206</v>
      </c>
      <c r="B208" s="9">
        <v>207</v>
      </c>
      <c r="C208" s="9">
        <v>0.1061</v>
      </c>
      <c r="D208" s="9">
        <v>0.46</v>
      </c>
      <c r="E208" s="9">
        <v>0.41789999999999999</v>
      </c>
      <c r="F208" s="9">
        <v>1</v>
      </c>
      <c r="G208" s="9">
        <v>19</v>
      </c>
      <c r="H208" s="9">
        <v>20</v>
      </c>
    </row>
    <row r="209" spans="1:8" ht="15.75" customHeight="1" x14ac:dyDescent="0.25">
      <c r="A209" s="9">
        <v>207</v>
      </c>
      <c r="B209" s="9">
        <v>208</v>
      </c>
      <c r="C209" s="9">
        <v>0.1212</v>
      </c>
      <c r="D209" s="9">
        <v>0.46</v>
      </c>
      <c r="E209" s="9">
        <v>0.29849999999999999</v>
      </c>
      <c r="F209" s="9">
        <v>5</v>
      </c>
      <c r="G209" s="9">
        <v>10</v>
      </c>
      <c r="H209" s="9">
        <v>15</v>
      </c>
    </row>
    <row r="210" spans="1:8" ht="15.75" customHeight="1" x14ac:dyDescent="0.25">
      <c r="A210" s="9">
        <v>208</v>
      </c>
      <c r="B210" s="9">
        <v>209</v>
      </c>
      <c r="C210" s="9">
        <v>0.13639999999999999</v>
      </c>
      <c r="D210" s="9">
        <v>0.5</v>
      </c>
      <c r="E210" s="9">
        <v>0.19400000000000001</v>
      </c>
      <c r="F210" s="9">
        <v>0</v>
      </c>
      <c r="G210" s="9">
        <v>6</v>
      </c>
      <c r="H210" s="9">
        <v>6</v>
      </c>
    </row>
    <row r="211" spans="1:8" ht="15.75" customHeight="1" x14ac:dyDescent="0.25">
      <c r="A211" s="9">
        <v>209</v>
      </c>
      <c r="B211" s="9">
        <v>210</v>
      </c>
      <c r="C211" s="9">
        <v>0.1212</v>
      </c>
      <c r="D211" s="9">
        <v>0.5</v>
      </c>
      <c r="E211" s="9">
        <v>0.28360000000000002</v>
      </c>
      <c r="F211" s="9">
        <v>2</v>
      </c>
      <c r="G211" s="9">
        <v>3</v>
      </c>
      <c r="H211" s="9">
        <v>5</v>
      </c>
    </row>
    <row r="212" spans="1:8" ht="15.75" customHeight="1" x14ac:dyDescent="0.25">
      <c r="A212" s="9">
        <v>210</v>
      </c>
      <c r="B212" s="9">
        <v>211</v>
      </c>
      <c r="C212" s="9">
        <v>0.1212</v>
      </c>
      <c r="D212" s="9">
        <v>0.5</v>
      </c>
      <c r="E212" s="9">
        <v>0.28360000000000002</v>
      </c>
      <c r="F212" s="9">
        <v>1</v>
      </c>
      <c r="G212" s="9">
        <v>0</v>
      </c>
      <c r="H212" s="9">
        <v>1</v>
      </c>
    </row>
    <row r="213" spans="1:8" ht="15.75" customHeight="1" x14ac:dyDescent="0.25">
      <c r="A213" s="9">
        <v>211</v>
      </c>
      <c r="B213" s="9">
        <v>212</v>
      </c>
      <c r="C213" s="9">
        <v>0.1212</v>
      </c>
      <c r="D213" s="9">
        <v>0.5</v>
      </c>
      <c r="E213" s="9">
        <v>0.22389999999999999</v>
      </c>
      <c r="F213" s="9">
        <v>0</v>
      </c>
      <c r="G213" s="9">
        <v>3</v>
      </c>
      <c r="H213" s="9">
        <v>3</v>
      </c>
    </row>
    <row r="214" spans="1:8" ht="15.75" customHeight="1" x14ac:dyDescent="0.25">
      <c r="A214" s="9">
        <v>212</v>
      </c>
      <c r="B214" s="9">
        <v>213</v>
      </c>
      <c r="C214" s="9">
        <v>0.1212</v>
      </c>
      <c r="D214" s="9">
        <v>0.5</v>
      </c>
      <c r="E214" s="9">
        <v>0.22389999999999999</v>
      </c>
      <c r="F214" s="9">
        <v>0</v>
      </c>
      <c r="G214" s="9">
        <v>1</v>
      </c>
      <c r="H214" s="9">
        <v>1</v>
      </c>
    </row>
    <row r="215" spans="1:8" ht="15.75" customHeight="1" x14ac:dyDescent="0.25">
      <c r="A215" s="9">
        <v>213</v>
      </c>
      <c r="B215" s="9">
        <v>214</v>
      </c>
      <c r="C215" s="9">
        <v>0.1212</v>
      </c>
      <c r="D215" s="9">
        <v>0.54</v>
      </c>
      <c r="E215" s="9">
        <v>0.1343</v>
      </c>
      <c r="F215" s="9">
        <v>1</v>
      </c>
      <c r="G215" s="9">
        <v>2</v>
      </c>
      <c r="H215" s="9">
        <v>3</v>
      </c>
    </row>
    <row r="216" spans="1:8" ht="15.75" customHeight="1" x14ac:dyDescent="0.25">
      <c r="A216" s="9">
        <v>214</v>
      </c>
      <c r="B216" s="9">
        <v>215</v>
      </c>
      <c r="C216" s="9">
        <v>0.1061</v>
      </c>
      <c r="D216" s="9">
        <v>0.54</v>
      </c>
      <c r="E216" s="9">
        <v>0.25369999999999998</v>
      </c>
      <c r="F216" s="9">
        <v>0</v>
      </c>
      <c r="G216" s="9">
        <v>3</v>
      </c>
      <c r="H216" s="9">
        <v>3</v>
      </c>
    </row>
    <row r="217" spans="1:8" ht="15.75" customHeight="1" x14ac:dyDescent="0.25">
      <c r="A217" s="9">
        <v>215</v>
      </c>
      <c r="B217" s="9">
        <v>216</v>
      </c>
      <c r="C217" s="9">
        <v>0.1212</v>
      </c>
      <c r="D217" s="9">
        <v>0.5</v>
      </c>
      <c r="E217" s="9">
        <v>0.28360000000000002</v>
      </c>
      <c r="F217" s="9">
        <v>0</v>
      </c>
      <c r="G217" s="9">
        <v>31</v>
      </c>
      <c r="H217" s="9">
        <v>31</v>
      </c>
    </row>
    <row r="218" spans="1:8" ht="15.75" customHeight="1" x14ac:dyDescent="0.25">
      <c r="A218" s="9">
        <v>216</v>
      </c>
      <c r="B218" s="9">
        <v>217</v>
      </c>
      <c r="C218" s="9">
        <v>0.1212</v>
      </c>
      <c r="D218" s="9">
        <v>0.5</v>
      </c>
      <c r="E218" s="9">
        <v>0.22389999999999999</v>
      </c>
      <c r="F218" s="9">
        <v>2</v>
      </c>
      <c r="G218" s="9">
        <v>75</v>
      </c>
      <c r="H218" s="9">
        <v>77</v>
      </c>
    </row>
    <row r="219" spans="1:8" ht="15.75" customHeight="1" x14ac:dyDescent="0.25">
      <c r="A219" s="9">
        <v>217</v>
      </c>
      <c r="B219" s="9">
        <v>218</v>
      </c>
      <c r="C219" s="9">
        <v>0.1212</v>
      </c>
      <c r="D219" s="9">
        <v>0.5</v>
      </c>
      <c r="E219" s="9">
        <v>0.28360000000000002</v>
      </c>
      <c r="F219" s="9">
        <v>4</v>
      </c>
      <c r="G219" s="9">
        <v>184</v>
      </c>
      <c r="H219" s="9">
        <v>188</v>
      </c>
    </row>
    <row r="220" spans="1:8" ht="15.75" customHeight="1" x14ac:dyDescent="0.25">
      <c r="A220" s="9">
        <v>218</v>
      </c>
      <c r="B220" s="9">
        <v>219</v>
      </c>
      <c r="C220" s="9">
        <v>0.1212</v>
      </c>
      <c r="D220" s="9">
        <v>0.5</v>
      </c>
      <c r="E220" s="9">
        <v>0.25369999999999998</v>
      </c>
      <c r="F220" s="9">
        <v>2</v>
      </c>
      <c r="G220" s="9">
        <v>92</v>
      </c>
      <c r="H220" s="9">
        <v>94</v>
      </c>
    </row>
    <row r="221" spans="1:8" ht="15.75" customHeight="1" x14ac:dyDescent="0.25">
      <c r="A221" s="9">
        <v>219</v>
      </c>
      <c r="B221" s="9">
        <v>220</v>
      </c>
      <c r="C221" s="9">
        <v>0.1212</v>
      </c>
      <c r="D221" s="9">
        <v>0.5</v>
      </c>
      <c r="E221" s="9">
        <v>0.29849999999999999</v>
      </c>
      <c r="F221" s="9">
        <v>0</v>
      </c>
      <c r="G221" s="9">
        <v>31</v>
      </c>
      <c r="H221" s="9">
        <v>31</v>
      </c>
    </row>
    <row r="222" spans="1:8" ht="15.75" customHeight="1" x14ac:dyDescent="0.25">
      <c r="A222" s="9">
        <v>220</v>
      </c>
      <c r="B222" s="9">
        <v>221</v>
      </c>
      <c r="C222" s="9">
        <v>0.13639999999999999</v>
      </c>
      <c r="D222" s="9">
        <v>0.47</v>
      </c>
      <c r="E222" s="9">
        <v>0.28360000000000002</v>
      </c>
      <c r="F222" s="9">
        <v>2</v>
      </c>
      <c r="G222" s="9">
        <v>28</v>
      </c>
      <c r="H222" s="9">
        <v>30</v>
      </c>
    </row>
    <row r="223" spans="1:8" ht="15.75" customHeight="1" x14ac:dyDescent="0.25">
      <c r="A223" s="9">
        <v>221</v>
      </c>
      <c r="B223" s="9">
        <v>222</v>
      </c>
      <c r="C223" s="9">
        <v>0.18179999999999999</v>
      </c>
      <c r="D223" s="9">
        <v>0.4</v>
      </c>
      <c r="E223" s="9">
        <v>0.28360000000000002</v>
      </c>
      <c r="F223" s="9">
        <v>5</v>
      </c>
      <c r="G223" s="9">
        <v>47</v>
      </c>
      <c r="H223" s="9">
        <v>52</v>
      </c>
    </row>
    <row r="224" spans="1:8" ht="15.75" customHeight="1" x14ac:dyDescent="0.25">
      <c r="A224" s="9">
        <v>222</v>
      </c>
      <c r="B224" s="9">
        <v>223</v>
      </c>
      <c r="C224" s="9">
        <v>0.18179999999999999</v>
      </c>
      <c r="D224" s="9">
        <v>0.4</v>
      </c>
      <c r="E224" s="9">
        <v>0.28360000000000002</v>
      </c>
      <c r="F224" s="9">
        <v>4</v>
      </c>
      <c r="G224" s="9">
        <v>50</v>
      </c>
      <c r="H224" s="9">
        <v>54</v>
      </c>
    </row>
    <row r="225" spans="1:8" ht="15.75" customHeight="1" x14ac:dyDescent="0.25">
      <c r="A225" s="9">
        <v>223</v>
      </c>
      <c r="B225" s="9">
        <v>224</v>
      </c>
      <c r="C225" s="9">
        <v>0.19700000000000001</v>
      </c>
      <c r="D225" s="9">
        <v>0.4</v>
      </c>
      <c r="E225" s="9">
        <v>0.22389999999999999</v>
      </c>
      <c r="F225" s="9">
        <v>0</v>
      </c>
      <c r="G225" s="9">
        <v>47</v>
      </c>
      <c r="H225" s="9">
        <v>47</v>
      </c>
    </row>
    <row r="226" spans="1:8" ht="15.75" customHeight="1" x14ac:dyDescent="0.25">
      <c r="A226" s="9">
        <v>224</v>
      </c>
      <c r="B226" s="9">
        <v>225</v>
      </c>
      <c r="C226" s="9">
        <v>0.19700000000000001</v>
      </c>
      <c r="D226" s="9">
        <v>0.4</v>
      </c>
      <c r="E226" s="9">
        <v>0.22389999999999999</v>
      </c>
      <c r="F226" s="9">
        <v>2</v>
      </c>
      <c r="G226" s="9">
        <v>43</v>
      </c>
      <c r="H226" s="9">
        <v>45</v>
      </c>
    </row>
    <row r="227" spans="1:8" ht="15.75" customHeight="1" x14ac:dyDescent="0.25">
      <c r="A227" s="9">
        <v>225</v>
      </c>
      <c r="B227" s="9">
        <v>226</v>
      </c>
      <c r="C227" s="9">
        <v>0.21210000000000001</v>
      </c>
      <c r="D227" s="9">
        <v>0.4</v>
      </c>
      <c r="E227" s="9">
        <v>0.1343</v>
      </c>
      <c r="F227" s="9">
        <v>4</v>
      </c>
      <c r="G227" s="9">
        <v>70</v>
      </c>
      <c r="H227" s="9">
        <v>74</v>
      </c>
    </row>
    <row r="228" spans="1:8" ht="15.75" customHeight="1" x14ac:dyDescent="0.25">
      <c r="A228" s="9">
        <v>226</v>
      </c>
      <c r="B228" s="9">
        <v>227</v>
      </c>
      <c r="C228" s="9">
        <v>0.2273</v>
      </c>
      <c r="D228" s="9">
        <v>0.4</v>
      </c>
      <c r="E228" s="9">
        <v>0.1045</v>
      </c>
      <c r="F228" s="9">
        <v>4</v>
      </c>
      <c r="G228" s="9">
        <v>174</v>
      </c>
      <c r="H228" s="9">
        <v>178</v>
      </c>
    </row>
    <row r="229" spans="1:8" ht="15.75" customHeight="1" x14ac:dyDescent="0.25">
      <c r="A229" s="9">
        <v>227</v>
      </c>
      <c r="B229" s="9">
        <v>228</v>
      </c>
      <c r="C229" s="9">
        <v>0.19700000000000001</v>
      </c>
      <c r="D229" s="9">
        <v>0.4</v>
      </c>
      <c r="E229" s="9">
        <v>0.22389999999999999</v>
      </c>
      <c r="F229" s="9">
        <v>1</v>
      </c>
      <c r="G229" s="9">
        <v>154</v>
      </c>
      <c r="H229" s="9">
        <v>155</v>
      </c>
    </row>
    <row r="230" spans="1:8" ht="15.75" customHeight="1" x14ac:dyDescent="0.25">
      <c r="A230" s="9">
        <v>228</v>
      </c>
      <c r="B230" s="9">
        <v>229</v>
      </c>
      <c r="C230" s="9">
        <v>0.16669999999999999</v>
      </c>
      <c r="D230" s="9">
        <v>0.47</v>
      </c>
      <c r="E230" s="9">
        <v>0.16420000000000001</v>
      </c>
      <c r="F230" s="9">
        <v>3</v>
      </c>
      <c r="G230" s="9">
        <v>92</v>
      </c>
      <c r="H230" s="9">
        <v>95</v>
      </c>
    </row>
    <row r="231" spans="1:8" ht="15.75" customHeight="1" x14ac:dyDescent="0.25">
      <c r="A231" s="9">
        <v>229</v>
      </c>
      <c r="B231" s="9">
        <v>230</v>
      </c>
      <c r="C231" s="9">
        <v>0.16669999999999999</v>
      </c>
      <c r="D231" s="9">
        <v>0.5</v>
      </c>
      <c r="E231" s="9">
        <v>0.16420000000000001</v>
      </c>
      <c r="F231" s="9">
        <v>1</v>
      </c>
      <c r="G231" s="9">
        <v>73</v>
      </c>
      <c r="H231" s="9">
        <v>74</v>
      </c>
    </row>
    <row r="232" spans="1:8" ht="15.75" customHeight="1" x14ac:dyDescent="0.25">
      <c r="A232" s="9">
        <v>230</v>
      </c>
      <c r="B232" s="9">
        <v>231</v>
      </c>
      <c r="C232" s="9">
        <v>0.13639999999999999</v>
      </c>
      <c r="D232" s="9">
        <v>0.59</v>
      </c>
      <c r="E232" s="9">
        <v>0.19400000000000001</v>
      </c>
      <c r="F232" s="9">
        <v>1</v>
      </c>
      <c r="G232" s="9">
        <v>37</v>
      </c>
      <c r="H232" s="9">
        <v>38</v>
      </c>
    </row>
    <row r="233" spans="1:8" ht="15.75" customHeight="1" x14ac:dyDescent="0.25">
      <c r="A233" s="9">
        <v>231</v>
      </c>
      <c r="B233" s="9">
        <v>232</v>
      </c>
      <c r="C233" s="9">
        <v>0.1515</v>
      </c>
      <c r="D233" s="9">
        <v>0.59</v>
      </c>
      <c r="E233" s="9">
        <v>0.16420000000000001</v>
      </c>
      <c r="F233" s="9">
        <v>2</v>
      </c>
      <c r="G233" s="9">
        <v>22</v>
      </c>
      <c r="H233" s="9">
        <v>24</v>
      </c>
    </row>
    <row r="234" spans="1:8" ht="15.75" customHeight="1" x14ac:dyDescent="0.25">
      <c r="A234" s="9">
        <v>232</v>
      </c>
      <c r="B234" s="9">
        <v>233</v>
      </c>
      <c r="C234" s="9">
        <v>0.1515</v>
      </c>
      <c r="D234" s="9">
        <v>0.59</v>
      </c>
      <c r="E234" s="9">
        <v>0.16420000000000001</v>
      </c>
      <c r="F234" s="9">
        <v>0</v>
      </c>
      <c r="G234" s="9">
        <v>18</v>
      </c>
      <c r="H234" s="9">
        <v>18</v>
      </c>
    </row>
    <row r="235" spans="1:8" ht="15.75" customHeight="1" x14ac:dyDescent="0.25">
      <c r="A235" s="9">
        <v>233</v>
      </c>
      <c r="B235" s="9">
        <v>234</v>
      </c>
      <c r="C235" s="9">
        <v>0.16669999999999999</v>
      </c>
      <c r="D235" s="9">
        <v>0.59</v>
      </c>
      <c r="E235" s="9">
        <v>0.1045</v>
      </c>
      <c r="F235" s="9">
        <v>2</v>
      </c>
      <c r="G235" s="9">
        <v>10</v>
      </c>
      <c r="H235" s="9">
        <v>12</v>
      </c>
    </row>
    <row r="236" spans="1:8" ht="15.75" customHeight="1" x14ac:dyDescent="0.25">
      <c r="A236" s="9">
        <v>234</v>
      </c>
      <c r="B236" s="9">
        <v>235</v>
      </c>
      <c r="C236" s="9">
        <v>0.1515</v>
      </c>
      <c r="D236" s="9">
        <v>0.59</v>
      </c>
      <c r="E236" s="9">
        <v>0.16420000000000001</v>
      </c>
      <c r="F236" s="9">
        <v>0</v>
      </c>
      <c r="G236" s="9">
        <v>3</v>
      </c>
      <c r="H236" s="9">
        <v>3</v>
      </c>
    </row>
    <row r="237" spans="1:8" ht="15.75" customHeight="1" x14ac:dyDescent="0.25">
      <c r="A237" s="9">
        <v>235</v>
      </c>
      <c r="B237" s="9">
        <v>236</v>
      </c>
      <c r="C237" s="9">
        <v>0.1515</v>
      </c>
      <c r="D237" s="9">
        <v>0.55000000000000004</v>
      </c>
      <c r="E237" s="9">
        <v>0.19400000000000001</v>
      </c>
      <c r="F237" s="9">
        <v>0</v>
      </c>
      <c r="G237" s="9">
        <v>3</v>
      </c>
      <c r="H237" s="9">
        <v>3</v>
      </c>
    </row>
    <row r="238" spans="1:8" ht="15.75" customHeight="1" x14ac:dyDescent="0.25">
      <c r="A238" s="9">
        <v>236</v>
      </c>
      <c r="B238" s="9">
        <v>237</v>
      </c>
      <c r="C238" s="9">
        <v>0.18179999999999999</v>
      </c>
      <c r="D238" s="9">
        <v>0.55000000000000004</v>
      </c>
      <c r="E238" s="9">
        <v>0.1343</v>
      </c>
      <c r="F238" s="9">
        <v>0</v>
      </c>
      <c r="G238" s="9">
        <v>6</v>
      </c>
      <c r="H238" s="9">
        <v>6</v>
      </c>
    </row>
    <row r="239" spans="1:8" ht="15.75" customHeight="1" x14ac:dyDescent="0.25">
      <c r="A239" s="9">
        <v>237</v>
      </c>
      <c r="B239" s="9">
        <v>238</v>
      </c>
      <c r="C239" s="9">
        <v>0.18179999999999999</v>
      </c>
      <c r="D239" s="9">
        <v>0.55000000000000004</v>
      </c>
      <c r="E239" s="9">
        <v>0.1343</v>
      </c>
      <c r="F239" s="9">
        <v>0</v>
      </c>
      <c r="G239" s="9">
        <v>27</v>
      </c>
      <c r="H239" s="9">
        <v>27</v>
      </c>
    </row>
    <row r="240" spans="1:8" ht="15.75" customHeight="1" x14ac:dyDescent="0.25">
      <c r="A240" s="9">
        <v>238</v>
      </c>
      <c r="B240" s="9">
        <v>239</v>
      </c>
      <c r="C240" s="9">
        <v>0.2273</v>
      </c>
      <c r="D240" s="9">
        <v>0.55000000000000004</v>
      </c>
      <c r="E240" s="9">
        <v>0</v>
      </c>
      <c r="F240" s="9">
        <v>2</v>
      </c>
      <c r="G240" s="9">
        <v>97</v>
      </c>
      <c r="H240" s="9">
        <v>99</v>
      </c>
    </row>
    <row r="241" spans="1:8" ht="15.75" customHeight="1" x14ac:dyDescent="0.25">
      <c r="A241" s="9">
        <v>239</v>
      </c>
      <c r="B241" s="9">
        <v>240</v>
      </c>
      <c r="C241" s="9">
        <v>0.21210000000000001</v>
      </c>
      <c r="D241" s="9">
        <v>0.51</v>
      </c>
      <c r="E241" s="9">
        <v>8.9599999999999999E-2</v>
      </c>
      <c r="F241" s="9">
        <v>3</v>
      </c>
      <c r="G241" s="9">
        <v>214</v>
      </c>
      <c r="H241" s="9">
        <v>217</v>
      </c>
    </row>
    <row r="242" spans="1:8" ht="15.75" customHeight="1" x14ac:dyDescent="0.25">
      <c r="A242" s="9">
        <v>240</v>
      </c>
      <c r="B242" s="9">
        <v>241</v>
      </c>
      <c r="C242" s="9">
        <v>0.19700000000000001</v>
      </c>
      <c r="D242" s="9">
        <v>0.51</v>
      </c>
      <c r="E242" s="9">
        <v>0.16420000000000001</v>
      </c>
      <c r="F242" s="9">
        <v>3</v>
      </c>
      <c r="G242" s="9">
        <v>127</v>
      </c>
      <c r="H242" s="9">
        <v>130</v>
      </c>
    </row>
    <row r="243" spans="1:8" ht="15.75" customHeight="1" x14ac:dyDescent="0.25">
      <c r="A243" s="9">
        <v>241</v>
      </c>
      <c r="B243" s="9">
        <v>242</v>
      </c>
      <c r="C243" s="9">
        <v>0.21210000000000001</v>
      </c>
      <c r="D243" s="9">
        <v>0.51</v>
      </c>
      <c r="E243" s="9">
        <v>0.16420000000000001</v>
      </c>
      <c r="F243" s="9">
        <v>3</v>
      </c>
      <c r="G243" s="9">
        <v>51</v>
      </c>
      <c r="H243" s="9">
        <v>54</v>
      </c>
    </row>
    <row r="244" spans="1:8" ht="15.75" customHeight="1" x14ac:dyDescent="0.25">
      <c r="A244" s="9">
        <v>242</v>
      </c>
      <c r="B244" s="9">
        <v>243</v>
      </c>
      <c r="C244" s="9">
        <v>0.21210000000000001</v>
      </c>
      <c r="D244" s="9">
        <v>0.47</v>
      </c>
      <c r="E244" s="9">
        <v>0.1343</v>
      </c>
      <c r="F244" s="9">
        <v>4</v>
      </c>
      <c r="G244" s="9">
        <v>31</v>
      </c>
      <c r="H244" s="9">
        <v>35</v>
      </c>
    </row>
    <row r="245" spans="1:8" ht="15.75" customHeight="1" x14ac:dyDescent="0.25">
      <c r="A245" s="9">
        <v>243</v>
      </c>
      <c r="B245" s="9">
        <v>244</v>
      </c>
      <c r="C245" s="9">
        <v>0.2273</v>
      </c>
      <c r="D245" s="9">
        <v>0.51</v>
      </c>
      <c r="E245" s="9">
        <v>0.1045</v>
      </c>
      <c r="F245" s="9">
        <v>2</v>
      </c>
      <c r="G245" s="9">
        <v>55</v>
      </c>
      <c r="H245" s="9">
        <v>57</v>
      </c>
    </row>
    <row r="246" spans="1:8" ht="15.75" customHeight="1" x14ac:dyDescent="0.25">
      <c r="A246" s="9">
        <v>244</v>
      </c>
      <c r="B246" s="9">
        <v>245</v>
      </c>
      <c r="C246" s="9">
        <v>0.2273</v>
      </c>
      <c r="D246" s="9">
        <v>0.59</v>
      </c>
      <c r="E246" s="9">
        <v>8.9599999999999999E-2</v>
      </c>
      <c r="F246" s="9">
        <v>6</v>
      </c>
      <c r="G246" s="9">
        <v>46</v>
      </c>
      <c r="H246" s="9">
        <v>52</v>
      </c>
    </row>
    <row r="247" spans="1:8" ht="15.75" customHeight="1" x14ac:dyDescent="0.25">
      <c r="A247" s="9">
        <v>245</v>
      </c>
      <c r="B247" s="9">
        <v>246</v>
      </c>
      <c r="C247" s="9">
        <v>0.2273</v>
      </c>
      <c r="D247" s="9">
        <v>0.59</v>
      </c>
      <c r="E247" s="9">
        <v>8.9599999999999999E-2</v>
      </c>
      <c r="F247" s="9">
        <v>3</v>
      </c>
      <c r="G247" s="9">
        <v>60</v>
      </c>
      <c r="H247" s="9">
        <v>63</v>
      </c>
    </row>
    <row r="248" spans="1:8" ht="15.75" customHeight="1" x14ac:dyDescent="0.25">
      <c r="A248" s="9">
        <v>246</v>
      </c>
      <c r="B248" s="9">
        <v>247</v>
      </c>
      <c r="C248" s="9">
        <v>0.19700000000000001</v>
      </c>
      <c r="D248" s="9">
        <v>0.8</v>
      </c>
      <c r="E248" s="9">
        <v>8.9599999999999999E-2</v>
      </c>
      <c r="F248" s="9">
        <v>2</v>
      </c>
      <c r="G248" s="9">
        <v>45</v>
      </c>
      <c r="H248" s="9">
        <v>47</v>
      </c>
    </row>
    <row r="249" spans="1:8" ht="15.75" customHeight="1" x14ac:dyDescent="0.25">
      <c r="A249" s="9">
        <v>247</v>
      </c>
      <c r="B249" s="9">
        <v>248</v>
      </c>
      <c r="C249" s="9">
        <v>0.1515</v>
      </c>
      <c r="D249" s="9">
        <v>0.86</v>
      </c>
      <c r="E249" s="9">
        <v>0.22389999999999999</v>
      </c>
      <c r="F249" s="9">
        <v>4</v>
      </c>
      <c r="G249" s="9">
        <v>72</v>
      </c>
      <c r="H249" s="9">
        <v>76</v>
      </c>
    </row>
    <row r="250" spans="1:8" ht="15.75" customHeight="1" x14ac:dyDescent="0.25">
      <c r="A250" s="9">
        <v>248</v>
      </c>
      <c r="B250" s="9">
        <v>249</v>
      </c>
      <c r="C250" s="9">
        <v>0.1515</v>
      </c>
      <c r="D250" s="9">
        <v>0.86</v>
      </c>
      <c r="E250" s="9">
        <v>0.22389999999999999</v>
      </c>
      <c r="F250" s="9">
        <v>6</v>
      </c>
      <c r="G250" s="9">
        <v>130</v>
      </c>
      <c r="H250" s="9">
        <v>136</v>
      </c>
    </row>
    <row r="251" spans="1:8" ht="15.75" customHeight="1" x14ac:dyDescent="0.25">
      <c r="A251" s="9">
        <v>249</v>
      </c>
      <c r="B251" s="9">
        <v>250</v>
      </c>
      <c r="C251" s="9">
        <v>0.18179999999999999</v>
      </c>
      <c r="D251" s="9">
        <v>0.93</v>
      </c>
      <c r="E251" s="9">
        <v>0.1045</v>
      </c>
      <c r="F251" s="9">
        <v>1</v>
      </c>
      <c r="G251" s="9">
        <v>94</v>
      </c>
      <c r="H251" s="9">
        <v>95</v>
      </c>
    </row>
    <row r="252" spans="1:8" ht="15.75" customHeight="1" x14ac:dyDescent="0.25">
      <c r="A252" s="9">
        <v>250</v>
      </c>
      <c r="B252" s="9">
        <v>251</v>
      </c>
      <c r="C252" s="9">
        <v>0.2273</v>
      </c>
      <c r="D252" s="9">
        <v>0.93</v>
      </c>
      <c r="E252" s="9">
        <v>0</v>
      </c>
      <c r="F252" s="9">
        <v>0</v>
      </c>
      <c r="G252" s="9">
        <v>51</v>
      </c>
      <c r="H252" s="9">
        <v>51</v>
      </c>
    </row>
    <row r="253" spans="1:8" ht="15.75" customHeight="1" x14ac:dyDescent="0.25">
      <c r="A253" s="9">
        <v>251</v>
      </c>
      <c r="B253" s="9">
        <v>252</v>
      </c>
      <c r="C253" s="9">
        <v>0.1515</v>
      </c>
      <c r="D253" s="9">
        <v>0.93</v>
      </c>
      <c r="E253" s="9">
        <v>0.19400000000000001</v>
      </c>
      <c r="F253" s="9">
        <v>0</v>
      </c>
      <c r="G253" s="9">
        <v>32</v>
      </c>
      <c r="H253" s="9">
        <v>32</v>
      </c>
    </row>
    <row r="254" spans="1:8" ht="15.75" customHeight="1" x14ac:dyDescent="0.25">
      <c r="A254" s="9">
        <v>252</v>
      </c>
      <c r="B254" s="9">
        <v>253</v>
      </c>
      <c r="C254" s="9">
        <v>0.19700000000000001</v>
      </c>
      <c r="D254" s="9">
        <v>0.86</v>
      </c>
      <c r="E254" s="9">
        <v>8.9599999999999999E-2</v>
      </c>
      <c r="F254" s="9">
        <v>0</v>
      </c>
      <c r="G254" s="9">
        <v>20</v>
      </c>
      <c r="H254" s="9">
        <v>20</v>
      </c>
    </row>
    <row r="255" spans="1:8" ht="15.75" customHeight="1" x14ac:dyDescent="0.25">
      <c r="A255" s="9">
        <v>253</v>
      </c>
      <c r="B255" s="9">
        <v>254</v>
      </c>
      <c r="C255" s="9">
        <v>0.18179999999999999</v>
      </c>
      <c r="D255" s="9">
        <v>0.93</v>
      </c>
      <c r="E255" s="9">
        <v>0.1045</v>
      </c>
      <c r="F255" s="9">
        <v>1</v>
      </c>
      <c r="G255" s="9">
        <v>28</v>
      </c>
      <c r="H255" s="9">
        <v>29</v>
      </c>
    </row>
    <row r="256" spans="1:8" ht="15.75" customHeight="1" x14ac:dyDescent="0.25">
      <c r="A256" s="9">
        <v>254</v>
      </c>
      <c r="B256" s="9">
        <v>255</v>
      </c>
      <c r="C256" s="9">
        <v>0.19700000000000001</v>
      </c>
      <c r="D256" s="9">
        <v>0.93</v>
      </c>
      <c r="E256" s="9">
        <v>8.9599999999999999E-2</v>
      </c>
      <c r="F256" s="9">
        <v>1</v>
      </c>
      <c r="G256" s="9">
        <v>18</v>
      </c>
      <c r="H256" s="9">
        <v>19</v>
      </c>
    </row>
    <row r="257" spans="1:8" ht="15.75" customHeight="1" x14ac:dyDescent="0.25">
      <c r="A257" s="9">
        <v>255</v>
      </c>
      <c r="B257" s="9">
        <v>256</v>
      </c>
      <c r="C257" s="9">
        <v>0.19700000000000001</v>
      </c>
      <c r="D257" s="9">
        <v>0.86</v>
      </c>
      <c r="E257" s="9">
        <v>8.9599999999999999E-2</v>
      </c>
      <c r="F257" s="9">
        <v>0</v>
      </c>
      <c r="G257" s="9">
        <v>7</v>
      </c>
      <c r="H257" s="9">
        <v>7</v>
      </c>
    </row>
    <row r="258" spans="1:8" ht="15.75" customHeight="1" x14ac:dyDescent="0.25">
      <c r="A258" s="9">
        <v>256</v>
      </c>
      <c r="B258" s="9">
        <v>257</v>
      </c>
      <c r="C258" s="9">
        <v>0.18179999999999999</v>
      </c>
      <c r="D258" s="9">
        <v>0.86</v>
      </c>
      <c r="E258" s="9">
        <v>0.1045</v>
      </c>
      <c r="F258" s="9">
        <v>0</v>
      </c>
      <c r="G258" s="9">
        <v>6</v>
      </c>
      <c r="H258" s="9">
        <v>6</v>
      </c>
    </row>
    <row r="259" spans="1:8" ht="15.75" customHeight="1" x14ac:dyDescent="0.25">
      <c r="A259" s="9">
        <v>257</v>
      </c>
      <c r="B259" s="9">
        <v>258</v>
      </c>
      <c r="C259" s="9">
        <v>0.1515</v>
      </c>
      <c r="D259" s="9">
        <v>0.86</v>
      </c>
      <c r="E259" s="9">
        <v>0.1343</v>
      </c>
      <c r="F259" s="9">
        <v>0</v>
      </c>
      <c r="G259" s="9">
        <v>1</v>
      </c>
      <c r="H259" s="9">
        <v>1</v>
      </c>
    </row>
    <row r="260" spans="1:8" ht="15.75" customHeight="1" x14ac:dyDescent="0.25">
      <c r="A260" s="9">
        <v>258</v>
      </c>
      <c r="B260" s="9">
        <v>259</v>
      </c>
      <c r="C260" s="9">
        <v>0.1515</v>
      </c>
      <c r="D260" s="9">
        <v>0.86</v>
      </c>
      <c r="E260" s="9">
        <v>0.16420000000000001</v>
      </c>
      <c r="F260" s="9">
        <v>0</v>
      </c>
      <c r="G260" s="9">
        <v>5</v>
      </c>
      <c r="H260" s="9">
        <v>5</v>
      </c>
    </row>
    <row r="261" spans="1:8" ht="15.75" customHeight="1" x14ac:dyDescent="0.25">
      <c r="A261" s="9">
        <v>259</v>
      </c>
      <c r="B261" s="9">
        <v>260</v>
      </c>
      <c r="C261" s="9">
        <v>0.1515</v>
      </c>
      <c r="D261" s="9">
        <v>0.93</v>
      </c>
      <c r="E261" s="9">
        <v>0.1343</v>
      </c>
      <c r="F261" s="9">
        <v>0</v>
      </c>
      <c r="G261" s="9">
        <v>16</v>
      </c>
      <c r="H261" s="9">
        <v>16</v>
      </c>
    </row>
    <row r="262" spans="1:8" ht="15.75" customHeight="1" x14ac:dyDescent="0.25">
      <c r="A262" s="9">
        <v>260</v>
      </c>
      <c r="B262" s="9">
        <v>261</v>
      </c>
      <c r="C262" s="9">
        <v>0.1515</v>
      </c>
      <c r="D262" s="9">
        <v>0.69</v>
      </c>
      <c r="E262" s="9">
        <v>0.1343</v>
      </c>
      <c r="F262" s="9">
        <v>0</v>
      </c>
      <c r="G262" s="9">
        <v>54</v>
      </c>
      <c r="H262" s="9">
        <v>54</v>
      </c>
    </row>
    <row r="263" spans="1:8" ht="15.75" customHeight="1" x14ac:dyDescent="0.25">
      <c r="A263" s="9">
        <v>261</v>
      </c>
      <c r="B263" s="9">
        <v>262</v>
      </c>
      <c r="C263" s="9">
        <v>0.16669999999999999</v>
      </c>
      <c r="D263" s="9">
        <v>0.59</v>
      </c>
      <c r="E263" s="9">
        <v>0.16420000000000001</v>
      </c>
      <c r="F263" s="9">
        <v>3</v>
      </c>
      <c r="G263" s="9">
        <v>125</v>
      </c>
      <c r="H263" s="9">
        <v>128</v>
      </c>
    </row>
    <row r="264" spans="1:8" ht="15.75" customHeight="1" x14ac:dyDescent="0.25">
      <c r="A264" s="9">
        <v>262</v>
      </c>
      <c r="B264" s="9">
        <v>263</v>
      </c>
      <c r="C264" s="9">
        <v>0.13639999999999999</v>
      </c>
      <c r="D264" s="9">
        <v>0.59</v>
      </c>
      <c r="E264" s="9">
        <v>0.32840000000000003</v>
      </c>
      <c r="F264" s="9">
        <v>3</v>
      </c>
      <c r="G264" s="9">
        <v>78</v>
      </c>
      <c r="H264" s="9">
        <v>81</v>
      </c>
    </row>
    <row r="265" spans="1:8" ht="15.75" customHeight="1" x14ac:dyDescent="0.25">
      <c r="A265" s="9">
        <v>263</v>
      </c>
      <c r="B265" s="9">
        <v>264</v>
      </c>
      <c r="C265" s="9">
        <v>0.18179999999999999</v>
      </c>
      <c r="D265" s="9">
        <v>0.55000000000000004</v>
      </c>
      <c r="E265" s="9">
        <v>0.22389999999999999</v>
      </c>
      <c r="F265" s="9">
        <v>0</v>
      </c>
      <c r="G265" s="9">
        <v>39</v>
      </c>
      <c r="H265" s="9">
        <v>39</v>
      </c>
    </row>
    <row r="266" spans="1:8" ht="15.75" customHeight="1" x14ac:dyDescent="0.25">
      <c r="A266" s="9">
        <v>264</v>
      </c>
      <c r="B266" s="9">
        <v>265</v>
      </c>
      <c r="C266" s="9">
        <v>0.18179999999999999</v>
      </c>
      <c r="D266" s="9">
        <v>0.51</v>
      </c>
      <c r="E266" s="9">
        <v>0.3881</v>
      </c>
      <c r="F266" s="9">
        <v>3</v>
      </c>
      <c r="G266" s="9">
        <v>32</v>
      </c>
      <c r="H266" s="9">
        <v>35</v>
      </c>
    </row>
    <row r="267" spans="1:8" ht="15.75" customHeight="1" x14ac:dyDescent="0.25">
      <c r="A267" s="9">
        <v>265</v>
      </c>
      <c r="B267" s="9">
        <v>266</v>
      </c>
      <c r="C267" s="9">
        <v>0.1515</v>
      </c>
      <c r="D267" s="9">
        <v>0.47</v>
      </c>
      <c r="E267" s="9">
        <v>0.58209999999999995</v>
      </c>
      <c r="F267" s="9">
        <v>3</v>
      </c>
      <c r="G267" s="9">
        <v>52</v>
      </c>
      <c r="H267" s="9">
        <v>55</v>
      </c>
    </row>
    <row r="268" spans="1:8" ht="15.75" customHeight="1" x14ac:dyDescent="0.25">
      <c r="A268" s="9">
        <v>266</v>
      </c>
      <c r="B268" s="9">
        <v>267</v>
      </c>
      <c r="C268" s="9">
        <v>0.19700000000000001</v>
      </c>
      <c r="D268" s="9">
        <v>0.44</v>
      </c>
      <c r="E268" s="9">
        <v>0.35820000000000002</v>
      </c>
      <c r="F268" s="9">
        <v>0</v>
      </c>
      <c r="G268" s="9">
        <v>49</v>
      </c>
      <c r="H268" s="9">
        <v>49</v>
      </c>
    </row>
    <row r="269" spans="1:8" ht="15.75" customHeight="1" x14ac:dyDescent="0.25">
      <c r="A269" s="9">
        <v>267</v>
      </c>
      <c r="B269" s="9">
        <v>268</v>
      </c>
      <c r="C269" s="9">
        <v>0.18179999999999999</v>
      </c>
      <c r="D269" s="9">
        <v>0.47</v>
      </c>
      <c r="E269" s="9">
        <v>0.32840000000000003</v>
      </c>
      <c r="F269" s="9">
        <v>0</v>
      </c>
      <c r="G269" s="9">
        <v>44</v>
      </c>
      <c r="H269" s="9">
        <v>44</v>
      </c>
    </row>
    <row r="270" spans="1:8" ht="15.75" customHeight="1" x14ac:dyDescent="0.25">
      <c r="A270" s="9">
        <v>268</v>
      </c>
      <c r="B270" s="9">
        <v>269</v>
      </c>
      <c r="C270" s="9">
        <v>0.16669999999999999</v>
      </c>
      <c r="D270" s="9">
        <v>0.47</v>
      </c>
      <c r="E270" s="9">
        <v>0.41789999999999999</v>
      </c>
      <c r="F270" s="9">
        <v>1</v>
      </c>
      <c r="G270" s="9">
        <v>48</v>
      </c>
      <c r="H270" s="9">
        <v>49</v>
      </c>
    </row>
    <row r="271" spans="1:8" ht="15.75" customHeight="1" x14ac:dyDescent="0.25">
      <c r="A271" s="9">
        <v>269</v>
      </c>
      <c r="B271" s="9">
        <v>270</v>
      </c>
      <c r="C271" s="9">
        <v>0.19700000000000001</v>
      </c>
      <c r="D271" s="9">
        <v>0.44</v>
      </c>
      <c r="E271" s="9">
        <v>0.32840000000000003</v>
      </c>
      <c r="F271" s="9">
        <v>5</v>
      </c>
      <c r="G271" s="9">
        <v>63</v>
      </c>
      <c r="H271" s="9">
        <v>68</v>
      </c>
    </row>
    <row r="272" spans="1:8" ht="15.75" customHeight="1" x14ac:dyDescent="0.25">
      <c r="A272" s="9">
        <v>270</v>
      </c>
      <c r="B272" s="9">
        <v>271</v>
      </c>
      <c r="C272" s="9">
        <v>0.18179999999999999</v>
      </c>
      <c r="D272" s="9">
        <v>0.47</v>
      </c>
      <c r="E272" s="9">
        <v>0.35820000000000002</v>
      </c>
      <c r="F272" s="9">
        <v>0</v>
      </c>
      <c r="G272" s="9">
        <v>139</v>
      </c>
      <c r="H272" s="9">
        <v>139</v>
      </c>
    </row>
    <row r="273" spans="1:8" ht="15.75" customHeight="1" x14ac:dyDescent="0.25">
      <c r="A273" s="9">
        <v>271</v>
      </c>
      <c r="B273" s="9">
        <v>272</v>
      </c>
      <c r="C273" s="9">
        <v>0.1515</v>
      </c>
      <c r="D273" s="9">
        <v>0.47</v>
      </c>
      <c r="E273" s="9">
        <v>0.52239999999999998</v>
      </c>
      <c r="F273" s="9">
        <v>2</v>
      </c>
      <c r="G273" s="9">
        <v>135</v>
      </c>
      <c r="H273" s="9">
        <v>137</v>
      </c>
    </row>
    <row r="274" spans="1:8" ht="15.75" customHeight="1" x14ac:dyDescent="0.25">
      <c r="A274" s="9">
        <v>272</v>
      </c>
      <c r="B274" s="9">
        <v>273</v>
      </c>
      <c r="C274" s="9">
        <v>0.1515</v>
      </c>
      <c r="D274" s="9">
        <v>0.47</v>
      </c>
      <c r="E274" s="9">
        <v>0.41789999999999999</v>
      </c>
      <c r="F274" s="9">
        <v>1</v>
      </c>
      <c r="G274" s="9">
        <v>82</v>
      </c>
      <c r="H274" s="9">
        <v>83</v>
      </c>
    </row>
    <row r="275" spans="1:8" ht="15.75" customHeight="1" x14ac:dyDescent="0.25">
      <c r="A275" s="9">
        <v>273</v>
      </c>
      <c r="B275" s="9">
        <v>274</v>
      </c>
      <c r="C275" s="9">
        <v>0.13639999999999999</v>
      </c>
      <c r="D275" s="9">
        <v>0.5</v>
      </c>
      <c r="E275" s="9">
        <v>0.32840000000000003</v>
      </c>
      <c r="F275" s="9">
        <v>2</v>
      </c>
      <c r="G275" s="9">
        <v>54</v>
      </c>
      <c r="H275" s="9">
        <v>56</v>
      </c>
    </row>
    <row r="276" spans="1:8" ht="15.75" customHeight="1" x14ac:dyDescent="0.25">
      <c r="A276" s="9">
        <v>274</v>
      </c>
      <c r="B276" s="9">
        <v>275</v>
      </c>
      <c r="C276" s="9">
        <v>0.13639999999999999</v>
      </c>
      <c r="D276" s="9">
        <v>0.55000000000000004</v>
      </c>
      <c r="E276" s="9">
        <v>0.32840000000000003</v>
      </c>
      <c r="F276" s="9">
        <v>0</v>
      </c>
      <c r="G276" s="9">
        <v>57</v>
      </c>
      <c r="H276" s="9">
        <v>57</v>
      </c>
    </row>
    <row r="277" spans="1:8" ht="15.75" customHeight="1" x14ac:dyDescent="0.25">
      <c r="A277" s="9">
        <v>275</v>
      </c>
      <c r="B277" s="9">
        <v>276</v>
      </c>
      <c r="C277" s="9">
        <v>0.1212</v>
      </c>
      <c r="D277" s="9">
        <v>0.55000000000000004</v>
      </c>
      <c r="E277" s="9">
        <v>0.44779999999999998</v>
      </c>
      <c r="F277" s="9">
        <v>1</v>
      </c>
      <c r="G277" s="9">
        <v>32</v>
      </c>
      <c r="H277" s="9">
        <v>33</v>
      </c>
    </row>
    <row r="278" spans="1:8" ht="15.75" customHeight="1" x14ac:dyDescent="0.25">
      <c r="A278" s="9">
        <v>276</v>
      </c>
      <c r="B278" s="9">
        <v>277</v>
      </c>
      <c r="C278" s="9">
        <v>0.1061</v>
      </c>
      <c r="D278" s="9">
        <v>0.59</v>
      </c>
      <c r="E278" s="9">
        <v>0.41789999999999999</v>
      </c>
      <c r="F278" s="9">
        <v>1</v>
      </c>
      <c r="G278" s="9">
        <v>19</v>
      </c>
      <c r="H278" s="9">
        <v>20</v>
      </c>
    </row>
    <row r="279" spans="1:8" ht="15.75" customHeight="1" x14ac:dyDescent="0.25">
      <c r="A279" s="9">
        <v>277</v>
      </c>
      <c r="B279" s="9">
        <v>278</v>
      </c>
      <c r="C279" s="9">
        <v>0.1212</v>
      </c>
      <c r="D279" s="9">
        <v>0.59</v>
      </c>
      <c r="E279" s="9">
        <v>0.28360000000000002</v>
      </c>
      <c r="F279" s="9">
        <v>1</v>
      </c>
      <c r="G279" s="9">
        <v>6</v>
      </c>
      <c r="H279" s="9">
        <v>7</v>
      </c>
    </row>
    <row r="280" spans="1:8" ht="15.75" customHeight="1" x14ac:dyDescent="0.25">
      <c r="A280" s="9">
        <v>278</v>
      </c>
      <c r="B280" s="9">
        <v>279</v>
      </c>
      <c r="C280" s="9">
        <v>0.1212</v>
      </c>
      <c r="D280" s="9">
        <v>0.5</v>
      </c>
      <c r="E280" s="9">
        <v>0.28360000000000002</v>
      </c>
      <c r="F280" s="9">
        <v>0</v>
      </c>
      <c r="G280" s="9">
        <v>2</v>
      </c>
      <c r="H280" s="9">
        <v>2</v>
      </c>
    </row>
    <row r="281" spans="1:8" ht="15.75" customHeight="1" x14ac:dyDescent="0.25">
      <c r="A281" s="9">
        <v>279</v>
      </c>
      <c r="B281" s="9">
        <v>280</v>
      </c>
      <c r="C281" s="9">
        <v>0.1212</v>
      </c>
      <c r="D281" s="9">
        <v>0.5</v>
      </c>
      <c r="E281" s="9">
        <v>0.35820000000000002</v>
      </c>
      <c r="F281" s="9">
        <v>0</v>
      </c>
      <c r="G281" s="9">
        <v>2</v>
      </c>
      <c r="H281" s="9">
        <v>2</v>
      </c>
    </row>
    <row r="282" spans="1:8" ht="15.75" customHeight="1" x14ac:dyDescent="0.25">
      <c r="A282" s="9">
        <v>280</v>
      </c>
      <c r="B282" s="9">
        <v>281</v>
      </c>
      <c r="C282" s="9">
        <v>0.1212</v>
      </c>
      <c r="D282" s="9">
        <v>0.5</v>
      </c>
      <c r="E282" s="9">
        <v>0.32840000000000003</v>
      </c>
      <c r="F282" s="9">
        <v>0</v>
      </c>
      <c r="G282" s="9">
        <v>3</v>
      </c>
      <c r="H282" s="9">
        <v>3</v>
      </c>
    </row>
    <row r="283" spans="1:8" ht="15.75" customHeight="1" x14ac:dyDescent="0.25">
      <c r="A283" s="9">
        <v>281</v>
      </c>
      <c r="B283" s="9">
        <v>282</v>
      </c>
      <c r="C283" s="9">
        <v>0.1212</v>
      </c>
      <c r="D283" s="9">
        <v>0.5</v>
      </c>
      <c r="E283" s="9">
        <v>0.25369999999999998</v>
      </c>
      <c r="F283" s="9">
        <v>0</v>
      </c>
      <c r="G283" s="9">
        <v>4</v>
      </c>
      <c r="H283" s="9">
        <v>4</v>
      </c>
    </row>
    <row r="284" spans="1:8" ht="15.75" customHeight="1" x14ac:dyDescent="0.25">
      <c r="A284" s="9">
        <v>282</v>
      </c>
      <c r="B284" s="9">
        <v>283</v>
      </c>
      <c r="C284" s="9">
        <v>0.1212</v>
      </c>
      <c r="D284" s="9">
        <v>0.5</v>
      </c>
      <c r="E284" s="9">
        <v>0.29849999999999999</v>
      </c>
      <c r="F284" s="9">
        <v>0</v>
      </c>
      <c r="G284" s="9">
        <v>3</v>
      </c>
      <c r="H284" s="9">
        <v>3</v>
      </c>
    </row>
    <row r="285" spans="1:8" ht="15.75" customHeight="1" x14ac:dyDescent="0.25">
      <c r="A285" s="9">
        <v>283</v>
      </c>
      <c r="B285" s="9">
        <v>284</v>
      </c>
      <c r="C285" s="9">
        <v>0.1515</v>
      </c>
      <c r="D285" s="9">
        <v>0.54</v>
      </c>
      <c r="E285" s="9">
        <v>0.1343</v>
      </c>
      <c r="F285" s="9">
        <v>0</v>
      </c>
      <c r="G285" s="9">
        <v>28</v>
      </c>
      <c r="H285" s="9">
        <v>28</v>
      </c>
    </row>
    <row r="286" spans="1:8" ht="15.75" customHeight="1" x14ac:dyDescent="0.25">
      <c r="A286" s="9">
        <v>284</v>
      </c>
      <c r="B286" s="9">
        <v>285</v>
      </c>
      <c r="C286" s="9">
        <v>0.1515</v>
      </c>
      <c r="D286" s="9">
        <v>0.54</v>
      </c>
      <c r="E286" s="9">
        <v>0.1343</v>
      </c>
      <c r="F286" s="9">
        <v>0</v>
      </c>
      <c r="G286" s="9">
        <v>72</v>
      </c>
      <c r="H286" s="9">
        <v>72</v>
      </c>
    </row>
    <row r="287" spans="1:8" ht="15.75" customHeight="1" x14ac:dyDescent="0.25">
      <c r="A287" s="9">
        <v>285</v>
      </c>
      <c r="B287" s="9">
        <v>286</v>
      </c>
      <c r="C287" s="9">
        <v>0.13639999999999999</v>
      </c>
      <c r="D287" s="9">
        <v>0.5</v>
      </c>
      <c r="E287" s="9">
        <v>0.19400000000000001</v>
      </c>
      <c r="F287" s="9">
        <v>5</v>
      </c>
      <c r="G287" s="9">
        <v>197</v>
      </c>
      <c r="H287" s="9">
        <v>202</v>
      </c>
    </row>
    <row r="288" spans="1:8" ht="15.75" customHeight="1" x14ac:dyDescent="0.25">
      <c r="A288" s="9">
        <v>286</v>
      </c>
      <c r="B288" s="9">
        <v>287</v>
      </c>
      <c r="C288" s="9">
        <v>0.1212</v>
      </c>
      <c r="D288" s="9">
        <v>0.5</v>
      </c>
      <c r="E288" s="9">
        <v>0.32840000000000003</v>
      </c>
      <c r="F288" s="9">
        <v>2</v>
      </c>
      <c r="G288" s="9">
        <v>137</v>
      </c>
      <c r="H288" s="9">
        <v>139</v>
      </c>
    </row>
    <row r="289" spans="1:8" ht="15.75" customHeight="1" x14ac:dyDescent="0.25">
      <c r="A289" s="9">
        <v>287</v>
      </c>
      <c r="B289" s="9">
        <v>288</v>
      </c>
      <c r="C289" s="9">
        <v>0.13639999999999999</v>
      </c>
      <c r="D289" s="9">
        <v>0.5</v>
      </c>
      <c r="E289" s="9">
        <v>0.35820000000000002</v>
      </c>
      <c r="F289" s="9">
        <v>2</v>
      </c>
      <c r="G289" s="9">
        <v>36</v>
      </c>
      <c r="H289" s="9">
        <v>38</v>
      </c>
    </row>
    <row r="290" spans="1:8" ht="15.75" customHeight="1" x14ac:dyDescent="0.25">
      <c r="A290" s="9">
        <v>288</v>
      </c>
      <c r="B290" s="9">
        <v>289</v>
      </c>
      <c r="C290" s="9">
        <v>0.16669999999999999</v>
      </c>
      <c r="D290" s="9">
        <v>0.44</v>
      </c>
      <c r="E290" s="9">
        <v>0.44779999999999998</v>
      </c>
      <c r="F290" s="9">
        <v>4</v>
      </c>
      <c r="G290" s="9">
        <v>33</v>
      </c>
      <c r="H290" s="9">
        <v>37</v>
      </c>
    </row>
    <row r="291" spans="1:8" ht="15.75" customHeight="1" x14ac:dyDescent="0.25">
      <c r="A291" s="9">
        <v>289</v>
      </c>
      <c r="B291" s="9">
        <v>290</v>
      </c>
      <c r="C291" s="9">
        <v>0.16669999999999999</v>
      </c>
      <c r="D291" s="9">
        <v>0.44</v>
      </c>
      <c r="E291" s="9">
        <v>0.41789999999999999</v>
      </c>
      <c r="F291" s="9">
        <v>3</v>
      </c>
      <c r="G291" s="9">
        <v>49</v>
      </c>
      <c r="H291" s="9">
        <v>52</v>
      </c>
    </row>
    <row r="292" spans="1:8" ht="15.75" customHeight="1" x14ac:dyDescent="0.25">
      <c r="A292" s="9">
        <v>290</v>
      </c>
      <c r="B292" s="9">
        <v>291</v>
      </c>
      <c r="C292" s="9">
        <v>0.19700000000000001</v>
      </c>
      <c r="D292" s="9">
        <v>0.41</v>
      </c>
      <c r="E292" s="9">
        <v>0.44779999999999998</v>
      </c>
      <c r="F292" s="9">
        <v>2</v>
      </c>
      <c r="G292" s="9">
        <v>81</v>
      </c>
      <c r="H292" s="9">
        <v>83</v>
      </c>
    </row>
    <row r="293" spans="1:8" ht="15.75" customHeight="1" x14ac:dyDescent="0.25">
      <c r="A293" s="9">
        <v>291</v>
      </c>
      <c r="B293" s="9">
        <v>292</v>
      </c>
      <c r="C293" s="9">
        <v>0.19700000000000001</v>
      </c>
      <c r="D293" s="9">
        <v>0.41</v>
      </c>
      <c r="E293" s="9">
        <v>0.3881</v>
      </c>
      <c r="F293" s="9">
        <v>3</v>
      </c>
      <c r="G293" s="9">
        <v>39</v>
      </c>
      <c r="H293" s="9">
        <v>42</v>
      </c>
    </row>
    <row r="294" spans="1:8" ht="15.75" customHeight="1" x14ac:dyDescent="0.25">
      <c r="A294" s="9">
        <v>292</v>
      </c>
      <c r="B294" s="9">
        <v>293</v>
      </c>
      <c r="C294" s="9">
        <v>0.21210000000000001</v>
      </c>
      <c r="D294" s="9">
        <v>0.38</v>
      </c>
      <c r="E294" s="9">
        <v>0.29849999999999999</v>
      </c>
      <c r="F294" s="9">
        <v>5</v>
      </c>
      <c r="G294" s="9">
        <v>55</v>
      </c>
      <c r="H294" s="9">
        <v>60</v>
      </c>
    </row>
    <row r="295" spans="1:8" ht="15.75" customHeight="1" x14ac:dyDescent="0.25">
      <c r="A295" s="9">
        <v>293</v>
      </c>
      <c r="B295" s="9">
        <v>294</v>
      </c>
      <c r="C295" s="9">
        <v>0.21210000000000001</v>
      </c>
      <c r="D295" s="9">
        <v>0.38</v>
      </c>
      <c r="E295" s="9">
        <v>0.35820000000000002</v>
      </c>
      <c r="F295" s="9">
        <v>2</v>
      </c>
      <c r="G295" s="9">
        <v>76</v>
      </c>
      <c r="H295" s="9">
        <v>78</v>
      </c>
    </row>
    <row r="296" spans="1:8" ht="15.75" customHeight="1" x14ac:dyDescent="0.25">
      <c r="A296" s="9">
        <v>294</v>
      </c>
      <c r="B296" s="9">
        <v>295</v>
      </c>
      <c r="C296" s="9">
        <v>0.18179999999999999</v>
      </c>
      <c r="D296" s="9">
        <v>0.4</v>
      </c>
      <c r="E296" s="9">
        <v>0.28360000000000002</v>
      </c>
      <c r="F296" s="9">
        <v>4</v>
      </c>
      <c r="G296" s="9">
        <v>158</v>
      </c>
      <c r="H296" s="9">
        <v>162</v>
      </c>
    </row>
    <row r="297" spans="1:8" ht="15.75" customHeight="1" x14ac:dyDescent="0.25">
      <c r="A297" s="9">
        <v>295</v>
      </c>
      <c r="B297" s="9">
        <v>296</v>
      </c>
      <c r="C297" s="9">
        <v>0.18179999999999999</v>
      </c>
      <c r="D297" s="9">
        <v>0.4</v>
      </c>
      <c r="E297" s="9">
        <v>0.32840000000000003</v>
      </c>
      <c r="F297" s="9">
        <v>3</v>
      </c>
      <c r="G297" s="9">
        <v>141</v>
      </c>
      <c r="H297" s="9">
        <v>144</v>
      </c>
    </row>
    <row r="298" spans="1:8" ht="15.75" customHeight="1" x14ac:dyDescent="0.25">
      <c r="A298" s="9">
        <v>296</v>
      </c>
      <c r="B298" s="9">
        <v>297</v>
      </c>
      <c r="C298" s="9">
        <v>0.1515</v>
      </c>
      <c r="D298" s="9">
        <v>0.47</v>
      </c>
      <c r="E298" s="9">
        <v>0.25369999999999998</v>
      </c>
      <c r="F298" s="9">
        <v>1</v>
      </c>
      <c r="G298" s="9">
        <v>98</v>
      </c>
      <c r="H298" s="9">
        <v>99</v>
      </c>
    </row>
    <row r="299" spans="1:8" ht="15.75" customHeight="1" x14ac:dyDescent="0.25">
      <c r="A299" s="9">
        <v>297</v>
      </c>
      <c r="B299" s="9">
        <v>298</v>
      </c>
      <c r="C299" s="9">
        <v>0.1515</v>
      </c>
      <c r="D299" s="9">
        <v>0.47</v>
      </c>
      <c r="E299" s="9">
        <v>0.22389999999999999</v>
      </c>
      <c r="F299" s="9">
        <v>0</v>
      </c>
      <c r="G299" s="9">
        <v>64</v>
      </c>
      <c r="H299" s="9">
        <v>64</v>
      </c>
    </row>
    <row r="300" spans="1:8" ht="15.75" customHeight="1" x14ac:dyDescent="0.25">
      <c r="A300" s="9">
        <v>298</v>
      </c>
      <c r="B300" s="9">
        <v>299</v>
      </c>
      <c r="C300" s="9">
        <v>0.1212</v>
      </c>
      <c r="D300" s="9">
        <v>0.46</v>
      </c>
      <c r="E300" s="9">
        <v>0.29849999999999999</v>
      </c>
      <c r="F300" s="9">
        <v>0</v>
      </c>
      <c r="G300" s="9">
        <v>40</v>
      </c>
      <c r="H300" s="9">
        <v>40</v>
      </c>
    </row>
    <row r="301" spans="1:8" ht="15.75" customHeight="1" x14ac:dyDescent="0.25">
      <c r="A301" s="9">
        <v>299</v>
      </c>
      <c r="B301" s="9">
        <v>300</v>
      </c>
      <c r="C301" s="9">
        <v>0.1212</v>
      </c>
      <c r="D301" s="9">
        <v>0.46</v>
      </c>
      <c r="E301" s="9">
        <v>0.32840000000000003</v>
      </c>
      <c r="F301" s="9">
        <v>0</v>
      </c>
      <c r="G301" s="9">
        <v>30</v>
      </c>
      <c r="H301" s="9">
        <v>30</v>
      </c>
    </row>
    <row r="302" spans="1:8" ht="15.75" customHeight="1" x14ac:dyDescent="0.25">
      <c r="A302" s="9">
        <v>300</v>
      </c>
      <c r="B302" s="9">
        <v>301</v>
      </c>
      <c r="C302" s="9">
        <v>0.13639999999999999</v>
      </c>
      <c r="D302" s="9">
        <v>0.5</v>
      </c>
      <c r="E302" s="9">
        <v>0.19400000000000001</v>
      </c>
      <c r="F302" s="9">
        <v>1</v>
      </c>
      <c r="G302" s="9">
        <v>14</v>
      </c>
      <c r="H302" s="9">
        <v>15</v>
      </c>
    </row>
    <row r="303" spans="1:8" ht="15.75" customHeight="1" x14ac:dyDescent="0.25">
      <c r="A303" s="9">
        <v>301</v>
      </c>
      <c r="B303" s="9">
        <v>302</v>
      </c>
      <c r="C303" s="9">
        <v>0.13639999999999999</v>
      </c>
      <c r="D303" s="9">
        <v>0.5</v>
      </c>
      <c r="E303" s="9">
        <v>0.19400000000000001</v>
      </c>
      <c r="F303" s="9">
        <v>0</v>
      </c>
      <c r="G303" s="9">
        <v>14</v>
      </c>
      <c r="H303" s="9">
        <v>14</v>
      </c>
    </row>
    <row r="304" spans="1:8" ht="15.75" customHeight="1" x14ac:dyDescent="0.25">
      <c r="A304" s="9">
        <v>302</v>
      </c>
      <c r="B304" s="9">
        <v>303</v>
      </c>
      <c r="C304" s="9">
        <v>0.1212</v>
      </c>
      <c r="D304" s="9">
        <v>0.54</v>
      </c>
      <c r="E304" s="9">
        <v>0.16420000000000001</v>
      </c>
      <c r="F304" s="9">
        <v>0</v>
      </c>
      <c r="G304" s="9">
        <v>5</v>
      </c>
      <c r="H304" s="9">
        <v>5</v>
      </c>
    </row>
    <row r="305" spans="1:8" ht="15.75" customHeight="1" x14ac:dyDescent="0.25">
      <c r="A305" s="9">
        <v>303</v>
      </c>
      <c r="B305" s="9">
        <v>304</v>
      </c>
      <c r="C305" s="9">
        <v>0.1212</v>
      </c>
      <c r="D305" s="9">
        <v>0.54</v>
      </c>
      <c r="E305" s="9">
        <v>0.1343</v>
      </c>
      <c r="F305" s="9">
        <v>0</v>
      </c>
      <c r="G305" s="9">
        <v>1</v>
      </c>
      <c r="H305" s="9">
        <v>1</v>
      </c>
    </row>
    <row r="306" spans="1:8" ht="15.75" customHeight="1" x14ac:dyDescent="0.25">
      <c r="A306" s="9">
        <v>304</v>
      </c>
      <c r="B306" s="9">
        <v>305</v>
      </c>
      <c r="C306" s="9">
        <v>0.13639999999999999</v>
      </c>
      <c r="D306" s="9">
        <v>0.54</v>
      </c>
      <c r="E306" s="9">
        <v>0.1045</v>
      </c>
      <c r="F306" s="9">
        <v>0</v>
      </c>
      <c r="G306" s="9">
        <v>1</v>
      </c>
      <c r="H306" s="9">
        <v>1</v>
      </c>
    </row>
    <row r="307" spans="1:8" ht="15.75" customHeight="1" x14ac:dyDescent="0.25">
      <c r="A307" s="9">
        <v>305</v>
      </c>
      <c r="B307" s="9">
        <v>306</v>
      </c>
      <c r="C307" s="9">
        <v>0.13639999999999999</v>
      </c>
      <c r="D307" s="9">
        <v>0.54</v>
      </c>
      <c r="E307" s="9">
        <v>8.9599999999999999E-2</v>
      </c>
      <c r="F307" s="9">
        <v>0</v>
      </c>
      <c r="G307" s="9">
        <v>8</v>
      </c>
      <c r="H307" s="9">
        <v>8</v>
      </c>
    </row>
    <row r="308" spans="1:8" ht="15.75" customHeight="1" x14ac:dyDescent="0.25">
      <c r="A308" s="9">
        <v>306</v>
      </c>
      <c r="B308" s="9">
        <v>307</v>
      </c>
      <c r="C308" s="9">
        <v>0.18179999999999999</v>
      </c>
      <c r="D308" s="9">
        <v>0.54</v>
      </c>
      <c r="E308" s="9">
        <v>0</v>
      </c>
      <c r="F308" s="9">
        <v>0</v>
      </c>
      <c r="G308" s="9">
        <v>17</v>
      </c>
      <c r="H308" s="9">
        <v>17</v>
      </c>
    </row>
    <row r="309" spans="1:8" ht="15.75" customHeight="1" x14ac:dyDescent="0.25">
      <c r="A309" s="9">
        <v>307</v>
      </c>
      <c r="B309" s="9">
        <v>308</v>
      </c>
      <c r="C309" s="9">
        <v>0.1212</v>
      </c>
      <c r="D309" s="9">
        <v>0.74</v>
      </c>
      <c r="E309" s="9">
        <v>0.16420000000000001</v>
      </c>
      <c r="F309" s="9">
        <v>0</v>
      </c>
      <c r="G309" s="9">
        <v>70</v>
      </c>
      <c r="H309" s="9">
        <v>70</v>
      </c>
    </row>
    <row r="310" spans="1:8" ht="15.75" customHeight="1" x14ac:dyDescent="0.25">
      <c r="A310" s="9">
        <v>308</v>
      </c>
      <c r="B310" s="9">
        <v>309</v>
      </c>
      <c r="C310" s="9">
        <v>0.16669999999999999</v>
      </c>
      <c r="D310" s="9">
        <v>0.68</v>
      </c>
      <c r="E310" s="9">
        <v>0</v>
      </c>
      <c r="F310" s="9">
        <v>2</v>
      </c>
      <c r="G310" s="9">
        <v>156</v>
      </c>
      <c r="H310" s="9">
        <v>158</v>
      </c>
    </row>
    <row r="311" spans="1:8" ht="15.75" customHeight="1" x14ac:dyDescent="0.25">
      <c r="A311" s="9">
        <v>309</v>
      </c>
      <c r="B311" s="9">
        <v>310</v>
      </c>
      <c r="C311" s="9">
        <v>0.1515</v>
      </c>
      <c r="D311" s="9">
        <v>0.69</v>
      </c>
      <c r="E311" s="9">
        <v>0.1343</v>
      </c>
      <c r="F311" s="9">
        <v>0</v>
      </c>
      <c r="G311" s="9">
        <v>117</v>
      </c>
      <c r="H311" s="9">
        <v>117</v>
      </c>
    </row>
    <row r="312" spans="1:8" ht="15.75" customHeight="1" x14ac:dyDescent="0.25">
      <c r="A312" s="9">
        <v>310</v>
      </c>
      <c r="B312" s="9">
        <v>311</v>
      </c>
      <c r="C312" s="9">
        <v>0.18179999999999999</v>
      </c>
      <c r="D312" s="9">
        <v>0.55000000000000004</v>
      </c>
      <c r="E312" s="9">
        <v>0.19400000000000001</v>
      </c>
      <c r="F312" s="9">
        <v>4</v>
      </c>
      <c r="G312" s="9">
        <v>40</v>
      </c>
      <c r="H312" s="9">
        <v>44</v>
      </c>
    </row>
    <row r="313" spans="1:8" ht="15.75" customHeight="1" x14ac:dyDescent="0.25">
      <c r="A313" s="9">
        <v>311</v>
      </c>
      <c r="B313" s="9">
        <v>312</v>
      </c>
      <c r="C313" s="9">
        <v>0.16669999999999999</v>
      </c>
      <c r="D313" s="9">
        <v>0.51</v>
      </c>
      <c r="E313" s="9">
        <v>0.28360000000000002</v>
      </c>
      <c r="F313" s="9">
        <v>6</v>
      </c>
      <c r="G313" s="9">
        <v>47</v>
      </c>
      <c r="H313" s="9">
        <v>53</v>
      </c>
    </row>
    <row r="314" spans="1:8" ht="15.75" customHeight="1" x14ac:dyDescent="0.25">
      <c r="A314" s="9">
        <v>312</v>
      </c>
      <c r="B314" s="9">
        <v>313</v>
      </c>
      <c r="C314" s="9">
        <v>0.19700000000000001</v>
      </c>
      <c r="D314" s="9">
        <v>0.44</v>
      </c>
      <c r="E314" s="9">
        <v>0.25369999999999998</v>
      </c>
      <c r="F314" s="9">
        <v>2</v>
      </c>
      <c r="G314" s="9">
        <v>59</v>
      </c>
      <c r="H314" s="9">
        <v>61</v>
      </c>
    </row>
    <row r="315" spans="1:8" ht="15.75" customHeight="1" x14ac:dyDescent="0.25">
      <c r="A315" s="9">
        <v>313</v>
      </c>
      <c r="B315" s="9">
        <v>314</v>
      </c>
      <c r="C315" s="9">
        <v>0.19700000000000001</v>
      </c>
      <c r="D315" s="9">
        <v>0.37</v>
      </c>
      <c r="E315" s="9">
        <v>0.3881</v>
      </c>
      <c r="F315" s="9">
        <v>4</v>
      </c>
      <c r="G315" s="9">
        <v>73</v>
      </c>
      <c r="H315" s="9">
        <v>77</v>
      </c>
    </row>
    <row r="316" spans="1:8" ht="15.75" customHeight="1" x14ac:dyDescent="0.25">
      <c r="A316" s="9">
        <v>314</v>
      </c>
      <c r="B316" s="9">
        <v>315</v>
      </c>
      <c r="C316" s="9">
        <v>0.21210000000000001</v>
      </c>
      <c r="D316" s="9">
        <v>0.41</v>
      </c>
      <c r="E316" s="9">
        <v>0.28360000000000002</v>
      </c>
      <c r="F316" s="9">
        <v>5</v>
      </c>
      <c r="G316" s="9">
        <v>59</v>
      </c>
      <c r="H316" s="9">
        <v>64</v>
      </c>
    </row>
    <row r="317" spans="1:8" ht="15.75" customHeight="1" x14ac:dyDescent="0.25">
      <c r="A317" s="9">
        <v>315</v>
      </c>
      <c r="B317" s="9">
        <v>316</v>
      </c>
      <c r="C317" s="9">
        <v>0.2424</v>
      </c>
      <c r="D317" s="9">
        <v>0.38</v>
      </c>
      <c r="E317" s="9">
        <v>0.16420000000000001</v>
      </c>
      <c r="F317" s="9">
        <v>9</v>
      </c>
      <c r="G317" s="9">
        <v>59</v>
      </c>
      <c r="H317" s="9">
        <v>68</v>
      </c>
    </row>
    <row r="318" spans="1:8" ht="15.75" customHeight="1" x14ac:dyDescent="0.25">
      <c r="A318" s="9">
        <v>316</v>
      </c>
      <c r="B318" s="9">
        <v>317</v>
      </c>
      <c r="C318" s="9">
        <v>0.2424</v>
      </c>
      <c r="D318" s="9">
        <v>0.41</v>
      </c>
      <c r="E318" s="9">
        <v>0.1045</v>
      </c>
      <c r="F318" s="9">
        <v>3</v>
      </c>
      <c r="G318" s="9">
        <v>87</v>
      </c>
      <c r="H318" s="9">
        <v>90</v>
      </c>
    </row>
    <row r="319" spans="1:8" ht="15.75" customHeight="1" x14ac:dyDescent="0.25">
      <c r="A319" s="9">
        <v>317</v>
      </c>
      <c r="B319" s="9">
        <v>318</v>
      </c>
      <c r="C319" s="9">
        <v>0.2273</v>
      </c>
      <c r="D319" s="9">
        <v>0.41</v>
      </c>
      <c r="E319" s="9">
        <v>0.16420000000000001</v>
      </c>
      <c r="F319" s="9">
        <v>4</v>
      </c>
      <c r="G319" s="9">
        <v>155</v>
      </c>
      <c r="H319" s="9">
        <v>159</v>
      </c>
    </row>
    <row r="320" spans="1:8" ht="15.75" customHeight="1" x14ac:dyDescent="0.25">
      <c r="A320" s="9">
        <v>318</v>
      </c>
      <c r="B320" s="9">
        <v>319</v>
      </c>
      <c r="C320" s="9">
        <v>0.2576</v>
      </c>
      <c r="D320" s="9">
        <v>0.47</v>
      </c>
      <c r="E320" s="9">
        <v>0</v>
      </c>
      <c r="F320" s="9">
        <v>5</v>
      </c>
      <c r="G320" s="9">
        <v>134</v>
      </c>
      <c r="H320" s="9">
        <v>139</v>
      </c>
    </row>
    <row r="321" spans="1:8" ht="15.75" customHeight="1" x14ac:dyDescent="0.25">
      <c r="A321" s="9">
        <v>319</v>
      </c>
      <c r="B321" s="9">
        <v>320</v>
      </c>
      <c r="C321" s="9">
        <v>0.19700000000000001</v>
      </c>
      <c r="D321" s="9">
        <v>0.59</v>
      </c>
      <c r="E321" s="9">
        <v>8.9599999999999999E-2</v>
      </c>
      <c r="F321" s="9">
        <v>3</v>
      </c>
      <c r="G321" s="9">
        <v>89</v>
      </c>
      <c r="H321" s="9">
        <v>92</v>
      </c>
    </row>
    <row r="322" spans="1:8" ht="15.75" customHeight="1" x14ac:dyDescent="0.25">
      <c r="A322" s="9">
        <v>320</v>
      </c>
      <c r="B322" s="9">
        <v>321</v>
      </c>
      <c r="C322" s="9">
        <v>0.2424</v>
      </c>
      <c r="D322" s="9">
        <v>0.59</v>
      </c>
      <c r="E322" s="9">
        <v>0</v>
      </c>
      <c r="F322" s="9">
        <v>0</v>
      </c>
      <c r="G322" s="9">
        <v>68</v>
      </c>
      <c r="H322" s="9">
        <v>68</v>
      </c>
    </row>
    <row r="323" spans="1:8" ht="15.75" customHeight="1" x14ac:dyDescent="0.25">
      <c r="A323" s="9">
        <v>321</v>
      </c>
      <c r="B323" s="9">
        <v>322</v>
      </c>
      <c r="C323" s="9">
        <v>0.2273</v>
      </c>
      <c r="D323" s="9">
        <v>0.69</v>
      </c>
      <c r="E323" s="9">
        <v>0</v>
      </c>
      <c r="F323" s="9">
        <v>4</v>
      </c>
      <c r="G323" s="9">
        <v>48</v>
      </c>
      <c r="H323" s="9">
        <v>52</v>
      </c>
    </row>
    <row r="324" spans="1:8" ht="15.75" customHeight="1" x14ac:dyDescent="0.25">
      <c r="A324" s="9">
        <v>322</v>
      </c>
      <c r="B324" s="9">
        <v>323</v>
      </c>
      <c r="C324" s="9">
        <v>0.2273</v>
      </c>
      <c r="D324" s="9">
        <v>0.69</v>
      </c>
      <c r="E324" s="9">
        <v>0</v>
      </c>
      <c r="F324" s="9">
        <v>2</v>
      </c>
      <c r="G324" s="9">
        <v>34</v>
      </c>
      <c r="H324" s="9">
        <v>36</v>
      </c>
    </row>
    <row r="325" spans="1:8" ht="15.75" customHeight="1" x14ac:dyDescent="0.25">
      <c r="A325" s="9">
        <v>323</v>
      </c>
      <c r="B325" s="9">
        <v>324</v>
      </c>
      <c r="C325" s="9">
        <v>0.2424</v>
      </c>
      <c r="D325" s="9">
        <v>0.55000000000000004</v>
      </c>
      <c r="E325" s="9">
        <v>0</v>
      </c>
      <c r="F325" s="9">
        <v>1</v>
      </c>
      <c r="G325" s="9">
        <v>26</v>
      </c>
      <c r="H325" s="9">
        <v>27</v>
      </c>
    </row>
    <row r="326" spans="1:8" ht="15.75" customHeight="1" x14ac:dyDescent="0.25">
      <c r="A326" s="9">
        <v>324</v>
      </c>
      <c r="B326" s="9">
        <v>325</v>
      </c>
      <c r="C326" s="9">
        <v>0.2424</v>
      </c>
      <c r="D326" s="9">
        <v>0.55000000000000004</v>
      </c>
      <c r="E326" s="9">
        <v>0</v>
      </c>
      <c r="F326" s="9">
        <v>3</v>
      </c>
      <c r="G326" s="9">
        <v>25</v>
      </c>
      <c r="H326" s="9">
        <v>28</v>
      </c>
    </row>
    <row r="327" spans="1:8" ht="15.75" customHeight="1" x14ac:dyDescent="0.25">
      <c r="A327" s="9">
        <v>325</v>
      </c>
      <c r="B327" s="9">
        <v>326</v>
      </c>
      <c r="C327" s="9">
        <v>0.19700000000000001</v>
      </c>
      <c r="D327" s="9">
        <v>0.59</v>
      </c>
      <c r="E327" s="9">
        <v>8.9599999999999999E-2</v>
      </c>
      <c r="F327" s="9">
        <v>2</v>
      </c>
      <c r="G327" s="9">
        <v>18</v>
      </c>
      <c r="H327" s="9">
        <v>20</v>
      </c>
    </row>
    <row r="328" spans="1:8" ht="15.75" customHeight="1" x14ac:dyDescent="0.25">
      <c r="A328" s="9">
        <v>326</v>
      </c>
      <c r="B328" s="9">
        <v>327</v>
      </c>
      <c r="C328" s="9">
        <v>0.19700000000000001</v>
      </c>
      <c r="D328" s="9">
        <v>0.59</v>
      </c>
      <c r="E328" s="9">
        <v>8.9599999999999999E-2</v>
      </c>
      <c r="F328" s="9">
        <v>0</v>
      </c>
      <c r="G328" s="9">
        <v>12</v>
      </c>
      <c r="H328" s="9">
        <v>12</v>
      </c>
    </row>
    <row r="329" spans="1:8" ht="15.75" customHeight="1" x14ac:dyDescent="0.25">
      <c r="A329" s="9">
        <v>327</v>
      </c>
      <c r="B329" s="9">
        <v>328</v>
      </c>
      <c r="C329" s="9">
        <v>0.2273</v>
      </c>
      <c r="D329" s="9">
        <v>0.59</v>
      </c>
      <c r="E329" s="9">
        <v>0</v>
      </c>
      <c r="F329" s="9">
        <v>1</v>
      </c>
      <c r="G329" s="9">
        <v>7</v>
      </c>
      <c r="H329" s="9">
        <v>8</v>
      </c>
    </row>
    <row r="330" spans="1:8" ht="15.75" customHeight="1" x14ac:dyDescent="0.25">
      <c r="A330" s="9">
        <v>328</v>
      </c>
      <c r="B330" s="9">
        <v>329</v>
      </c>
      <c r="C330" s="9">
        <v>0.2273</v>
      </c>
      <c r="D330" s="9">
        <v>0.59</v>
      </c>
      <c r="E330" s="9">
        <v>0</v>
      </c>
      <c r="F330" s="9">
        <v>0</v>
      </c>
      <c r="G330" s="9">
        <v>5</v>
      </c>
      <c r="H330" s="9">
        <v>5</v>
      </c>
    </row>
    <row r="331" spans="1:8" ht="15.75" customHeight="1" x14ac:dyDescent="0.25">
      <c r="A331" s="9">
        <v>329</v>
      </c>
      <c r="B331" s="9">
        <v>330</v>
      </c>
      <c r="C331" s="9">
        <v>0.2273</v>
      </c>
      <c r="D331" s="9">
        <v>0.59</v>
      </c>
      <c r="E331" s="9">
        <v>0</v>
      </c>
      <c r="F331" s="9">
        <v>0</v>
      </c>
      <c r="G331" s="9">
        <v>1</v>
      </c>
      <c r="H331" s="9">
        <v>1</v>
      </c>
    </row>
    <row r="332" spans="1:8" ht="15.75" customHeight="1" x14ac:dyDescent="0.25">
      <c r="A332" s="9">
        <v>330</v>
      </c>
      <c r="B332" s="9">
        <v>331</v>
      </c>
      <c r="C332" s="9">
        <v>0.16669999999999999</v>
      </c>
      <c r="D332" s="9">
        <v>0.63</v>
      </c>
      <c r="E332" s="9">
        <v>0.1045</v>
      </c>
      <c r="F332" s="9">
        <v>1</v>
      </c>
      <c r="G332" s="9">
        <v>2</v>
      </c>
      <c r="H332" s="9">
        <v>3</v>
      </c>
    </row>
    <row r="333" spans="1:8" ht="15.75" customHeight="1" x14ac:dyDescent="0.25">
      <c r="A333" s="9">
        <v>331</v>
      </c>
      <c r="B333" s="9">
        <v>332</v>
      </c>
      <c r="C333" s="9">
        <v>0.21210000000000001</v>
      </c>
      <c r="D333" s="9">
        <v>0.63</v>
      </c>
      <c r="E333" s="9">
        <v>0</v>
      </c>
      <c r="F333" s="9">
        <v>1</v>
      </c>
      <c r="G333" s="9">
        <v>9</v>
      </c>
      <c r="H333" s="9">
        <v>10</v>
      </c>
    </row>
    <row r="334" spans="1:8" ht="15.75" customHeight="1" x14ac:dyDescent="0.25">
      <c r="A334" s="9">
        <v>332</v>
      </c>
      <c r="B334" s="9">
        <v>333</v>
      </c>
      <c r="C334" s="9">
        <v>0.1515</v>
      </c>
      <c r="D334" s="9">
        <v>0.63</v>
      </c>
      <c r="E334" s="9">
        <v>0.1343</v>
      </c>
      <c r="F334" s="9">
        <v>1</v>
      </c>
      <c r="G334" s="9">
        <v>22</v>
      </c>
      <c r="H334" s="9">
        <v>23</v>
      </c>
    </row>
    <row r="335" spans="1:8" ht="15.75" customHeight="1" x14ac:dyDescent="0.25">
      <c r="A335" s="9">
        <v>333</v>
      </c>
      <c r="B335" s="9">
        <v>334</v>
      </c>
      <c r="C335" s="9">
        <v>0.18179999999999999</v>
      </c>
      <c r="D335" s="9">
        <v>0.64</v>
      </c>
      <c r="E335" s="9">
        <v>0.1343</v>
      </c>
      <c r="F335" s="9">
        <v>2</v>
      </c>
      <c r="G335" s="9">
        <v>31</v>
      </c>
      <c r="H335" s="9">
        <v>33</v>
      </c>
    </row>
    <row r="336" spans="1:8" ht="15.75" customHeight="1" x14ac:dyDescent="0.25">
      <c r="A336" s="9">
        <v>334</v>
      </c>
      <c r="B336" s="9">
        <v>335</v>
      </c>
      <c r="C336" s="9">
        <v>0.19700000000000001</v>
      </c>
      <c r="D336" s="9">
        <v>0.59</v>
      </c>
      <c r="E336" s="9">
        <v>0.16420000000000001</v>
      </c>
      <c r="F336" s="9">
        <v>2</v>
      </c>
      <c r="G336" s="9">
        <v>57</v>
      </c>
      <c r="H336" s="9">
        <v>59</v>
      </c>
    </row>
    <row r="337" spans="1:8" ht="15.75" customHeight="1" x14ac:dyDescent="0.25">
      <c r="A337" s="9">
        <v>335</v>
      </c>
      <c r="B337" s="9">
        <v>336</v>
      </c>
      <c r="C337" s="9">
        <v>0.19700000000000001</v>
      </c>
      <c r="D337" s="9">
        <v>0.55000000000000004</v>
      </c>
      <c r="E337" s="9">
        <v>0.22389999999999999</v>
      </c>
      <c r="F337" s="9">
        <v>18</v>
      </c>
      <c r="G337" s="9">
        <v>54</v>
      </c>
      <c r="H337" s="9">
        <v>72</v>
      </c>
    </row>
    <row r="338" spans="1:8" ht="15.75" customHeight="1" x14ac:dyDescent="0.25">
      <c r="A338" s="9">
        <v>336</v>
      </c>
      <c r="B338" s="9">
        <v>337</v>
      </c>
      <c r="C338" s="9">
        <v>0.2273</v>
      </c>
      <c r="D338" s="9">
        <v>0.48</v>
      </c>
      <c r="E338" s="9">
        <v>0.22389999999999999</v>
      </c>
      <c r="F338" s="9">
        <v>15</v>
      </c>
      <c r="G338" s="9">
        <v>74</v>
      </c>
      <c r="H338" s="9">
        <v>89</v>
      </c>
    </row>
    <row r="339" spans="1:8" ht="15.75" customHeight="1" x14ac:dyDescent="0.25">
      <c r="A339" s="9">
        <v>337</v>
      </c>
      <c r="B339" s="9">
        <v>338</v>
      </c>
      <c r="C339" s="9">
        <v>0.2576</v>
      </c>
      <c r="D339" s="9">
        <v>0.38</v>
      </c>
      <c r="E339" s="9">
        <v>0.29849999999999999</v>
      </c>
      <c r="F339" s="9">
        <v>21</v>
      </c>
      <c r="G339" s="9">
        <v>80</v>
      </c>
      <c r="H339" s="9">
        <v>101</v>
      </c>
    </row>
    <row r="340" spans="1:8" ht="15.75" customHeight="1" x14ac:dyDescent="0.25">
      <c r="A340" s="9">
        <v>338</v>
      </c>
      <c r="B340" s="9">
        <v>339</v>
      </c>
      <c r="C340" s="9">
        <v>0.28789999999999999</v>
      </c>
      <c r="D340" s="9">
        <v>0.39</v>
      </c>
      <c r="E340" s="9">
        <v>0.28360000000000002</v>
      </c>
      <c r="F340" s="9">
        <v>26</v>
      </c>
      <c r="G340" s="9">
        <v>92</v>
      </c>
      <c r="H340" s="9">
        <v>118</v>
      </c>
    </row>
    <row r="341" spans="1:8" ht="15.75" customHeight="1" x14ac:dyDescent="0.25">
      <c r="A341" s="9">
        <v>339</v>
      </c>
      <c r="B341" s="9">
        <v>340</v>
      </c>
      <c r="C341" s="9">
        <v>0.31819999999999998</v>
      </c>
      <c r="D341" s="9">
        <v>0.36</v>
      </c>
      <c r="E341" s="9">
        <v>0.19400000000000001</v>
      </c>
      <c r="F341" s="9">
        <v>21</v>
      </c>
      <c r="G341" s="9">
        <v>108</v>
      </c>
      <c r="H341" s="9">
        <v>129</v>
      </c>
    </row>
    <row r="342" spans="1:8" ht="15.75" customHeight="1" x14ac:dyDescent="0.25">
      <c r="A342" s="9">
        <v>340</v>
      </c>
      <c r="B342" s="9">
        <v>341</v>
      </c>
      <c r="C342" s="9">
        <v>0.33329999999999999</v>
      </c>
      <c r="D342" s="9">
        <v>0.34</v>
      </c>
      <c r="E342" s="9">
        <v>0.19400000000000001</v>
      </c>
      <c r="F342" s="9">
        <v>33</v>
      </c>
      <c r="G342" s="9">
        <v>95</v>
      </c>
      <c r="H342" s="9">
        <v>128</v>
      </c>
    </row>
    <row r="343" spans="1:8" ht="15.75" customHeight="1" x14ac:dyDescent="0.25">
      <c r="A343" s="9">
        <v>341</v>
      </c>
      <c r="B343" s="9">
        <v>342</v>
      </c>
      <c r="C343" s="9">
        <v>0.30299999999999999</v>
      </c>
      <c r="D343" s="9">
        <v>0.36</v>
      </c>
      <c r="E343" s="9">
        <v>0.28360000000000002</v>
      </c>
      <c r="F343" s="9">
        <v>29</v>
      </c>
      <c r="G343" s="9">
        <v>54</v>
      </c>
      <c r="H343" s="9">
        <v>83</v>
      </c>
    </row>
    <row r="344" spans="1:8" ht="15.75" customHeight="1" x14ac:dyDescent="0.25">
      <c r="A344" s="9">
        <v>342</v>
      </c>
      <c r="B344" s="9">
        <v>343</v>
      </c>
      <c r="C344" s="9">
        <v>0.28789999999999999</v>
      </c>
      <c r="D344" s="9">
        <v>0.45</v>
      </c>
      <c r="E344" s="9">
        <v>0.25369999999999998</v>
      </c>
      <c r="F344" s="9">
        <v>15</v>
      </c>
      <c r="G344" s="9">
        <v>69</v>
      </c>
      <c r="H344" s="9">
        <v>84</v>
      </c>
    </row>
    <row r="345" spans="1:8" ht="15.75" customHeight="1" x14ac:dyDescent="0.25">
      <c r="A345" s="9">
        <v>343</v>
      </c>
      <c r="B345" s="9">
        <v>344</v>
      </c>
      <c r="C345" s="9">
        <v>0.30299999999999999</v>
      </c>
      <c r="D345" s="9">
        <v>0.39</v>
      </c>
      <c r="E345" s="9">
        <v>0.25369999999999998</v>
      </c>
      <c r="F345" s="9">
        <v>14</v>
      </c>
      <c r="G345" s="9">
        <v>60</v>
      </c>
      <c r="H345" s="9">
        <v>74</v>
      </c>
    </row>
    <row r="346" spans="1:8" ht="15.75" customHeight="1" x14ac:dyDescent="0.25">
      <c r="A346" s="9">
        <v>344</v>
      </c>
      <c r="B346" s="9">
        <v>345</v>
      </c>
      <c r="C346" s="9">
        <v>0.30299999999999999</v>
      </c>
      <c r="D346" s="9">
        <v>0.39</v>
      </c>
      <c r="E346" s="9">
        <v>0.25369999999999998</v>
      </c>
      <c r="F346" s="9">
        <v>6</v>
      </c>
      <c r="G346" s="9">
        <v>35</v>
      </c>
      <c r="H346" s="9">
        <v>41</v>
      </c>
    </row>
    <row r="347" spans="1:8" ht="15.75" customHeight="1" x14ac:dyDescent="0.25">
      <c r="A347" s="9">
        <v>345</v>
      </c>
      <c r="B347" s="9">
        <v>346</v>
      </c>
      <c r="C347" s="9">
        <v>0.30299999999999999</v>
      </c>
      <c r="D347" s="9">
        <v>0.39</v>
      </c>
      <c r="E347" s="9">
        <v>0.22389999999999999</v>
      </c>
      <c r="F347" s="9">
        <v>6</v>
      </c>
      <c r="G347" s="9">
        <v>51</v>
      </c>
      <c r="H347" s="9">
        <v>57</v>
      </c>
    </row>
    <row r="348" spans="1:8" ht="15.75" customHeight="1" x14ac:dyDescent="0.25">
      <c r="A348" s="9">
        <v>346</v>
      </c>
      <c r="B348" s="9">
        <v>347</v>
      </c>
      <c r="C348" s="9">
        <v>0.31819999999999998</v>
      </c>
      <c r="D348" s="9">
        <v>0.42</v>
      </c>
      <c r="E348" s="9">
        <v>0.1045</v>
      </c>
      <c r="F348" s="9">
        <v>0</v>
      </c>
      <c r="G348" s="9">
        <v>26</v>
      </c>
      <c r="H348" s="9">
        <v>26</v>
      </c>
    </row>
    <row r="349" spans="1:8" ht="15.75" customHeight="1" x14ac:dyDescent="0.25">
      <c r="A349" s="9">
        <v>347</v>
      </c>
      <c r="B349" s="9">
        <v>348</v>
      </c>
      <c r="C349" s="9">
        <v>0.28789999999999999</v>
      </c>
      <c r="D349" s="9">
        <v>0.45</v>
      </c>
      <c r="E349" s="9">
        <v>0.28360000000000002</v>
      </c>
      <c r="F349" s="9">
        <v>5</v>
      </c>
      <c r="G349" s="9">
        <v>39</v>
      </c>
      <c r="H349" s="9">
        <v>44</v>
      </c>
    </row>
    <row r="350" spans="1:8" ht="15.75" customHeight="1" x14ac:dyDescent="0.25">
      <c r="A350" s="9">
        <v>348</v>
      </c>
      <c r="B350" s="9">
        <v>349</v>
      </c>
      <c r="C350" s="9">
        <v>0.30299999999999999</v>
      </c>
      <c r="D350" s="9">
        <v>0.56000000000000005</v>
      </c>
      <c r="E350" s="9">
        <v>0</v>
      </c>
      <c r="F350" s="9">
        <v>6</v>
      </c>
      <c r="G350" s="9">
        <v>33</v>
      </c>
      <c r="H350" s="9">
        <v>39</v>
      </c>
    </row>
    <row r="351" spans="1:8" ht="15.75" customHeight="1" x14ac:dyDescent="0.25">
      <c r="A351" s="9">
        <v>349</v>
      </c>
      <c r="B351" s="9">
        <v>350</v>
      </c>
      <c r="C351" s="9">
        <v>0.2727</v>
      </c>
      <c r="D351" s="9">
        <v>0.56000000000000005</v>
      </c>
      <c r="E351" s="9">
        <v>0.1343</v>
      </c>
      <c r="F351" s="9">
        <v>4</v>
      </c>
      <c r="G351" s="9">
        <v>19</v>
      </c>
      <c r="H351" s="9">
        <v>23</v>
      </c>
    </row>
    <row r="352" spans="1:8" ht="15.75" customHeight="1" x14ac:dyDescent="0.25">
      <c r="A352" s="9">
        <v>350</v>
      </c>
      <c r="B352" s="9">
        <v>351</v>
      </c>
      <c r="C352" s="9">
        <v>0.28789999999999999</v>
      </c>
      <c r="D352" s="9">
        <v>0.56000000000000005</v>
      </c>
      <c r="E352" s="9">
        <v>8.9599999999999999E-2</v>
      </c>
      <c r="F352" s="9">
        <v>3</v>
      </c>
      <c r="G352" s="9">
        <v>13</v>
      </c>
      <c r="H352" s="9">
        <v>16</v>
      </c>
    </row>
    <row r="353" spans="1:8" ht="15.75" customHeight="1" x14ac:dyDescent="0.25">
      <c r="A353" s="9">
        <v>351</v>
      </c>
      <c r="B353" s="9">
        <v>352</v>
      </c>
      <c r="C353" s="9">
        <v>0.2727</v>
      </c>
      <c r="D353" s="9">
        <v>0.69</v>
      </c>
      <c r="E353" s="9">
        <v>0</v>
      </c>
      <c r="F353" s="9">
        <v>9</v>
      </c>
      <c r="G353" s="9">
        <v>6</v>
      </c>
      <c r="H353" s="9">
        <v>15</v>
      </c>
    </row>
    <row r="354" spans="1:8" ht="15.75" customHeight="1" x14ac:dyDescent="0.25">
      <c r="A354" s="9">
        <v>352</v>
      </c>
      <c r="B354" s="9">
        <v>353</v>
      </c>
      <c r="C354" s="9">
        <v>0.2576</v>
      </c>
      <c r="D354" s="9">
        <v>0.56000000000000005</v>
      </c>
      <c r="E354" s="9">
        <v>0.16420000000000001</v>
      </c>
      <c r="F354" s="9">
        <v>0</v>
      </c>
      <c r="G354" s="9">
        <v>1</v>
      </c>
      <c r="H354" s="9">
        <v>1</v>
      </c>
    </row>
    <row r="355" spans="1:8" ht="15.75" customHeight="1" x14ac:dyDescent="0.25">
      <c r="A355" s="9">
        <v>353</v>
      </c>
      <c r="B355" s="9">
        <v>354</v>
      </c>
      <c r="C355" s="9">
        <v>0.2576</v>
      </c>
      <c r="D355" s="9">
        <v>0.56000000000000005</v>
      </c>
      <c r="E355" s="9">
        <v>0.16420000000000001</v>
      </c>
      <c r="F355" s="9">
        <v>1</v>
      </c>
      <c r="G355" s="9">
        <v>1</v>
      </c>
      <c r="H355" s="9">
        <v>2</v>
      </c>
    </row>
    <row r="356" spans="1:8" ht="15.75" customHeight="1" x14ac:dyDescent="0.25">
      <c r="A356" s="9">
        <v>354</v>
      </c>
      <c r="B356" s="9">
        <v>355</v>
      </c>
      <c r="C356" s="9">
        <v>0.2576</v>
      </c>
      <c r="D356" s="9">
        <v>0.56000000000000005</v>
      </c>
      <c r="E356" s="9">
        <v>0.16420000000000001</v>
      </c>
      <c r="F356" s="9">
        <v>0</v>
      </c>
      <c r="G356" s="9">
        <v>1</v>
      </c>
      <c r="H356" s="9">
        <v>1</v>
      </c>
    </row>
    <row r="357" spans="1:8" ht="15.75" customHeight="1" x14ac:dyDescent="0.25">
      <c r="A357" s="9">
        <v>355</v>
      </c>
      <c r="B357" s="9">
        <v>356</v>
      </c>
      <c r="C357" s="9">
        <v>0.21210000000000001</v>
      </c>
      <c r="D357" s="9">
        <v>0.56000000000000005</v>
      </c>
      <c r="E357" s="9">
        <v>0.29849999999999999</v>
      </c>
      <c r="F357" s="9">
        <v>0</v>
      </c>
      <c r="G357" s="9">
        <v>3</v>
      </c>
      <c r="H357" s="9">
        <v>3</v>
      </c>
    </row>
    <row r="358" spans="1:8" ht="15.75" customHeight="1" x14ac:dyDescent="0.25">
      <c r="A358" s="9">
        <v>356</v>
      </c>
      <c r="B358" s="9">
        <v>357</v>
      </c>
      <c r="C358" s="9">
        <v>0.21210000000000001</v>
      </c>
      <c r="D358" s="9">
        <v>0.55000000000000004</v>
      </c>
      <c r="E358" s="9">
        <v>0.28360000000000002</v>
      </c>
      <c r="F358" s="9">
        <v>0</v>
      </c>
      <c r="G358" s="9">
        <v>18</v>
      </c>
      <c r="H358" s="9">
        <v>18</v>
      </c>
    </row>
    <row r="359" spans="1:8" ht="15.75" customHeight="1" x14ac:dyDescent="0.25">
      <c r="A359" s="9">
        <v>357</v>
      </c>
      <c r="B359" s="9">
        <v>358</v>
      </c>
      <c r="C359" s="9">
        <v>0.21210000000000001</v>
      </c>
      <c r="D359" s="9">
        <v>0.51</v>
      </c>
      <c r="E359" s="9">
        <v>0.25369999999999998</v>
      </c>
      <c r="F359" s="9">
        <v>3</v>
      </c>
      <c r="G359" s="9">
        <v>29</v>
      </c>
      <c r="H359" s="9">
        <v>32</v>
      </c>
    </row>
    <row r="360" spans="1:8" ht="15.75" customHeight="1" x14ac:dyDescent="0.25">
      <c r="A360" s="9">
        <v>358</v>
      </c>
      <c r="B360" s="9">
        <v>359</v>
      </c>
      <c r="C360" s="9">
        <v>0.21210000000000001</v>
      </c>
      <c r="D360" s="9">
        <v>0.51</v>
      </c>
      <c r="E360" s="9">
        <v>0.28360000000000002</v>
      </c>
      <c r="F360" s="9">
        <v>8</v>
      </c>
      <c r="G360" s="9">
        <v>71</v>
      </c>
      <c r="H360" s="9">
        <v>79</v>
      </c>
    </row>
    <row r="361" spans="1:8" ht="15.75" customHeight="1" x14ac:dyDescent="0.25">
      <c r="A361" s="9">
        <v>359</v>
      </c>
      <c r="B361" s="9">
        <v>360</v>
      </c>
      <c r="C361" s="9">
        <v>0.2273</v>
      </c>
      <c r="D361" s="9">
        <v>0.44</v>
      </c>
      <c r="E361" s="9">
        <v>0.25369999999999998</v>
      </c>
      <c r="F361" s="9">
        <v>23</v>
      </c>
      <c r="G361" s="9">
        <v>70</v>
      </c>
      <c r="H361" s="9">
        <v>93</v>
      </c>
    </row>
    <row r="362" spans="1:8" ht="15.75" customHeight="1" x14ac:dyDescent="0.25">
      <c r="A362" s="9">
        <v>360</v>
      </c>
      <c r="B362" s="9">
        <v>361</v>
      </c>
      <c r="C362" s="9">
        <v>0.21210000000000001</v>
      </c>
      <c r="D362" s="9">
        <v>0.41</v>
      </c>
      <c r="E362" s="9">
        <v>0.28360000000000002</v>
      </c>
      <c r="F362" s="9">
        <v>29</v>
      </c>
      <c r="G362" s="9">
        <v>75</v>
      </c>
      <c r="H362" s="9">
        <v>104</v>
      </c>
    </row>
    <row r="363" spans="1:8" ht="15.75" customHeight="1" x14ac:dyDescent="0.25">
      <c r="A363" s="9">
        <v>361</v>
      </c>
      <c r="B363" s="9">
        <v>362</v>
      </c>
      <c r="C363" s="9">
        <v>0.2273</v>
      </c>
      <c r="D363" s="9">
        <v>0.35</v>
      </c>
      <c r="E363" s="9">
        <v>0.29849999999999999</v>
      </c>
      <c r="F363" s="9">
        <v>23</v>
      </c>
      <c r="G363" s="9">
        <v>95</v>
      </c>
      <c r="H363" s="9">
        <v>118</v>
      </c>
    </row>
    <row r="364" spans="1:8" ht="15.75" customHeight="1" x14ac:dyDescent="0.25">
      <c r="A364" s="9">
        <v>362</v>
      </c>
      <c r="B364" s="9">
        <v>363</v>
      </c>
      <c r="C364" s="9">
        <v>0.2727</v>
      </c>
      <c r="D364" s="9">
        <v>0.36</v>
      </c>
      <c r="E364" s="9">
        <v>0.25369999999999998</v>
      </c>
      <c r="F364" s="9">
        <v>22</v>
      </c>
      <c r="G364" s="9">
        <v>69</v>
      </c>
      <c r="H364" s="9">
        <v>91</v>
      </c>
    </row>
    <row r="365" spans="1:8" ht="15.75" customHeight="1" x14ac:dyDescent="0.25">
      <c r="A365" s="9">
        <v>363</v>
      </c>
      <c r="B365" s="9">
        <v>364</v>
      </c>
      <c r="C365" s="9">
        <v>0.2424</v>
      </c>
      <c r="D365" s="9">
        <v>0.38</v>
      </c>
      <c r="E365" s="9">
        <v>0.25369999999999998</v>
      </c>
      <c r="F365" s="9">
        <v>35</v>
      </c>
      <c r="G365" s="9">
        <v>78</v>
      </c>
      <c r="H365" s="9">
        <v>113</v>
      </c>
    </row>
    <row r="366" spans="1:8" ht="15.75" customHeight="1" x14ac:dyDescent="0.25">
      <c r="A366" s="9">
        <v>364</v>
      </c>
      <c r="B366" s="9">
        <v>365</v>
      </c>
      <c r="C366" s="9">
        <v>0.2273</v>
      </c>
      <c r="D366" s="9">
        <v>0.38</v>
      </c>
      <c r="E366" s="9">
        <v>0.22389999999999999</v>
      </c>
      <c r="F366" s="9">
        <v>22</v>
      </c>
      <c r="G366" s="9">
        <v>77</v>
      </c>
      <c r="H366" s="9">
        <v>99</v>
      </c>
    </row>
    <row r="367" spans="1:8" ht="15.75" customHeight="1" x14ac:dyDescent="0.25">
      <c r="A367" s="9">
        <v>365</v>
      </c>
      <c r="B367" s="9">
        <v>366</v>
      </c>
      <c r="C367" s="9">
        <v>0.21210000000000001</v>
      </c>
      <c r="D367" s="9">
        <v>0.37</v>
      </c>
      <c r="E367" s="9">
        <v>0.25369999999999998</v>
      </c>
      <c r="F367" s="9">
        <v>23</v>
      </c>
      <c r="G367" s="9">
        <v>82</v>
      </c>
      <c r="H367" s="9">
        <v>105</v>
      </c>
    </row>
    <row r="368" spans="1:8" ht="15.75" customHeight="1" x14ac:dyDescent="0.25">
      <c r="A368" s="9">
        <v>366</v>
      </c>
      <c r="B368" s="9">
        <v>367</v>
      </c>
      <c r="C368" s="9">
        <v>0.21210000000000001</v>
      </c>
      <c r="D368" s="9">
        <v>0.4</v>
      </c>
      <c r="E368" s="9">
        <v>0.16420000000000001</v>
      </c>
      <c r="F368" s="9">
        <v>11</v>
      </c>
      <c r="G368" s="9">
        <v>56</v>
      </c>
      <c r="H368" s="9">
        <v>67</v>
      </c>
    </row>
    <row r="369" spans="1:8" ht="15.75" customHeight="1" x14ac:dyDescent="0.25">
      <c r="A369" s="9">
        <v>367</v>
      </c>
      <c r="B369" s="9">
        <v>368</v>
      </c>
      <c r="C369" s="9">
        <v>0.19700000000000001</v>
      </c>
      <c r="D369" s="9">
        <v>0.47</v>
      </c>
      <c r="E369" s="9">
        <v>0.1343</v>
      </c>
      <c r="F369" s="9">
        <v>14</v>
      </c>
      <c r="G369" s="9">
        <v>47</v>
      </c>
      <c r="H369" s="9">
        <v>61</v>
      </c>
    </row>
    <row r="370" spans="1:8" ht="15.75" customHeight="1" x14ac:dyDescent="0.25">
      <c r="A370" s="9">
        <v>368</v>
      </c>
      <c r="B370" s="9">
        <v>369</v>
      </c>
      <c r="C370" s="9">
        <v>0.19700000000000001</v>
      </c>
      <c r="D370" s="9">
        <v>0.47</v>
      </c>
      <c r="E370" s="9">
        <v>0.16420000000000001</v>
      </c>
      <c r="F370" s="9">
        <v>7</v>
      </c>
      <c r="G370" s="9">
        <v>50</v>
      </c>
      <c r="H370" s="9">
        <v>57</v>
      </c>
    </row>
    <row r="371" spans="1:8" ht="15.75" customHeight="1" x14ac:dyDescent="0.25">
      <c r="A371" s="9">
        <v>369</v>
      </c>
      <c r="B371" s="9">
        <v>370</v>
      </c>
      <c r="C371" s="9">
        <v>0.19700000000000001</v>
      </c>
      <c r="D371" s="9">
        <v>0.51</v>
      </c>
      <c r="E371" s="9">
        <v>0.16420000000000001</v>
      </c>
      <c r="F371" s="9">
        <v>6</v>
      </c>
      <c r="G371" s="9">
        <v>22</v>
      </c>
      <c r="H371" s="9">
        <v>28</v>
      </c>
    </row>
    <row r="372" spans="1:8" ht="15.75" customHeight="1" x14ac:dyDescent="0.25">
      <c r="A372" s="9">
        <v>370</v>
      </c>
      <c r="B372" s="9">
        <v>371</v>
      </c>
      <c r="C372" s="9">
        <v>0.21210000000000001</v>
      </c>
      <c r="D372" s="9">
        <v>0.49</v>
      </c>
      <c r="E372" s="9">
        <v>0.1343</v>
      </c>
      <c r="F372" s="9">
        <v>2</v>
      </c>
      <c r="G372" s="9">
        <v>19</v>
      </c>
      <c r="H372" s="9">
        <v>21</v>
      </c>
    </row>
    <row r="373" spans="1:8" ht="15.75" customHeight="1" x14ac:dyDescent="0.25">
      <c r="A373" s="9">
        <v>371</v>
      </c>
      <c r="B373" s="9">
        <v>372</v>
      </c>
      <c r="C373" s="9">
        <v>0.2273</v>
      </c>
      <c r="D373" s="9">
        <v>0.4</v>
      </c>
      <c r="E373" s="9">
        <v>0.1045</v>
      </c>
      <c r="F373" s="9">
        <v>0</v>
      </c>
      <c r="G373" s="9">
        <v>18</v>
      </c>
      <c r="H373" s="9">
        <v>18</v>
      </c>
    </row>
    <row r="374" spans="1:8" ht="15.75" customHeight="1" x14ac:dyDescent="0.25">
      <c r="A374" s="9">
        <v>372</v>
      </c>
      <c r="B374" s="9">
        <v>373</v>
      </c>
      <c r="C374" s="9">
        <v>0.19700000000000001</v>
      </c>
      <c r="D374" s="9">
        <v>0.47</v>
      </c>
      <c r="E374" s="9">
        <v>0.22389999999999999</v>
      </c>
      <c r="F374" s="9">
        <v>1</v>
      </c>
      <c r="G374" s="9">
        <v>16</v>
      </c>
      <c r="H374" s="9">
        <v>17</v>
      </c>
    </row>
    <row r="375" spans="1:8" ht="15.75" customHeight="1" x14ac:dyDescent="0.25">
      <c r="A375" s="9">
        <v>373</v>
      </c>
      <c r="B375" s="9">
        <v>374</v>
      </c>
      <c r="C375" s="9">
        <v>0.19700000000000001</v>
      </c>
      <c r="D375" s="9">
        <v>0.44</v>
      </c>
      <c r="E375" s="9">
        <v>0.19400000000000001</v>
      </c>
      <c r="F375" s="9">
        <v>1</v>
      </c>
      <c r="G375" s="9">
        <v>15</v>
      </c>
      <c r="H375" s="9">
        <v>16</v>
      </c>
    </row>
    <row r="376" spans="1:8" ht="15.75" customHeight="1" x14ac:dyDescent="0.25">
      <c r="A376" s="9">
        <v>374</v>
      </c>
      <c r="B376" s="9">
        <v>375</v>
      </c>
      <c r="C376" s="9">
        <v>0.16669999999999999</v>
      </c>
      <c r="D376" s="9">
        <v>0.43</v>
      </c>
      <c r="E376" s="9">
        <v>0.25369999999999998</v>
      </c>
      <c r="F376" s="9">
        <v>0</v>
      </c>
      <c r="G376" s="9">
        <v>8</v>
      </c>
      <c r="H376" s="9">
        <v>8</v>
      </c>
    </row>
    <row r="377" spans="1:8" ht="15.75" customHeight="1" x14ac:dyDescent="0.25">
      <c r="A377" s="9">
        <v>375</v>
      </c>
      <c r="B377" s="9">
        <v>376</v>
      </c>
      <c r="C377" s="9">
        <v>0.18179999999999999</v>
      </c>
      <c r="D377" s="9">
        <v>0.43</v>
      </c>
      <c r="E377" s="9">
        <v>0.19400000000000001</v>
      </c>
      <c r="F377" s="9">
        <v>0</v>
      </c>
      <c r="G377" s="9">
        <v>2</v>
      </c>
      <c r="H377" s="9">
        <v>2</v>
      </c>
    </row>
    <row r="378" spans="1:8" ht="15.75" customHeight="1" x14ac:dyDescent="0.25">
      <c r="A378" s="9">
        <v>376</v>
      </c>
      <c r="B378" s="9">
        <v>377</v>
      </c>
      <c r="C378" s="9">
        <v>0.19700000000000001</v>
      </c>
      <c r="D378" s="9">
        <v>0.43</v>
      </c>
      <c r="E378" s="9">
        <v>0.1343</v>
      </c>
      <c r="F378" s="9">
        <v>1</v>
      </c>
      <c r="G378" s="9">
        <v>2</v>
      </c>
      <c r="H378" s="9">
        <v>3</v>
      </c>
    </row>
    <row r="379" spans="1:8" ht="15.75" customHeight="1" x14ac:dyDescent="0.25">
      <c r="A379" s="9">
        <v>377</v>
      </c>
      <c r="B379" s="9">
        <v>378</v>
      </c>
      <c r="C379" s="9">
        <v>0.19700000000000001</v>
      </c>
      <c r="D379" s="9">
        <v>0.43</v>
      </c>
      <c r="E379" s="9">
        <v>0.16420000000000001</v>
      </c>
      <c r="F379" s="9">
        <v>0</v>
      </c>
      <c r="G379" s="9">
        <v>1</v>
      </c>
      <c r="H379" s="9">
        <v>1</v>
      </c>
    </row>
    <row r="380" spans="1:8" ht="15.75" customHeight="1" x14ac:dyDescent="0.25">
      <c r="A380" s="9">
        <v>378</v>
      </c>
      <c r="B380" s="9">
        <v>379</v>
      </c>
      <c r="C380" s="9">
        <v>0.18179999999999999</v>
      </c>
      <c r="D380" s="9">
        <v>0.43</v>
      </c>
      <c r="E380" s="9">
        <v>0.19400000000000001</v>
      </c>
      <c r="F380" s="9">
        <v>0</v>
      </c>
      <c r="G380" s="9">
        <v>5</v>
      </c>
      <c r="H380" s="9">
        <v>5</v>
      </c>
    </row>
    <row r="381" spans="1:8" ht="15.75" customHeight="1" x14ac:dyDescent="0.25">
      <c r="A381" s="9">
        <v>379</v>
      </c>
      <c r="B381" s="9">
        <v>380</v>
      </c>
      <c r="C381" s="9">
        <v>0.18179999999999999</v>
      </c>
      <c r="D381" s="9">
        <v>0.5</v>
      </c>
      <c r="E381" s="9">
        <v>0.1343</v>
      </c>
      <c r="F381" s="9">
        <v>4</v>
      </c>
      <c r="G381" s="9">
        <v>9</v>
      </c>
      <c r="H381" s="9">
        <v>13</v>
      </c>
    </row>
    <row r="382" spans="1:8" ht="15.75" customHeight="1" x14ac:dyDescent="0.25">
      <c r="A382" s="9">
        <v>380</v>
      </c>
      <c r="B382" s="9">
        <v>381</v>
      </c>
      <c r="C382" s="9">
        <v>0.1515</v>
      </c>
      <c r="D382" s="9">
        <v>0.47</v>
      </c>
      <c r="E382" s="9">
        <v>0.22389999999999999</v>
      </c>
      <c r="F382" s="9">
        <v>3</v>
      </c>
      <c r="G382" s="9">
        <v>30</v>
      </c>
      <c r="H382" s="9">
        <v>33</v>
      </c>
    </row>
    <row r="383" spans="1:8" ht="15.75" customHeight="1" x14ac:dyDescent="0.25">
      <c r="A383" s="9">
        <v>381</v>
      </c>
      <c r="B383" s="9">
        <v>382</v>
      </c>
      <c r="C383" s="9">
        <v>0.1515</v>
      </c>
      <c r="D383" s="9">
        <v>0.47</v>
      </c>
      <c r="E383" s="9">
        <v>0.22389999999999999</v>
      </c>
      <c r="F383" s="9">
        <v>8</v>
      </c>
      <c r="G383" s="9">
        <v>39</v>
      </c>
      <c r="H383" s="9">
        <v>47</v>
      </c>
    </row>
    <row r="384" spans="1:8" ht="15.75" customHeight="1" x14ac:dyDescent="0.25">
      <c r="A384" s="9">
        <v>382</v>
      </c>
      <c r="B384" s="9">
        <v>383</v>
      </c>
      <c r="C384" s="9">
        <v>0.1515</v>
      </c>
      <c r="D384" s="9">
        <v>0.5</v>
      </c>
      <c r="E384" s="9">
        <v>0.25369999999999998</v>
      </c>
      <c r="F384" s="9">
        <v>7</v>
      </c>
      <c r="G384" s="9">
        <v>50</v>
      </c>
      <c r="H384" s="9">
        <v>57</v>
      </c>
    </row>
    <row r="385" spans="1:8" ht="15.75" customHeight="1" x14ac:dyDescent="0.25">
      <c r="A385" s="9">
        <v>383</v>
      </c>
      <c r="B385" s="9">
        <v>384</v>
      </c>
      <c r="C385" s="9">
        <v>0.1515</v>
      </c>
      <c r="D385" s="9">
        <v>0.55000000000000004</v>
      </c>
      <c r="E385" s="9">
        <v>0.19400000000000001</v>
      </c>
      <c r="F385" s="9">
        <v>9</v>
      </c>
      <c r="G385" s="9">
        <v>55</v>
      </c>
      <c r="H385" s="9">
        <v>64</v>
      </c>
    </row>
    <row r="386" spans="1:8" ht="15.75" customHeight="1" x14ac:dyDescent="0.25">
      <c r="A386" s="9">
        <v>384</v>
      </c>
      <c r="B386" s="9">
        <v>385</v>
      </c>
      <c r="C386" s="9">
        <v>0.19700000000000001</v>
      </c>
      <c r="D386" s="9">
        <v>0.47</v>
      </c>
      <c r="E386" s="9">
        <v>0.1343</v>
      </c>
      <c r="F386" s="9">
        <v>10</v>
      </c>
      <c r="G386" s="9">
        <v>70</v>
      </c>
      <c r="H386" s="9">
        <v>80</v>
      </c>
    </row>
    <row r="387" spans="1:8" ht="15.75" customHeight="1" x14ac:dyDescent="0.25">
      <c r="A387" s="9">
        <v>385</v>
      </c>
      <c r="B387" s="9">
        <v>386</v>
      </c>
      <c r="C387" s="9">
        <v>0.19700000000000001</v>
      </c>
      <c r="D387" s="9">
        <v>0.47</v>
      </c>
      <c r="E387" s="9">
        <v>0.1343</v>
      </c>
      <c r="F387" s="9">
        <v>13</v>
      </c>
      <c r="G387" s="9">
        <v>80</v>
      </c>
      <c r="H387" s="9">
        <v>93</v>
      </c>
    </row>
    <row r="388" spans="1:8" ht="15.75" customHeight="1" x14ac:dyDescent="0.25">
      <c r="A388" s="9">
        <v>386</v>
      </c>
      <c r="B388" s="9">
        <v>387</v>
      </c>
      <c r="C388" s="9">
        <v>0.21210000000000001</v>
      </c>
      <c r="D388" s="9">
        <v>0.43</v>
      </c>
      <c r="E388" s="9">
        <v>0.1045</v>
      </c>
      <c r="F388" s="9">
        <v>12</v>
      </c>
      <c r="G388" s="9">
        <v>74</v>
      </c>
      <c r="H388" s="9">
        <v>86</v>
      </c>
    </row>
    <row r="389" spans="1:8" ht="15.75" customHeight="1" x14ac:dyDescent="0.25">
      <c r="A389" s="9">
        <v>387</v>
      </c>
      <c r="B389" s="9">
        <v>388</v>
      </c>
      <c r="C389" s="9">
        <v>0.21210000000000001</v>
      </c>
      <c r="D389" s="9">
        <v>0.47</v>
      </c>
      <c r="E389" s="9">
        <v>0.16420000000000001</v>
      </c>
      <c r="F389" s="9">
        <v>21</v>
      </c>
      <c r="G389" s="9">
        <v>72</v>
      </c>
      <c r="H389" s="9">
        <v>93</v>
      </c>
    </row>
    <row r="390" spans="1:8" ht="15.75" customHeight="1" x14ac:dyDescent="0.25">
      <c r="A390" s="9">
        <v>388</v>
      </c>
      <c r="B390" s="9">
        <v>389</v>
      </c>
      <c r="C390" s="9">
        <v>0.21210000000000001</v>
      </c>
      <c r="D390" s="9">
        <v>0.47</v>
      </c>
      <c r="E390" s="9">
        <v>0.16420000000000001</v>
      </c>
      <c r="F390" s="9">
        <v>6</v>
      </c>
      <c r="G390" s="9">
        <v>76</v>
      </c>
      <c r="H390" s="9">
        <v>82</v>
      </c>
    </row>
    <row r="391" spans="1:8" ht="15.75" customHeight="1" x14ac:dyDescent="0.25">
      <c r="A391" s="9">
        <v>389</v>
      </c>
      <c r="B391" s="9">
        <v>390</v>
      </c>
      <c r="C391" s="9">
        <v>0.19700000000000001</v>
      </c>
      <c r="D391" s="9">
        <v>0.51</v>
      </c>
      <c r="E391" s="9">
        <v>0.19400000000000001</v>
      </c>
      <c r="F391" s="9">
        <v>4</v>
      </c>
      <c r="G391" s="9">
        <v>67</v>
      </c>
      <c r="H391" s="9">
        <v>71</v>
      </c>
    </row>
    <row r="392" spans="1:8" ht="15.75" customHeight="1" x14ac:dyDescent="0.25">
      <c r="A392" s="9">
        <v>390</v>
      </c>
      <c r="B392" s="9">
        <v>391</v>
      </c>
      <c r="C392" s="9">
        <v>0.16669999999999999</v>
      </c>
      <c r="D392" s="9">
        <v>0.55000000000000004</v>
      </c>
      <c r="E392" s="9">
        <v>0.25369999999999998</v>
      </c>
      <c r="F392" s="9">
        <v>7</v>
      </c>
      <c r="G392" s="9">
        <v>85</v>
      </c>
      <c r="H392" s="9">
        <v>92</v>
      </c>
    </row>
    <row r="393" spans="1:8" ht="15.75" customHeight="1" x14ac:dyDescent="0.25">
      <c r="A393" s="9">
        <v>391</v>
      </c>
      <c r="B393" s="9">
        <v>392</v>
      </c>
      <c r="C393" s="9">
        <v>0.18179999999999999</v>
      </c>
      <c r="D393" s="9">
        <v>0.59</v>
      </c>
      <c r="E393" s="9">
        <v>0.19400000000000001</v>
      </c>
      <c r="F393" s="9">
        <v>2</v>
      </c>
      <c r="G393" s="9">
        <v>58</v>
      </c>
      <c r="H393" s="9">
        <v>60</v>
      </c>
    </row>
    <row r="394" spans="1:8" ht="15.75" customHeight="1" x14ac:dyDescent="0.25">
      <c r="A394" s="9">
        <v>392</v>
      </c>
      <c r="B394" s="9">
        <v>393</v>
      </c>
      <c r="C394" s="9">
        <v>0.1515</v>
      </c>
      <c r="D394" s="9">
        <v>0.8</v>
      </c>
      <c r="E394" s="9">
        <v>0.19400000000000001</v>
      </c>
      <c r="F394" s="9">
        <v>4</v>
      </c>
      <c r="G394" s="9">
        <v>29</v>
      </c>
      <c r="H394" s="9">
        <v>33</v>
      </c>
    </row>
    <row r="395" spans="1:8" ht="15.75" customHeight="1" x14ac:dyDescent="0.25">
      <c r="A395" s="9">
        <v>393</v>
      </c>
      <c r="B395" s="9">
        <v>394</v>
      </c>
      <c r="C395" s="9">
        <v>0.1515</v>
      </c>
      <c r="D395" s="9">
        <v>0.8</v>
      </c>
      <c r="E395" s="9">
        <v>0.19400000000000001</v>
      </c>
      <c r="F395" s="9">
        <v>3</v>
      </c>
      <c r="G395" s="9">
        <v>24</v>
      </c>
      <c r="H395" s="9">
        <v>27</v>
      </c>
    </row>
    <row r="396" spans="1:8" ht="15.75" customHeight="1" x14ac:dyDescent="0.25">
      <c r="A396" s="9">
        <v>394</v>
      </c>
      <c r="B396" s="9">
        <v>395</v>
      </c>
      <c r="C396" s="9">
        <v>0.1212</v>
      </c>
      <c r="D396" s="9">
        <v>0.93</v>
      </c>
      <c r="E396" s="9">
        <v>0.25369999999999998</v>
      </c>
      <c r="F396" s="9">
        <v>0</v>
      </c>
      <c r="G396" s="9">
        <v>13</v>
      </c>
      <c r="H396" s="9">
        <v>13</v>
      </c>
    </row>
    <row r="397" spans="1:8" ht="15.75" customHeight="1" x14ac:dyDescent="0.25">
      <c r="A397" s="9">
        <v>395</v>
      </c>
      <c r="B397" s="9">
        <v>396</v>
      </c>
      <c r="C397" s="9">
        <v>0.13639999999999999</v>
      </c>
      <c r="D397" s="9">
        <v>0.86</v>
      </c>
      <c r="E397" s="9">
        <v>0.28360000000000002</v>
      </c>
      <c r="F397" s="9">
        <v>1</v>
      </c>
      <c r="G397" s="9">
        <v>3</v>
      </c>
      <c r="H397" s="9">
        <v>4</v>
      </c>
    </row>
    <row r="398" spans="1:8" ht="15.75" customHeight="1" x14ac:dyDescent="0.25">
      <c r="A398" s="9">
        <v>396</v>
      </c>
      <c r="B398" s="9">
        <v>397</v>
      </c>
      <c r="C398" s="9">
        <v>0.18179999999999999</v>
      </c>
      <c r="D398" s="9">
        <v>0.86</v>
      </c>
      <c r="E398" s="9">
        <v>0.32840000000000003</v>
      </c>
      <c r="F398" s="9">
        <v>0</v>
      </c>
      <c r="G398" s="9">
        <v>3</v>
      </c>
      <c r="H398" s="9">
        <v>3</v>
      </c>
    </row>
    <row r="399" spans="1:8" ht="15.75" customHeight="1" x14ac:dyDescent="0.25">
      <c r="A399" s="9">
        <v>397</v>
      </c>
      <c r="B399" s="9">
        <v>398</v>
      </c>
      <c r="C399" s="9">
        <v>0.19700000000000001</v>
      </c>
      <c r="D399" s="9">
        <v>0.86</v>
      </c>
      <c r="E399" s="9">
        <v>0.22389999999999999</v>
      </c>
      <c r="F399" s="9">
        <v>0</v>
      </c>
      <c r="G399" s="9">
        <v>22</v>
      </c>
      <c r="H399" s="9">
        <v>22</v>
      </c>
    </row>
    <row r="400" spans="1:8" ht="15.75" customHeight="1" x14ac:dyDescent="0.25">
      <c r="A400" s="9">
        <v>398</v>
      </c>
      <c r="B400" s="9">
        <v>399</v>
      </c>
      <c r="C400" s="9">
        <v>0.2273</v>
      </c>
      <c r="D400" s="9">
        <v>0.8</v>
      </c>
      <c r="E400" s="9">
        <v>0.16420000000000001</v>
      </c>
      <c r="F400" s="9">
        <v>2</v>
      </c>
      <c r="G400" s="9">
        <v>26</v>
      </c>
      <c r="H400" s="9">
        <v>28</v>
      </c>
    </row>
    <row r="401" spans="1:8" ht="15.75" customHeight="1" x14ac:dyDescent="0.25">
      <c r="A401" s="9">
        <v>399</v>
      </c>
      <c r="B401" s="9">
        <v>400</v>
      </c>
      <c r="C401" s="9">
        <v>0.2273</v>
      </c>
      <c r="D401" s="9">
        <v>0.87</v>
      </c>
      <c r="E401" s="9">
        <v>0.16420000000000001</v>
      </c>
      <c r="F401" s="9">
        <v>3</v>
      </c>
      <c r="G401" s="9">
        <v>32</v>
      </c>
      <c r="H401" s="9">
        <v>35</v>
      </c>
    </row>
    <row r="402" spans="1:8" ht="15.75" customHeight="1" x14ac:dyDescent="0.25">
      <c r="A402" s="9">
        <v>400</v>
      </c>
      <c r="B402" s="9">
        <v>401</v>
      </c>
      <c r="C402" s="9">
        <v>0.2273</v>
      </c>
      <c r="D402" s="9">
        <v>0.87</v>
      </c>
      <c r="E402" s="9">
        <v>0.19400000000000001</v>
      </c>
      <c r="F402" s="9">
        <v>0</v>
      </c>
      <c r="G402" s="9">
        <v>61</v>
      </c>
      <c r="H402" s="9">
        <v>61</v>
      </c>
    </row>
    <row r="403" spans="1:8" ht="15.75" customHeight="1" x14ac:dyDescent="0.25">
      <c r="A403" s="9">
        <v>401</v>
      </c>
      <c r="B403" s="9">
        <v>402</v>
      </c>
      <c r="C403" s="9">
        <v>0.2273</v>
      </c>
      <c r="D403" s="9">
        <v>0.82</v>
      </c>
      <c r="E403" s="9">
        <v>0.19400000000000001</v>
      </c>
      <c r="F403" s="9">
        <v>1</v>
      </c>
      <c r="G403" s="9">
        <v>124</v>
      </c>
      <c r="H403" s="9">
        <v>125</v>
      </c>
    </row>
    <row r="404" spans="1:8" ht="15.75" customHeight="1" x14ac:dyDescent="0.25">
      <c r="A404" s="9">
        <v>402</v>
      </c>
      <c r="B404" s="9">
        <v>403</v>
      </c>
      <c r="C404" s="9">
        <v>0.2273</v>
      </c>
      <c r="D404" s="9">
        <v>0.8</v>
      </c>
      <c r="E404" s="9">
        <v>0.16420000000000001</v>
      </c>
      <c r="F404" s="9">
        <v>1</v>
      </c>
      <c r="G404" s="9">
        <v>132</v>
      </c>
      <c r="H404" s="9">
        <v>133</v>
      </c>
    </row>
    <row r="405" spans="1:8" ht="15.75" customHeight="1" x14ac:dyDescent="0.25">
      <c r="A405" s="9">
        <v>403</v>
      </c>
      <c r="B405" s="9">
        <v>404</v>
      </c>
      <c r="C405" s="9">
        <v>0.2273</v>
      </c>
      <c r="D405" s="9">
        <v>0.8</v>
      </c>
      <c r="E405" s="9">
        <v>0.1343</v>
      </c>
      <c r="F405" s="9">
        <v>1</v>
      </c>
      <c r="G405" s="9">
        <v>98</v>
      </c>
      <c r="H405" s="9">
        <v>99</v>
      </c>
    </row>
    <row r="406" spans="1:8" ht="15.75" customHeight="1" x14ac:dyDescent="0.25">
      <c r="A406" s="9">
        <v>404</v>
      </c>
      <c r="B406" s="9">
        <v>405</v>
      </c>
      <c r="C406" s="9">
        <v>0.2727</v>
      </c>
      <c r="D406" s="9">
        <v>0.87</v>
      </c>
      <c r="E406" s="9">
        <v>0</v>
      </c>
      <c r="F406" s="9">
        <v>0</v>
      </c>
      <c r="G406" s="9">
        <v>83</v>
      </c>
      <c r="H406" s="9">
        <v>83</v>
      </c>
    </row>
    <row r="407" spans="1:8" ht="15.75" customHeight="1" x14ac:dyDescent="0.25">
      <c r="A407" s="9">
        <v>405</v>
      </c>
      <c r="B407" s="9">
        <v>406</v>
      </c>
      <c r="C407" s="9">
        <v>0.2424</v>
      </c>
      <c r="D407" s="9">
        <v>0.93</v>
      </c>
      <c r="E407" s="9">
        <v>0.1045</v>
      </c>
      <c r="F407" s="9">
        <v>0</v>
      </c>
      <c r="G407" s="9">
        <v>41</v>
      </c>
      <c r="H407" s="9">
        <v>41</v>
      </c>
    </row>
    <row r="408" spans="1:8" ht="15.75" customHeight="1" x14ac:dyDescent="0.25">
      <c r="A408" s="9">
        <v>406</v>
      </c>
      <c r="B408" s="9">
        <v>407</v>
      </c>
      <c r="C408" s="9">
        <v>0.2576</v>
      </c>
      <c r="D408" s="9">
        <v>0.93</v>
      </c>
      <c r="E408" s="9">
        <v>8.9599999999999999E-2</v>
      </c>
      <c r="F408" s="9">
        <v>0</v>
      </c>
      <c r="G408" s="9">
        <v>33</v>
      </c>
      <c r="H408" s="9">
        <v>33</v>
      </c>
    </row>
    <row r="409" spans="1:8" ht="15.75" customHeight="1" x14ac:dyDescent="0.25">
      <c r="A409" s="9">
        <v>407</v>
      </c>
      <c r="B409" s="9">
        <v>408</v>
      </c>
      <c r="C409" s="9">
        <v>0.2727</v>
      </c>
      <c r="D409" s="9">
        <v>0.93</v>
      </c>
      <c r="E409" s="9">
        <v>0</v>
      </c>
      <c r="F409" s="9">
        <v>1</v>
      </c>
      <c r="G409" s="9">
        <v>19</v>
      </c>
      <c r="H409" s="9">
        <v>20</v>
      </c>
    </row>
    <row r="410" spans="1:8" ht="15.75" customHeight="1" x14ac:dyDescent="0.25">
      <c r="A410" s="9">
        <v>408</v>
      </c>
      <c r="B410" s="9">
        <v>409</v>
      </c>
      <c r="C410" s="9">
        <v>0.2727</v>
      </c>
      <c r="D410" s="9">
        <v>0.93</v>
      </c>
      <c r="E410" s="9">
        <v>0</v>
      </c>
      <c r="F410" s="9">
        <v>0</v>
      </c>
      <c r="G410" s="9">
        <v>3</v>
      </c>
      <c r="H410" s="9">
        <v>3</v>
      </c>
    </row>
    <row r="411" spans="1:8" ht="15.75" customHeight="1" x14ac:dyDescent="0.25">
      <c r="A411" s="9">
        <v>409</v>
      </c>
      <c r="B411" s="9">
        <v>410</v>
      </c>
      <c r="C411" s="9">
        <v>0.2273</v>
      </c>
      <c r="D411" s="9">
        <v>0.93</v>
      </c>
      <c r="E411" s="9">
        <v>0.1343</v>
      </c>
      <c r="F411" s="9">
        <v>1</v>
      </c>
      <c r="G411" s="9">
        <v>6</v>
      </c>
      <c r="H411" s="9">
        <v>7</v>
      </c>
    </row>
    <row r="412" spans="1:8" ht="15.75" customHeight="1" x14ac:dyDescent="0.25">
      <c r="A412" s="9">
        <v>410</v>
      </c>
      <c r="B412" s="9">
        <v>411</v>
      </c>
      <c r="C412" s="9">
        <v>0.2273</v>
      </c>
      <c r="D412" s="9">
        <v>0.93</v>
      </c>
      <c r="E412" s="9">
        <v>0.1343</v>
      </c>
      <c r="F412" s="9">
        <v>0</v>
      </c>
      <c r="G412" s="9">
        <v>3</v>
      </c>
      <c r="H412" s="9">
        <v>3</v>
      </c>
    </row>
    <row r="413" spans="1:8" ht="15.75" customHeight="1" x14ac:dyDescent="0.25">
      <c r="A413" s="9">
        <v>411</v>
      </c>
      <c r="B413" s="9">
        <v>412</v>
      </c>
      <c r="C413" s="9">
        <v>0.2273</v>
      </c>
      <c r="D413" s="9">
        <v>0.93</v>
      </c>
      <c r="E413" s="9">
        <v>0.1343</v>
      </c>
      <c r="F413" s="9">
        <v>1</v>
      </c>
      <c r="G413" s="9">
        <v>1</v>
      </c>
      <c r="H413" s="9">
        <v>2</v>
      </c>
    </row>
    <row r="414" spans="1:8" ht="15.75" customHeight="1" x14ac:dyDescent="0.25">
      <c r="A414" s="9">
        <v>412</v>
      </c>
      <c r="B414" s="9">
        <v>413</v>
      </c>
      <c r="C414" s="9">
        <v>0.2576</v>
      </c>
      <c r="D414" s="9">
        <v>0.93</v>
      </c>
      <c r="E414" s="9">
        <v>8.9599999999999999E-2</v>
      </c>
      <c r="F414" s="9">
        <v>0</v>
      </c>
      <c r="G414" s="9">
        <v>7</v>
      </c>
      <c r="H414" s="9">
        <v>7</v>
      </c>
    </row>
    <row r="415" spans="1:8" ht="15.75" customHeight="1" x14ac:dyDescent="0.25">
      <c r="A415" s="9">
        <v>413</v>
      </c>
      <c r="B415" s="9">
        <v>414</v>
      </c>
      <c r="C415" s="9">
        <v>0.2576</v>
      </c>
      <c r="D415" s="9">
        <v>0.93</v>
      </c>
      <c r="E415" s="9">
        <v>8.9599999999999999E-2</v>
      </c>
      <c r="F415" s="9">
        <v>0</v>
      </c>
      <c r="G415" s="9">
        <v>32</v>
      </c>
      <c r="H415" s="9">
        <v>32</v>
      </c>
    </row>
    <row r="416" spans="1:8" ht="15.75" customHeight="1" x14ac:dyDescent="0.25">
      <c r="A416" s="9">
        <v>414</v>
      </c>
      <c r="B416" s="9">
        <v>415</v>
      </c>
      <c r="C416" s="9">
        <v>0.2576</v>
      </c>
      <c r="D416" s="9">
        <v>0.92</v>
      </c>
      <c r="E416" s="9">
        <v>0.1045</v>
      </c>
      <c r="F416" s="9">
        <v>1</v>
      </c>
      <c r="G416" s="9">
        <v>89</v>
      </c>
      <c r="H416" s="9">
        <v>90</v>
      </c>
    </row>
    <row r="417" spans="1:8" ht="15.75" customHeight="1" x14ac:dyDescent="0.25">
      <c r="A417" s="9">
        <v>415</v>
      </c>
      <c r="B417" s="9">
        <v>416</v>
      </c>
      <c r="C417" s="9">
        <v>0.2576</v>
      </c>
      <c r="D417" s="9">
        <v>0.93</v>
      </c>
      <c r="E417" s="9">
        <v>0.1045</v>
      </c>
      <c r="F417" s="9">
        <v>1</v>
      </c>
      <c r="G417" s="9">
        <v>196</v>
      </c>
      <c r="H417" s="9">
        <v>197</v>
      </c>
    </row>
    <row r="418" spans="1:8" ht="15.75" customHeight="1" x14ac:dyDescent="0.25">
      <c r="A418" s="9">
        <v>416</v>
      </c>
      <c r="B418" s="9">
        <v>417</v>
      </c>
      <c r="C418" s="9">
        <v>0.2576</v>
      </c>
      <c r="D418" s="9">
        <v>0.93</v>
      </c>
      <c r="E418" s="9">
        <v>0.1045</v>
      </c>
      <c r="F418" s="9">
        <v>2</v>
      </c>
      <c r="G418" s="9">
        <v>107</v>
      </c>
      <c r="H418" s="9">
        <v>109</v>
      </c>
    </row>
    <row r="419" spans="1:8" ht="15.75" customHeight="1" x14ac:dyDescent="0.25">
      <c r="A419" s="9">
        <v>417</v>
      </c>
      <c r="B419" s="9">
        <v>418</v>
      </c>
      <c r="C419" s="9">
        <v>0.2727</v>
      </c>
      <c r="D419" s="9">
        <v>0.93</v>
      </c>
      <c r="E419" s="9">
        <v>0.1343</v>
      </c>
      <c r="F419" s="9">
        <v>1</v>
      </c>
      <c r="G419" s="9">
        <v>46</v>
      </c>
      <c r="H419" s="9">
        <v>47</v>
      </c>
    </row>
    <row r="420" spans="1:8" ht="15.75" customHeight="1" x14ac:dyDescent="0.25">
      <c r="A420" s="9">
        <v>418</v>
      </c>
      <c r="B420" s="9">
        <v>419</v>
      </c>
      <c r="C420" s="9">
        <v>0.30299999999999999</v>
      </c>
      <c r="D420" s="9">
        <v>0.87</v>
      </c>
      <c r="E420" s="9">
        <v>8.9599999999999999E-2</v>
      </c>
      <c r="F420" s="9">
        <v>5</v>
      </c>
      <c r="G420" s="9">
        <v>47</v>
      </c>
      <c r="H420" s="9">
        <v>52</v>
      </c>
    </row>
    <row r="421" spans="1:8" ht="15.75" customHeight="1" x14ac:dyDescent="0.25">
      <c r="A421" s="9">
        <v>419</v>
      </c>
      <c r="B421" s="9">
        <v>420</v>
      </c>
      <c r="C421" s="9">
        <v>0.31819999999999998</v>
      </c>
      <c r="D421" s="9">
        <v>0.81</v>
      </c>
      <c r="E421" s="9">
        <v>8.9599999999999999E-2</v>
      </c>
      <c r="F421" s="9">
        <v>5</v>
      </c>
      <c r="G421" s="9">
        <v>65</v>
      </c>
      <c r="H421" s="9">
        <v>70</v>
      </c>
    </row>
    <row r="422" spans="1:8" ht="15.75" customHeight="1" x14ac:dyDescent="0.25">
      <c r="A422" s="9">
        <v>420</v>
      </c>
      <c r="B422" s="9">
        <v>421</v>
      </c>
      <c r="C422" s="9">
        <v>0.40910000000000002</v>
      </c>
      <c r="D422" s="9">
        <v>0.62</v>
      </c>
      <c r="E422" s="9">
        <v>0.28360000000000002</v>
      </c>
      <c r="F422" s="9">
        <v>11</v>
      </c>
      <c r="G422" s="9">
        <v>67</v>
      </c>
      <c r="H422" s="9">
        <v>78</v>
      </c>
    </row>
    <row r="423" spans="1:8" ht="15.75" customHeight="1" x14ac:dyDescent="0.25">
      <c r="A423" s="9">
        <v>421</v>
      </c>
      <c r="B423" s="9">
        <v>422</v>
      </c>
      <c r="C423" s="9">
        <v>0.40910000000000002</v>
      </c>
      <c r="D423" s="9">
        <v>0.57999999999999996</v>
      </c>
      <c r="E423" s="9">
        <v>0.25369999999999998</v>
      </c>
      <c r="F423" s="9">
        <v>7</v>
      </c>
      <c r="G423" s="9">
        <v>68</v>
      </c>
      <c r="H423" s="9">
        <v>75</v>
      </c>
    </row>
    <row r="424" spans="1:8" ht="15.75" customHeight="1" x14ac:dyDescent="0.25">
      <c r="A424" s="9">
        <v>422</v>
      </c>
      <c r="B424" s="9">
        <v>423</v>
      </c>
      <c r="C424" s="9">
        <v>0.40910000000000002</v>
      </c>
      <c r="D424" s="9">
        <v>0.54</v>
      </c>
      <c r="E424" s="9">
        <v>0.28360000000000002</v>
      </c>
      <c r="F424" s="9">
        <v>4</v>
      </c>
      <c r="G424" s="9">
        <v>78</v>
      </c>
      <c r="H424" s="9">
        <v>82</v>
      </c>
    </row>
    <row r="425" spans="1:8" ht="15.75" customHeight="1" x14ac:dyDescent="0.25">
      <c r="A425" s="9">
        <v>423</v>
      </c>
      <c r="B425" s="9">
        <v>424</v>
      </c>
      <c r="C425" s="9">
        <v>0.39389999999999997</v>
      </c>
      <c r="D425" s="9">
        <v>0.57999999999999996</v>
      </c>
      <c r="E425" s="9">
        <v>0.3881</v>
      </c>
      <c r="F425" s="9">
        <v>10</v>
      </c>
      <c r="G425" s="9">
        <v>94</v>
      </c>
      <c r="H425" s="9">
        <v>104</v>
      </c>
    </row>
    <row r="426" spans="1:8" ht="15.75" customHeight="1" x14ac:dyDescent="0.25">
      <c r="A426" s="9">
        <v>424</v>
      </c>
      <c r="B426" s="9">
        <v>425</v>
      </c>
      <c r="C426" s="9">
        <v>0.33329999999999999</v>
      </c>
      <c r="D426" s="9">
        <v>0.56999999999999995</v>
      </c>
      <c r="E426" s="9">
        <v>0.32840000000000003</v>
      </c>
      <c r="F426" s="9">
        <v>7</v>
      </c>
      <c r="G426" s="9">
        <v>190</v>
      </c>
      <c r="H426" s="9">
        <v>197</v>
      </c>
    </row>
    <row r="427" spans="1:8" ht="15.75" customHeight="1" x14ac:dyDescent="0.25">
      <c r="A427" s="9">
        <v>425</v>
      </c>
      <c r="B427" s="9">
        <v>426</v>
      </c>
      <c r="C427" s="9">
        <v>0.31819999999999998</v>
      </c>
      <c r="D427" s="9">
        <v>0.61</v>
      </c>
      <c r="E427" s="9">
        <v>0.28360000000000002</v>
      </c>
      <c r="F427" s="9">
        <v>5</v>
      </c>
      <c r="G427" s="9">
        <v>156</v>
      </c>
      <c r="H427" s="9">
        <v>161</v>
      </c>
    </row>
    <row r="428" spans="1:8" ht="15.75" customHeight="1" x14ac:dyDescent="0.25">
      <c r="A428" s="9">
        <v>426</v>
      </c>
      <c r="B428" s="9">
        <v>427</v>
      </c>
      <c r="C428" s="9">
        <v>0.28789999999999999</v>
      </c>
      <c r="D428" s="9">
        <v>0.56999999999999995</v>
      </c>
      <c r="E428" s="9">
        <v>0.41789999999999999</v>
      </c>
      <c r="F428" s="9">
        <v>4</v>
      </c>
      <c r="G428" s="9">
        <v>108</v>
      </c>
      <c r="H428" s="9">
        <v>112</v>
      </c>
    </row>
    <row r="429" spans="1:8" ht="15.75" customHeight="1" x14ac:dyDescent="0.25">
      <c r="A429" s="9">
        <v>427</v>
      </c>
      <c r="B429" s="9">
        <v>428</v>
      </c>
      <c r="C429" s="9">
        <v>0.30299999999999999</v>
      </c>
      <c r="D429" s="9">
        <v>0.49</v>
      </c>
      <c r="E429" s="9">
        <v>0.29849999999999999</v>
      </c>
      <c r="F429" s="9">
        <v>2</v>
      </c>
      <c r="G429" s="9">
        <v>74</v>
      </c>
      <c r="H429" s="9">
        <v>76</v>
      </c>
    </row>
    <row r="430" spans="1:8" ht="15.75" customHeight="1" x14ac:dyDescent="0.25">
      <c r="A430" s="9">
        <v>428</v>
      </c>
      <c r="B430" s="9">
        <v>429</v>
      </c>
      <c r="C430" s="9">
        <v>0.28789999999999999</v>
      </c>
      <c r="D430" s="9">
        <v>0.49</v>
      </c>
      <c r="E430" s="9">
        <v>0.41789999999999999</v>
      </c>
      <c r="F430" s="9">
        <v>4</v>
      </c>
      <c r="G430" s="9">
        <v>55</v>
      </c>
      <c r="H430" s="9">
        <v>59</v>
      </c>
    </row>
    <row r="431" spans="1:8" ht="15.75" customHeight="1" x14ac:dyDescent="0.25">
      <c r="A431" s="9">
        <v>429</v>
      </c>
      <c r="B431" s="9">
        <v>430</v>
      </c>
      <c r="C431" s="9">
        <v>0.30299999999999999</v>
      </c>
      <c r="D431" s="9">
        <v>0.52</v>
      </c>
      <c r="E431" s="9">
        <v>0.16420000000000001</v>
      </c>
      <c r="F431" s="9">
        <v>6</v>
      </c>
      <c r="G431" s="9">
        <v>53</v>
      </c>
      <c r="H431" s="9">
        <v>59</v>
      </c>
    </row>
    <row r="432" spans="1:8" ht="15.75" customHeight="1" x14ac:dyDescent="0.25">
      <c r="A432" s="9">
        <v>430</v>
      </c>
      <c r="B432" s="9">
        <v>431</v>
      </c>
      <c r="C432" s="9">
        <v>0.2727</v>
      </c>
      <c r="D432" s="9">
        <v>0.52</v>
      </c>
      <c r="E432" s="9">
        <v>0.4627</v>
      </c>
      <c r="F432" s="9">
        <v>1</v>
      </c>
      <c r="G432" s="9">
        <v>27</v>
      </c>
      <c r="H432" s="9">
        <v>28</v>
      </c>
    </row>
    <row r="433" spans="1:8" ht="15.75" customHeight="1" x14ac:dyDescent="0.25">
      <c r="A433" s="9">
        <v>431</v>
      </c>
      <c r="B433" s="9">
        <v>432</v>
      </c>
      <c r="C433" s="9">
        <v>0.2273</v>
      </c>
      <c r="D433" s="9">
        <v>0.56000000000000005</v>
      </c>
      <c r="E433" s="9">
        <v>0.3881</v>
      </c>
      <c r="F433" s="9">
        <v>5</v>
      </c>
      <c r="G433" s="9">
        <v>8</v>
      </c>
      <c r="H433" s="9">
        <v>13</v>
      </c>
    </row>
    <row r="434" spans="1:8" ht="15.75" customHeight="1" x14ac:dyDescent="0.25">
      <c r="A434" s="9">
        <v>432</v>
      </c>
      <c r="B434" s="9">
        <v>433</v>
      </c>
      <c r="C434" s="9">
        <v>0.2727</v>
      </c>
      <c r="D434" s="9">
        <v>0.56000000000000005</v>
      </c>
      <c r="E434" s="9">
        <v>0</v>
      </c>
      <c r="F434" s="9">
        <v>2</v>
      </c>
      <c r="G434" s="9">
        <v>3</v>
      </c>
      <c r="H434" s="9">
        <v>5</v>
      </c>
    </row>
    <row r="435" spans="1:8" ht="15.75" customHeight="1" x14ac:dyDescent="0.25">
      <c r="A435" s="9">
        <v>433</v>
      </c>
      <c r="B435" s="9">
        <v>434</v>
      </c>
      <c r="C435" s="9">
        <v>0.2727</v>
      </c>
      <c r="D435" s="9">
        <v>0.56000000000000005</v>
      </c>
      <c r="E435" s="9">
        <v>0</v>
      </c>
      <c r="F435" s="9">
        <v>0</v>
      </c>
      <c r="G435" s="9">
        <v>2</v>
      </c>
      <c r="H435" s="9">
        <v>2</v>
      </c>
    </row>
    <row r="436" spans="1:8" ht="15.75" customHeight="1" x14ac:dyDescent="0.25">
      <c r="A436" s="9">
        <v>434</v>
      </c>
      <c r="B436" s="9">
        <v>435</v>
      </c>
      <c r="C436" s="9">
        <v>0.2576</v>
      </c>
      <c r="D436" s="9">
        <v>0.56000000000000005</v>
      </c>
      <c r="E436" s="9">
        <v>0.16420000000000001</v>
      </c>
      <c r="F436" s="9">
        <v>0</v>
      </c>
      <c r="G436" s="9">
        <v>1</v>
      </c>
      <c r="H436" s="9">
        <v>1</v>
      </c>
    </row>
    <row r="437" spans="1:8" ht="15.75" customHeight="1" x14ac:dyDescent="0.25">
      <c r="A437" s="9">
        <v>435</v>
      </c>
      <c r="B437" s="9">
        <v>436</v>
      </c>
      <c r="C437" s="9">
        <v>0.2576</v>
      </c>
      <c r="D437" s="9">
        <v>0.56000000000000005</v>
      </c>
      <c r="E437" s="9">
        <v>0.16420000000000001</v>
      </c>
      <c r="F437" s="9">
        <v>0</v>
      </c>
      <c r="G437" s="9">
        <v>1</v>
      </c>
      <c r="H437" s="9">
        <v>1</v>
      </c>
    </row>
    <row r="438" spans="1:8" ht="15.75" customHeight="1" x14ac:dyDescent="0.25">
      <c r="A438" s="9">
        <v>436</v>
      </c>
      <c r="B438" s="9">
        <v>437</v>
      </c>
      <c r="C438" s="9">
        <v>0.2273</v>
      </c>
      <c r="D438" s="9">
        <v>0.6</v>
      </c>
      <c r="E438" s="9">
        <v>0.22389999999999999</v>
      </c>
      <c r="F438" s="9">
        <v>0</v>
      </c>
      <c r="G438" s="9">
        <v>6</v>
      </c>
      <c r="H438" s="9">
        <v>6</v>
      </c>
    </row>
    <row r="439" spans="1:8" ht="15.75" customHeight="1" x14ac:dyDescent="0.25">
      <c r="A439" s="9">
        <v>437</v>
      </c>
      <c r="B439" s="9">
        <v>438</v>
      </c>
      <c r="C439" s="9">
        <v>0.21210000000000001</v>
      </c>
      <c r="D439" s="9">
        <v>0.6</v>
      </c>
      <c r="E439" s="9">
        <v>0.22389999999999999</v>
      </c>
      <c r="F439" s="9">
        <v>0</v>
      </c>
      <c r="G439" s="9">
        <v>35</v>
      </c>
      <c r="H439" s="9">
        <v>35</v>
      </c>
    </row>
    <row r="440" spans="1:8" ht="15.75" customHeight="1" x14ac:dyDescent="0.25">
      <c r="A440" s="9">
        <v>438</v>
      </c>
      <c r="B440" s="9">
        <v>439</v>
      </c>
      <c r="C440" s="9">
        <v>0.21210000000000001</v>
      </c>
      <c r="D440" s="9">
        <v>0.55000000000000004</v>
      </c>
      <c r="E440" s="9">
        <v>0.22389999999999999</v>
      </c>
      <c r="F440" s="9">
        <v>1</v>
      </c>
      <c r="G440" s="9">
        <v>100</v>
      </c>
      <c r="H440" s="9">
        <v>101</v>
      </c>
    </row>
    <row r="441" spans="1:8" ht="15.75" customHeight="1" x14ac:dyDescent="0.25">
      <c r="A441" s="9">
        <v>439</v>
      </c>
      <c r="B441" s="9">
        <v>440</v>
      </c>
      <c r="C441" s="9">
        <v>0.21210000000000001</v>
      </c>
      <c r="D441" s="9">
        <v>0.55000000000000004</v>
      </c>
      <c r="E441" s="9">
        <v>0.28360000000000002</v>
      </c>
      <c r="F441" s="9">
        <v>2</v>
      </c>
      <c r="G441" s="9">
        <v>247</v>
      </c>
      <c r="H441" s="9">
        <v>249</v>
      </c>
    </row>
    <row r="442" spans="1:8" ht="15.75" customHeight="1" x14ac:dyDescent="0.25">
      <c r="A442" s="9">
        <v>440</v>
      </c>
      <c r="B442" s="9">
        <v>441</v>
      </c>
      <c r="C442" s="9">
        <v>0.2273</v>
      </c>
      <c r="D442" s="9">
        <v>0.52</v>
      </c>
      <c r="E442" s="9">
        <v>0.22389999999999999</v>
      </c>
      <c r="F442" s="9">
        <v>3</v>
      </c>
      <c r="G442" s="9">
        <v>140</v>
      </c>
      <c r="H442" s="9">
        <v>143</v>
      </c>
    </row>
    <row r="443" spans="1:8" ht="15.75" customHeight="1" x14ac:dyDescent="0.25">
      <c r="A443" s="9">
        <v>441</v>
      </c>
      <c r="B443" s="9">
        <v>442</v>
      </c>
      <c r="C443" s="9">
        <v>0.2273</v>
      </c>
      <c r="D443" s="9">
        <v>0.48</v>
      </c>
      <c r="E443" s="9">
        <v>0.29849999999999999</v>
      </c>
      <c r="F443" s="9">
        <v>1</v>
      </c>
      <c r="G443" s="9">
        <v>56</v>
      </c>
      <c r="H443" s="9">
        <v>57</v>
      </c>
    </row>
    <row r="444" spans="1:8" ht="15.75" customHeight="1" x14ac:dyDescent="0.25">
      <c r="A444" s="9">
        <v>442</v>
      </c>
      <c r="B444" s="9">
        <v>443</v>
      </c>
      <c r="C444" s="9">
        <v>0.2727</v>
      </c>
      <c r="D444" s="9">
        <v>0.45</v>
      </c>
      <c r="E444" s="9">
        <v>0.16420000000000001</v>
      </c>
      <c r="F444" s="9">
        <v>5</v>
      </c>
      <c r="G444" s="9">
        <v>63</v>
      </c>
      <c r="H444" s="9">
        <v>68</v>
      </c>
    </row>
    <row r="445" spans="1:8" ht="15.75" customHeight="1" x14ac:dyDescent="0.25">
      <c r="A445" s="9">
        <v>443</v>
      </c>
      <c r="B445" s="9">
        <v>444</v>
      </c>
      <c r="C445" s="9">
        <v>0.33329999999999999</v>
      </c>
      <c r="D445" s="9">
        <v>0.42</v>
      </c>
      <c r="E445" s="9">
        <v>0</v>
      </c>
      <c r="F445" s="9">
        <v>7</v>
      </c>
      <c r="G445" s="9">
        <v>77</v>
      </c>
      <c r="H445" s="9">
        <v>84</v>
      </c>
    </row>
    <row r="446" spans="1:8" ht="15.75" customHeight="1" x14ac:dyDescent="0.25">
      <c r="A446" s="9">
        <v>444</v>
      </c>
      <c r="B446" s="9">
        <v>445</v>
      </c>
      <c r="C446" s="9">
        <v>0.28789999999999999</v>
      </c>
      <c r="D446" s="9">
        <v>0.45</v>
      </c>
      <c r="E446" s="9">
        <v>0.1045</v>
      </c>
      <c r="F446" s="9">
        <v>12</v>
      </c>
      <c r="G446" s="9">
        <v>86</v>
      </c>
      <c r="H446" s="9">
        <v>98</v>
      </c>
    </row>
    <row r="447" spans="1:8" ht="15.75" customHeight="1" x14ac:dyDescent="0.25">
      <c r="A447" s="9">
        <v>445</v>
      </c>
      <c r="B447" s="9">
        <v>446</v>
      </c>
      <c r="C447" s="9">
        <v>0.30299999999999999</v>
      </c>
      <c r="D447" s="9">
        <v>0.45</v>
      </c>
      <c r="E447" s="9">
        <v>0.1343</v>
      </c>
      <c r="F447" s="9">
        <v>6</v>
      </c>
      <c r="G447" s="9">
        <v>75</v>
      </c>
      <c r="H447" s="9">
        <v>81</v>
      </c>
    </row>
    <row r="448" spans="1:8" ht="15.75" customHeight="1" x14ac:dyDescent="0.25">
      <c r="A448" s="9">
        <v>446</v>
      </c>
      <c r="B448" s="9">
        <v>447</v>
      </c>
      <c r="C448" s="9">
        <v>0.31819999999999998</v>
      </c>
      <c r="D448" s="9">
        <v>0.45</v>
      </c>
      <c r="E448" s="9">
        <v>0.19400000000000001</v>
      </c>
      <c r="F448" s="9">
        <v>8</v>
      </c>
      <c r="G448" s="9">
        <v>62</v>
      </c>
      <c r="H448" s="9">
        <v>70</v>
      </c>
    </row>
    <row r="449" spans="1:8" ht="15.75" customHeight="1" x14ac:dyDescent="0.25">
      <c r="A449" s="9">
        <v>447</v>
      </c>
      <c r="B449" s="9">
        <v>448</v>
      </c>
      <c r="C449" s="9">
        <v>0.30299999999999999</v>
      </c>
      <c r="D449" s="9">
        <v>0.49</v>
      </c>
      <c r="E449" s="9">
        <v>0.1343</v>
      </c>
      <c r="F449" s="9">
        <v>8</v>
      </c>
      <c r="G449" s="9">
        <v>83</v>
      </c>
      <c r="H449" s="9">
        <v>91</v>
      </c>
    </row>
    <row r="450" spans="1:8" ht="15.75" customHeight="1" x14ac:dyDescent="0.25">
      <c r="A450" s="9">
        <v>448</v>
      </c>
      <c r="B450" s="9">
        <v>449</v>
      </c>
      <c r="C450" s="9">
        <v>0.31819999999999998</v>
      </c>
      <c r="D450" s="9">
        <v>0.49</v>
      </c>
      <c r="E450" s="9">
        <v>0.1045</v>
      </c>
      <c r="F450" s="9">
        <v>8</v>
      </c>
      <c r="G450" s="9">
        <v>207</v>
      </c>
      <c r="H450" s="9">
        <v>215</v>
      </c>
    </row>
    <row r="451" spans="1:8" ht="15.75" customHeight="1" x14ac:dyDescent="0.25">
      <c r="A451" s="9">
        <v>449</v>
      </c>
      <c r="B451" s="9">
        <v>450</v>
      </c>
      <c r="C451" s="9">
        <v>0.2576</v>
      </c>
      <c r="D451" s="9">
        <v>0.56000000000000005</v>
      </c>
      <c r="E451" s="9">
        <v>0.19400000000000001</v>
      </c>
      <c r="F451" s="9">
        <v>1</v>
      </c>
      <c r="G451" s="9">
        <v>184</v>
      </c>
      <c r="H451" s="9">
        <v>185</v>
      </c>
    </row>
    <row r="452" spans="1:8" ht="15.75" customHeight="1" x14ac:dyDescent="0.25">
      <c r="A452" s="9">
        <v>450</v>
      </c>
      <c r="B452" s="9">
        <v>451</v>
      </c>
      <c r="C452" s="9">
        <v>0.2273</v>
      </c>
      <c r="D452" s="9">
        <v>0.56000000000000005</v>
      </c>
      <c r="E452" s="9">
        <v>0.32840000000000003</v>
      </c>
      <c r="F452" s="9">
        <v>6</v>
      </c>
      <c r="G452" s="9">
        <v>146</v>
      </c>
      <c r="H452" s="9">
        <v>152</v>
      </c>
    </row>
    <row r="453" spans="1:8" ht="15.75" customHeight="1" x14ac:dyDescent="0.25">
      <c r="A453" s="9">
        <v>451</v>
      </c>
      <c r="B453" s="9">
        <v>452</v>
      </c>
      <c r="C453" s="9">
        <v>0.2424</v>
      </c>
      <c r="D453" s="9">
        <v>0.6</v>
      </c>
      <c r="E453" s="9">
        <v>0.28360000000000002</v>
      </c>
      <c r="F453" s="9">
        <v>2</v>
      </c>
      <c r="G453" s="9">
        <v>124</v>
      </c>
      <c r="H453" s="9">
        <v>126</v>
      </c>
    </row>
    <row r="454" spans="1:8" ht="15.75" customHeight="1" x14ac:dyDescent="0.25">
      <c r="A454" s="9">
        <v>452</v>
      </c>
      <c r="B454" s="9">
        <v>453</v>
      </c>
      <c r="C454" s="9">
        <v>0.2273</v>
      </c>
      <c r="D454" s="9">
        <v>0.6</v>
      </c>
      <c r="E454" s="9">
        <v>0.25369999999999998</v>
      </c>
      <c r="F454" s="9">
        <v>3</v>
      </c>
      <c r="G454" s="9">
        <v>54</v>
      </c>
      <c r="H454" s="9">
        <v>57</v>
      </c>
    </row>
    <row r="455" spans="1:8" ht="15.75" customHeight="1" x14ac:dyDescent="0.25">
      <c r="A455" s="9">
        <v>453</v>
      </c>
      <c r="B455" s="9">
        <v>454</v>
      </c>
      <c r="C455" s="9">
        <v>0.21210000000000001</v>
      </c>
      <c r="D455" s="9">
        <v>0.65</v>
      </c>
      <c r="E455" s="9">
        <v>0.28360000000000002</v>
      </c>
      <c r="F455" s="9">
        <v>0</v>
      </c>
      <c r="G455" s="9">
        <v>56</v>
      </c>
      <c r="H455" s="9">
        <v>56</v>
      </c>
    </row>
    <row r="456" spans="1:8" ht="15.75" customHeight="1" x14ac:dyDescent="0.25">
      <c r="A456" s="9">
        <v>454</v>
      </c>
      <c r="B456" s="9">
        <v>455</v>
      </c>
      <c r="C456" s="9">
        <v>0.21210000000000001</v>
      </c>
      <c r="D456" s="9">
        <v>0.65</v>
      </c>
      <c r="E456" s="9">
        <v>0.32840000000000003</v>
      </c>
      <c r="F456" s="9">
        <v>3</v>
      </c>
      <c r="G456" s="9">
        <v>28</v>
      </c>
      <c r="H456" s="9">
        <v>31</v>
      </c>
    </row>
    <row r="457" spans="1:8" ht="15.75" customHeight="1" x14ac:dyDescent="0.25">
      <c r="A457" s="9">
        <v>455</v>
      </c>
      <c r="B457" s="9">
        <v>456</v>
      </c>
      <c r="C457" s="9">
        <v>0.2273</v>
      </c>
      <c r="D457" s="9">
        <v>0.7</v>
      </c>
      <c r="E457" s="9">
        <v>0.25369999999999998</v>
      </c>
      <c r="F457" s="9">
        <v>1</v>
      </c>
      <c r="G457" s="9">
        <v>20</v>
      </c>
      <c r="H457" s="9">
        <v>21</v>
      </c>
    </row>
    <row r="458" spans="1:8" ht="15.75" customHeight="1" x14ac:dyDescent="0.25">
      <c r="A458" s="9">
        <v>456</v>
      </c>
      <c r="B458" s="9">
        <v>457</v>
      </c>
      <c r="C458" s="9">
        <v>0.2273</v>
      </c>
      <c r="D458" s="9">
        <v>0.7</v>
      </c>
      <c r="E458" s="9">
        <v>0.25369999999999998</v>
      </c>
      <c r="F458" s="9">
        <v>0</v>
      </c>
      <c r="G458" s="9">
        <v>6</v>
      </c>
      <c r="H458" s="9">
        <v>6</v>
      </c>
    </row>
    <row r="459" spans="1:8" ht="15.75" customHeight="1" x14ac:dyDescent="0.25">
      <c r="A459" s="9">
        <v>457</v>
      </c>
      <c r="B459" s="9">
        <v>458</v>
      </c>
      <c r="C459" s="9">
        <v>0.2424</v>
      </c>
      <c r="D459" s="9">
        <v>0.75</v>
      </c>
      <c r="E459" s="9">
        <v>0.16420000000000001</v>
      </c>
      <c r="F459" s="9">
        <v>0</v>
      </c>
      <c r="G459" s="9">
        <v>2</v>
      </c>
      <c r="H459" s="9">
        <v>2</v>
      </c>
    </row>
    <row r="460" spans="1:8" ht="15.75" customHeight="1" x14ac:dyDescent="0.25">
      <c r="A460" s="9">
        <v>458</v>
      </c>
      <c r="B460" s="9">
        <v>459</v>
      </c>
      <c r="C460" s="9">
        <v>0.21210000000000001</v>
      </c>
      <c r="D460" s="9">
        <v>0.8</v>
      </c>
      <c r="E460" s="9">
        <v>0.29849999999999999</v>
      </c>
      <c r="F460" s="9">
        <v>0</v>
      </c>
      <c r="G460" s="9">
        <v>1</v>
      </c>
      <c r="H460" s="9">
        <v>1</v>
      </c>
    </row>
    <row r="461" spans="1:8" ht="15.75" customHeight="1" x14ac:dyDescent="0.25">
      <c r="A461" s="9">
        <v>459</v>
      </c>
      <c r="B461" s="9">
        <v>460</v>
      </c>
      <c r="C461" s="9">
        <v>0.2576</v>
      </c>
      <c r="D461" s="9">
        <v>0.87</v>
      </c>
      <c r="E461" s="9">
        <v>8.9599999999999999E-2</v>
      </c>
      <c r="F461" s="9">
        <v>0</v>
      </c>
      <c r="G461" s="9">
        <v>1</v>
      </c>
      <c r="H461" s="9">
        <v>1</v>
      </c>
    </row>
    <row r="462" spans="1:8" ht="15.75" customHeight="1" x14ac:dyDescent="0.25">
      <c r="A462" s="9">
        <v>460</v>
      </c>
      <c r="B462" s="9">
        <v>461</v>
      </c>
      <c r="C462" s="9">
        <v>0.19700000000000001</v>
      </c>
      <c r="D462" s="9">
        <v>0.6</v>
      </c>
      <c r="E462" s="9">
        <v>0.41789999999999999</v>
      </c>
      <c r="F462" s="9">
        <v>1</v>
      </c>
      <c r="G462" s="9">
        <v>4</v>
      </c>
      <c r="H462" s="9">
        <v>5</v>
      </c>
    </row>
    <row r="463" spans="1:8" ht="15.75" customHeight="1" x14ac:dyDescent="0.25">
      <c r="A463" s="9">
        <v>461</v>
      </c>
      <c r="B463" s="9">
        <v>462</v>
      </c>
      <c r="C463" s="9">
        <v>0.21210000000000001</v>
      </c>
      <c r="D463" s="9">
        <v>0.55000000000000004</v>
      </c>
      <c r="E463" s="9">
        <v>0.25369999999999998</v>
      </c>
      <c r="F463" s="9">
        <v>0</v>
      </c>
      <c r="G463" s="9">
        <v>27</v>
      </c>
      <c r="H463" s="9">
        <v>27</v>
      </c>
    </row>
    <row r="464" spans="1:8" ht="15.75" customHeight="1" x14ac:dyDescent="0.25">
      <c r="A464" s="9">
        <v>462</v>
      </c>
      <c r="B464" s="9">
        <v>463</v>
      </c>
      <c r="C464" s="9">
        <v>0.18179999999999999</v>
      </c>
      <c r="D464" s="9">
        <v>0.51</v>
      </c>
      <c r="E464" s="9">
        <v>0.28360000000000002</v>
      </c>
      <c r="F464" s="9">
        <v>2</v>
      </c>
      <c r="G464" s="9">
        <v>66</v>
      </c>
      <c r="H464" s="9">
        <v>68</v>
      </c>
    </row>
    <row r="465" spans="1:8" ht="15.75" customHeight="1" x14ac:dyDescent="0.25">
      <c r="A465" s="9">
        <v>463</v>
      </c>
      <c r="B465" s="9">
        <v>464</v>
      </c>
      <c r="C465" s="9">
        <v>0.18179999999999999</v>
      </c>
      <c r="D465" s="9">
        <v>0.47</v>
      </c>
      <c r="E465" s="9">
        <v>0.32840000000000003</v>
      </c>
      <c r="F465" s="9">
        <v>7</v>
      </c>
      <c r="G465" s="9">
        <v>210</v>
      </c>
      <c r="H465" s="9">
        <v>217</v>
      </c>
    </row>
    <row r="466" spans="1:8" ht="15.75" customHeight="1" x14ac:dyDescent="0.25">
      <c r="A466" s="9">
        <v>464</v>
      </c>
      <c r="B466" s="9">
        <v>465</v>
      </c>
      <c r="C466" s="9">
        <v>0.18179999999999999</v>
      </c>
      <c r="D466" s="9">
        <v>0.51</v>
      </c>
      <c r="E466" s="9">
        <v>0.35820000000000002</v>
      </c>
      <c r="F466" s="9">
        <v>7</v>
      </c>
      <c r="G466" s="9">
        <v>159</v>
      </c>
      <c r="H466" s="9">
        <v>166</v>
      </c>
    </row>
    <row r="467" spans="1:8" ht="15.75" customHeight="1" x14ac:dyDescent="0.25">
      <c r="A467" s="9">
        <v>465</v>
      </c>
      <c r="B467" s="9">
        <v>466</v>
      </c>
      <c r="C467" s="9">
        <v>0.16669999999999999</v>
      </c>
      <c r="D467" s="9">
        <v>0.47</v>
      </c>
      <c r="E467" s="9">
        <v>0.4627</v>
      </c>
      <c r="F467" s="9">
        <v>6</v>
      </c>
      <c r="G467" s="9">
        <v>57</v>
      </c>
      <c r="H467" s="9">
        <v>63</v>
      </c>
    </row>
    <row r="468" spans="1:8" ht="15.75" customHeight="1" x14ac:dyDescent="0.25">
      <c r="A468" s="9">
        <v>466</v>
      </c>
      <c r="B468" s="9">
        <v>467</v>
      </c>
      <c r="C468" s="9">
        <v>0.18179999999999999</v>
      </c>
      <c r="D468" s="9">
        <v>0.41</v>
      </c>
      <c r="E468" s="9">
        <v>0.4627</v>
      </c>
      <c r="F468" s="9">
        <v>6</v>
      </c>
      <c r="G468" s="9">
        <v>53</v>
      </c>
      <c r="H468" s="9">
        <v>59</v>
      </c>
    </row>
    <row r="469" spans="1:8" ht="15.75" customHeight="1" x14ac:dyDescent="0.25">
      <c r="A469" s="9">
        <v>467</v>
      </c>
      <c r="B469" s="9">
        <v>468</v>
      </c>
      <c r="C469" s="9">
        <v>0.18179999999999999</v>
      </c>
      <c r="D469" s="9">
        <v>0.27</v>
      </c>
      <c r="E469" s="9">
        <v>0.58209999999999995</v>
      </c>
      <c r="F469" s="9">
        <v>11</v>
      </c>
      <c r="G469" s="9">
        <v>67</v>
      </c>
      <c r="H469" s="9">
        <v>78</v>
      </c>
    </row>
    <row r="470" spans="1:8" ht="15.75" customHeight="1" x14ac:dyDescent="0.25">
      <c r="A470" s="9">
        <v>468</v>
      </c>
      <c r="B470" s="9">
        <v>469</v>
      </c>
      <c r="C470" s="9">
        <v>0.1515</v>
      </c>
      <c r="D470" s="9">
        <v>0.21</v>
      </c>
      <c r="E470" s="9">
        <v>0.58209999999999995</v>
      </c>
      <c r="F470" s="9">
        <v>8</v>
      </c>
      <c r="G470" s="9">
        <v>65</v>
      </c>
      <c r="H470" s="9">
        <v>73</v>
      </c>
    </row>
    <row r="471" spans="1:8" ht="15.75" customHeight="1" x14ac:dyDescent="0.25">
      <c r="A471" s="9">
        <v>469</v>
      </c>
      <c r="B471" s="9">
        <v>470</v>
      </c>
      <c r="C471" s="9">
        <v>0.1515</v>
      </c>
      <c r="D471" s="9">
        <v>0.25</v>
      </c>
      <c r="E471" s="9">
        <v>0.52239999999999998</v>
      </c>
      <c r="F471" s="9">
        <v>6</v>
      </c>
      <c r="G471" s="9">
        <v>56</v>
      </c>
      <c r="H471" s="9">
        <v>62</v>
      </c>
    </row>
    <row r="472" spans="1:8" ht="15.75" customHeight="1" x14ac:dyDescent="0.25">
      <c r="A472" s="9">
        <v>470</v>
      </c>
      <c r="B472" s="9">
        <v>471</v>
      </c>
      <c r="C472" s="9">
        <v>0.1212</v>
      </c>
      <c r="D472" s="9">
        <v>0.26</v>
      </c>
      <c r="E472" s="9">
        <v>0.44779999999999998</v>
      </c>
      <c r="F472" s="9">
        <v>4</v>
      </c>
      <c r="G472" s="9">
        <v>61</v>
      </c>
      <c r="H472" s="9">
        <v>65</v>
      </c>
    </row>
    <row r="473" spans="1:8" ht="15.75" customHeight="1" x14ac:dyDescent="0.25">
      <c r="A473" s="9">
        <v>471</v>
      </c>
      <c r="B473" s="9">
        <v>472</v>
      </c>
      <c r="C473" s="9">
        <v>0.13639999999999999</v>
      </c>
      <c r="D473" s="9">
        <v>0.26</v>
      </c>
      <c r="E473" s="9">
        <v>0.35820000000000002</v>
      </c>
      <c r="F473" s="9">
        <v>0</v>
      </c>
      <c r="G473" s="9">
        <v>97</v>
      </c>
      <c r="H473" s="9">
        <v>97</v>
      </c>
    </row>
    <row r="474" spans="1:8" ht="15.75" customHeight="1" x14ac:dyDescent="0.25">
      <c r="A474" s="9">
        <v>472</v>
      </c>
      <c r="B474" s="9">
        <v>473</v>
      </c>
      <c r="C474" s="9">
        <v>0.1212</v>
      </c>
      <c r="D474" s="9">
        <v>0.28000000000000003</v>
      </c>
      <c r="E474" s="9">
        <v>0.35820000000000002</v>
      </c>
      <c r="F474" s="9">
        <v>10</v>
      </c>
      <c r="G474" s="9">
        <v>151</v>
      </c>
      <c r="H474" s="9">
        <v>161</v>
      </c>
    </row>
    <row r="475" spans="1:8" ht="15.75" customHeight="1" x14ac:dyDescent="0.25">
      <c r="A475" s="9">
        <v>473</v>
      </c>
      <c r="B475" s="9">
        <v>474</v>
      </c>
      <c r="C475" s="9">
        <v>0.1212</v>
      </c>
      <c r="D475" s="9">
        <v>0.3</v>
      </c>
      <c r="E475" s="9">
        <v>0.25369999999999998</v>
      </c>
      <c r="F475" s="9">
        <v>1</v>
      </c>
      <c r="G475" s="9">
        <v>119</v>
      </c>
      <c r="H475" s="9">
        <v>120</v>
      </c>
    </row>
    <row r="476" spans="1:8" ht="15.75" customHeight="1" x14ac:dyDescent="0.25">
      <c r="A476" s="9">
        <v>474</v>
      </c>
      <c r="B476" s="9">
        <v>475</v>
      </c>
      <c r="C476" s="9">
        <v>0.1061</v>
      </c>
      <c r="D476" s="9">
        <v>0.3</v>
      </c>
      <c r="E476" s="9">
        <v>0.32840000000000003</v>
      </c>
      <c r="F476" s="9">
        <v>3</v>
      </c>
      <c r="G476" s="9">
        <v>93</v>
      </c>
      <c r="H476" s="9">
        <v>96</v>
      </c>
    </row>
    <row r="477" spans="1:8" ht="15.75" customHeight="1" x14ac:dyDescent="0.25">
      <c r="A477" s="9">
        <v>475</v>
      </c>
      <c r="B477" s="9">
        <v>476</v>
      </c>
      <c r="C477" s="9">
        <v>7.5800000000000006E-2</v>
      </c>
      <c r="D477" s="9">
        <v>0.33</v>
      </c>
      <c r="E477" s="9">
        <v>0.41789999999999999</v>
      </c>
      <c r="F477" s="9">
        <v>1</v>
      </c>
      <c r="G477" s="9">
        <v>52</v>
      </c>
      <c r="H477" s="9">
        <v>53</v>
      </c>
    </row>
    <row r="478" spans="1:8" ht="15.75" customHeight="1" x14ac:dyDescent="0.25">
      <c r="A478" s="9">
        <v>476</v>
      </c>
      <c r="B478" s="9">
        <v>477</v>
      </c>
      <c r="C478" s="9">
        <v>7.5800000000000006E-2</v>
      </c>
      <c r="D478" s="9">
        <v>0.38</v>
      </c>
      <c r="E478" s="9">
        <v>0.28360000000000002</v>
      </c>
      <c r="F478" s="9">
        <v>0</v>
      </c>
      <c r="G478" s="9">
        <v>41</v>
      </c>
      <c r="H478" s="9">
        <v>41</v>
      </c>
    </row>
    <row r="479" spans="1:8" ht="15.75" customHeight="1" x14ac:dyDescent="0.25">
      <c r="A479" s="9">
        <v>477</v>
      </c>
      <c r="B479" s="9">
        <v>478</v>
      </c>
      <c r="C479" s="9">
        <v>3.0300000000000001E-2</v>
      </c>
      <c r="D479" s="9">
        <v>0.41</v>
      </c>
      <c r="E479" s="9">
        <v>0.3881</v>
      </c>
      <c r="F479" s="9">
        <v>1</v>
      </c>
      <c r="G479" s="9">
        <v>33</v>
      </c>
      <c r="H479" s="9">
        <v>34</v>
      </c>
    </row>
    <row r="480" spans="1:8" ht="15.75" customHeight="1" x14ac:dyDescent="0.25">
      <c r="A480" s="9">
        <v>478</v>
      </c>
      <c r="B480" s="9">
        <v>479</v>
      </c>
      <c r="C480" s="9">
        <v>4.5499999999999999E-2</v>
      </c>
      <c r="D480" s="9">
        <v>0.38</v>
      </c>
      <c r="E480" s="9">
        <v>0.32840000000000003</v>
      </c>
      <c r="F480" s="9">
        <v>0</v>
      </c>
      <c r="G480" s="9">
        <v>27</v>
      </c>
      <c r="H480" s="9">
        <v>27</v>
      </c>
    </row>
    <row r="481" spans="1:8" ht="15.75" customHeight="1" x14ac:dyDescent="0.25">
      <c r="A481" s="9">
        <v>479</v>
      </c>
      <c r="B481" s="9">
        <v>480</v>
      </c>
      <c r="C481" s="9">
        <v>3.0300000000000001E-2</v>
      </c>
      <c r="D481" s="9">
        <v>0.45</v>
      </c>
      <c r="E481" s="9">
        <v>0.25369999999999998</v>
      </c>
      <c r="F481" s="9">
        <v>0</v>
      </c>
      <c r="G481" s="9">
        <v>13</v>
      </c>
      <c r="H481" s="9">
        <v>13</v>
      </c>
    </row>
    <row r="482" spans="1:8" ht="15.75" customHeight="1" x14ac:dyDescent="0.25">
      <c r="A482" s="9">
        <v>480</v>
      </c>
      <c r="B482" s="9">
        <v>481</v>
      </c>
      <c r="C482" s="9">
        <v>0</v>
      </c>
      <c r="D482" s="9">
        <v>0.41</v>
      </c>
      <c r="E482" s="9">
        <v>0.3881</v>
      </c>
      <c r="F482" s="9">
        <v>3</v>
      </c>
      <c r="G482" s="9">
        <v>9</v>
      </c>
      <c r="H482" s="9">
        <v>12</v>
      </c>
    </row>
    <row r="483" spans="1:8" ht="15.75" customHeight="1" x14ac:dyDescent="0.25">
      <c r="A483" s="9">
        <v>481</v>
      </c>
      <c r="B483" s="9">
        <v>482</v>
      </c>
      <c r="C483" s="9">
        <v>3.0300000000000001E-2</v>
      </c>
      <c r="D483" s="9">
        <v>0.41</v>
      </c>
      <c r="E483" s="9">
        <v>0.25369999999999998</v>
      </c>
      <c r="F483" s="9">
        <v>0</v>
      </c>
      <c r="G483" s="9">
        <v>11</v>
      </c>
      <c r="H483" s="9">
        <v>11</v>
      </c>
    </row>
    <row r="484" spans="1:8" ht="15.75" customHeight="1" x14ac:dyDescent="0.25">
      <c r="A484" s="9">
        <v>482</v>
      </c>
      <c r="B484" s="9">
        <v>483</v>
      </c>
      <c r="C484" s="9">
        <v>3.0300000000000001E-2</v>
      </c>
      <c r="D484" s="9">
        <v>0.41</v>
      </c>
      <c r="E484" s="9">
        <v>0.28360000000000002</v>
      </c>
      <c r="F484" s="9">
        <v>1</v>
      </c>
      <c r="G484" s="9">
        <v>6</v>
      </c>
      <c r="H484" s="9">
        <v>7</v>
      </c>
    </row>
    <row r="485" spans="1:8" ht="15.75" customHeight="1" x14ac:dyDescent="0.25">
      <c r="A485" s="9">
        <v>483</v>
      </c>
      <c r="B485" s="9">
        <v>484</v>
      </c>
      <c r="C485" s="9">
        <v>1.52E-2</v>
      </c>
      <c r="D485" s="9">
        <v>0.48</v>
      </c>
      <c r="E485" s="9">
        <v>0.29849999999999999</v>
      </c>
      <c r="F485" s="9">
        <v>0</v>
      </c>
      <c r="G485" s="9">
        <v>3</v>
      </c>
      <c r="H485" s="9">
        <v>3</v>
      </c>
    </row>
    <row r="486" spans="1:8" ht="15.75" customHeight="1" x14ac:dyDescent="0.25">
      <c r="A486" s="9">
        <v>484</v>
      </c>
      <c r="B486" s="9">
        <v>485</v>
      </c>
      <c r="C486" s="9">
        <v>3.0300000000000001E-2</v>
      </c>
      <c r="D486" s="9">
        <v>0.44</v>
      </c>
      <c r="E486" s="9">
        <v>0.22389999999999999</v>
      </c>
      <c r="F486" s="9">
        <v>0</v>
      </c>
      <c r="G486" s="9">
        <v>2</v>
      </c>
      <c r="H486" s="9">
        <v>2</v>
      </c>
    </row>
    <row r="487" spans="1:8" ht="15.75" customHeight="1" x14ac:dyDescent="0.25">
      <c r="A487" s="9">
        <v>485</v>
      </c>
      <c r="B487" s="9">
        <v>486</v>
      </c>
      <c r="C487" s="9">
        <v>1.52E-2</v>
      </c>
      <c r="D487" s="9">
        <v>0.44</v>
      </c>
      <c r="E487" s="9">
        <v>0.28360000000000002</v>
      </c>
      <c r="F487" s="9">
        <v>0</v>
      </c>
      <c r="G487" s="9">
        <v>8</v>
      </c>
      <c r="H487" s="9">
        <v>8</v>
      </c>
    </row>
    <row r="488" spans="1:8" ht="15.75" customHeight="1" x14ac:dyDescent="0.25">
      <c r="A488" s="9">
        <v>486</v>
      </c>
      <c r="B488" s="9">
        <v>487</v>
      </c>
      <c r="C488" s="9">
        <v>0</v>
      </c>
      <c r="D488" s="9">
        <v>0.44</v>
      </c>
      <c r="E488" s="9">
        <v>0.32840000000000003</v>
      </c>
      <c r="F488" s="9">
        <v>1</v>
      </c>
      <c r="G488" s="9">
        <v>26</v>
      </c>
      <c r="H488" s="9">
        <v>27</v>
      </c>
    </row>
    <row r="489" spans="1:8" ht="15.75" customHeight="1" x14ac:dyDescent="0.25">
      <c r="A489" s="9">
        <v>487</v>
      </c>
      <c r="B489" s="9">
        <v>488</v>
      </c>
      <c r="C489" s="9">
        <v>3.0300000000000001E-2</v>
      </c>
      <c r="D489" s="9">
        <v>0.41</v>
      </c>
      <c r="E489" s="9">
        <v>0.25369999999999998</v>
      </c>
      <c r="F489" s="9">
        <v>3</v>
      </c>
      <c r="G489" s="9">
        <v>37</v>
      </c>
      <c r="H489" s="9">
        <v>40</v>
      </c>
    </row>
    <row r="490" spans="1:8" ht="15.75" customHeight="1" x14ac:dyDescent="0.25">
      <c r="A490" s="9">
        <v>488</v>
      </c>
      <c r="B490" s="9">
        <v>489</v>
      </c>
      <c r="C490" s="9">
        <v>6.0600000000000001E-2</v>
      </c>
      <c r="D490" s="9">
        <v>0.41</v>
      </c>
      <c r="E490" s="9">
        <v>0.16420000000000001</v>
      </c>
      <c r="F490" s="9">
        <v>3</v>
      </c>
      <c r="G490" s="9">
        <v>50</v>
      </c>
      <c r="H490" s="9">
        <v>53</v>
      </c>
    </row>
    <row r="491" spans="1:8" ht="15.75" customHeight="1" x14ac:dyDescent="0.25">
      <c r="A491" s="9">
        <v>489</v>
      </c>
      <c r="B491" s="9">
        <v>490</v>
      </c>
      <c r="C491" s="9">
        <v>7.5800000000000006E-2</v>
      </c>
      <c r="D491" s="9">
        <v>0.38</v>
      </c>
      <c r="E491" s="9">
        <v>0.1343</v>
      </c>
      <c r="F491" s="9">
        <v>4</v>
      </c>
      <c r="G491" s="9">
        <v>59</v>
      </c>
      <c r="H491" s="9">
        <v>63</v>
      </c>
    </row>
    <row r="492" spans="1:8" ht="15.75" customHeight="1" x14ac:dyDescent="0.25">
      <c r="A492" s="9">
        <v>490</v>
      </c>
      <c r="B492" s="9">
        <v>491</v>
      </c>
      <c r="C492" s="9">
        <v>0.1061</v>
      </c>
      <c r="D492" s="9">
        <v>0.38</v>
      </c>
      <c r="E492" s="9">
        <v>0.1045</v>
      </c>
      <c r="F492" s="9">
        <v>10</v>
      </c>
      <c r="G492" s="9">
        <v>60</v>
      </c>
      <c r="H492" s="9">
        <v>70</v>
      </c>
    </row>
    <row r="493" spans="1:8" ht="15.75" customHeight="1" x14ac:dyDescent="0.25">
      <c r="A493" s="9">
        <v>491</v>
      </c>
      <c r="B493" s="9">
        <v>492</v>
      </c>
      <c r="C493" s="9">
        <v>0.16669999999999999</v>
      </c>
      <c r="D493" s="9">
        <v>0.35</v>
      </c>
      <c r="E493" s="9">
        <v>0</v>
      </c>
      <c r="F493" s="9">
        <v>12</v>
      </c>
      <c r="G493" s="9">
        <v>72</v>
      </c>
      <c r="H493" s="9">
        <v>84</v>
      </c>
    </row>
    <row r="494" spans="1:8" ht="15.75" customHeight="1" x14ac:dyDescent="0.25">
      <c r="A494" s="9">
        <v>492</v>
      </c>
      <c r="B494" s="9">
        <v>493</v>
      </c>
      <c r="C494" s="9">
        <v>0.13639999999999999</v>
      </c>
      <c r="D494" s="9">
        <v>0.33</v>
      </c>
      <c r="E494" s="9">
        <v>0.1045</v>
      </c>
      <c r="F494" s="9">
        <v>11</v>
      </c>
      <c r="G494" s="9">
        <v>64</v>
      </c>
      <c r="H494" s="9">
        <v>75</v>
      </c>
    </row>
    <row r="495" spans="1:8" ht="15.75" customHeight="1" x14ac:dyDescent="0.25">
      <c r="A495" s="9">
        <v>493</v>
      </c>
      <c r="B495" s="9">
        <v>494</v>
      </c>
      <c r="C495" s="9">
        <v>0.1515</v>
      </c>
      <c r="D495" s="9">
        <v>0.28000000000000003</v>
      </c>
      <c r="E495" s="9">
        <v>0</v>
      </c>
      <c r="F495" s="9">
        <v>10</v>
      </c>
      <c r="G495" s="9">
        <v>93</v>
      </c>
      <c r="H495" s="9">
        <v>103</v>
      </c>
    </row>
    <row r="496" spans="1:8" ht="15.75" customHeight="1" x14ac:dyDescent="0.25">
      <c r="A496" s="9">
        <v>494</v>
      </c>
      <c r="B496" s="9">
        <v>495</v>
      </c>
      <c r="C496" s="9">
        <v>0.13639999999999999</v>
      </c>
      <c r="D496" s="9">
        <v>0.28000000000000003</v>
      </c>
      <c r="E496" s="9">
        <v>0.19400000000000001</v>
      </c>
      <c r="F496" s="9">
        <v>11</v>
      </c>
      <c r="G496" s="9">
        <v>72</v>
      </c>
      <c r="H496" s="9">
        <v>83</v>
      </c>
    </row>
    <row r="497" spans="1:8" ht="15.75" customHeight="1" x14ac:dyDescent="0.25">
      <c r="A497" s="9">
        <v>495</v>
      </c>
      <c r="B497" s="9">
        <v>496</v>
      </c>
      <c r="C497" s="9">
        <v>0.19700000000000001</v>
      </c>
      <c r="D497" s="9">
        <v>0.28000000000000003</v>
      </c>
      <c r="E497" s="9">
        <v>0</v>
      </c>
      <c r="F497" s="9">
        <v>8</v>
      </c>
      <c r="G497" s="9">
        <v>59</v>
      </c>
      <c r="H497" s="9">
        <v>67</v>
      </c>
    </row>
    <row r="498" spans="1:8" ht="15.75" customHeight="1" x14ac:dyDescent="0.25">
      <c r="A498" s="9">
        <v>496</v>
      </c>
      <c r="B498" s="9">
        <v>497</v>
      </c>
      <c r="C498" s="9">
        <v>9.0899999999999995E-2</v>
      </c>
      <c r="D498" s="9">
        <v>0.35</v>
      </c>
      <c r="E498" s="9">
        <v>0.19400000000000001</v>
      </c>
      <c r="F498" s="9">
        <v>0</v>
      </c>
      <c r="G498" s="9">
        <v>54</v>
      </c>
      <c r="H498" s="9">
        <v>54</v>
      </c>
    </row>
    <row r="499" spans="1:8" ht="15.75" customHeight="1" x14ac:dyDescent="0.25">
      <c r="A499" s="9">
        <v>497</v>
      </c>
      <c r="B499" s="9">
        <v>498</v>
      </c>
      <c r="C499" s="9">
        <v>0.1061</v>
      </c>
      <c r="D499" s="9">
        <v>0.35</v>
      </c>
      <c r="E499" s="9">
        <v>0.1343</v>
      </c>
      <c r="F499" s="9">
        <v>6</v>
      </c>
      <c r="G499" s="9">
        <v>53</v>
      </c>
      <c r="H499" s="9">
        <v>59</v>
      </c>
    </row>
    <row r="500" spans="1:8" ht="15.75" customHeight="1" x14ac:dyDescent="0.25">
      <c r="A500" s="9">
        <v>498</v>
      </c>
      <c r="B500" s="9">
        <v>499</v>
      </c>
      <c r="C500" s="9">
        <v>7.5800000000000006E-2</v>
      </c>
      <c r="D500" s="9">
        <v>0.45</v>
      </c>
      <c r="E500" s="9">
        <v>0.16420000000000001</v>
      </c>
      <c r="F500" s="9">
        <v>1</v>
      </c>
      <c r="G500" s="9">
        <v>44</v>
      </c>
      <c r="H500" s="9">
        <v>45</v>
      </c>
    </row>
    <row r="501" spans="1:8" ht="15.75" customHeight="1" x14ac:dyDescent="0.25">
      <c r="A501" s="9">
        <v>499</v>
      </c>
      <c r="B501" s="9">
        <v>500</v>
      </c>
      <c r="C501" s="9">
        <v>0.1061</v>
      </c>
      <c r="D501" s="9">
        <v>0.41</v>
      </c>
      <c r="E501" s="9">
        <v>8.9599999999999999E-2</v>
      </c>
      <c r="F501" s="9">
        <v>0</v>
      </c>
      <c r="G501" s="9">
        <v>39</v>
      </c>
      <c r="H501" s="9">
        <v>39</v>
      </c>
    </row>
    <row r="502" spans="1:8" ht="15.75" customHeight="1" x14ac:dyDescent="0.25">
      <c r="A502" s="9">
        <v>500</v>
      </c>
      <c r="B502" s="9">
        <v>501</v>
      </c>
      <c r="C502" s="9">
        <v>0.1515</v>
      </c>
      <c r="D502" s="9">
        <v>0.49</v>
      </c>
      <c r="E502" s="9">
        <v>0</v>
      </c>
      <c r="F502" s="9">
        <v>7</v>
      </c>
      <c r="G502" s="9">
        <v>23</v>
      </c>
      <c r="H502" s="9">
        <v>30</v>
      </c>
    </row>
    <row r="503" spans="1:8" ht="15.75" customHeight="1" x14ac:dyDescent="0.25">
      <c r="A503" s="9">
        <v>501</v>
      </c>
      <c r="B503" s="9">
        <v>502</v>
      </c>
      <c r="C503" s="9">
        <v>7.5800000000000006E-2</v>
      </c>
      <c r="D503" s="9">
        <v>0.56999999999999995</v>
      </c>
      <c r="E503" s="9">
        <v>0.1045</v>
      </c>
      <c r="F503" s="9">
        <v>2</v>
      </c>
      <c r="G503" s="9">
        <v>31</v>
      </c>
      <c r="H503" s="9">
        <v>33</v>
      </c>
    </row>
    <row r="504" spans="1:8" ht="15.75" customHeight="1" x14ac:dyDescent="0.25">
      <c r="A504" s="9">
        <v>502</v>
      </c>
      <c r="B504" s="9">
        <v>503</v>
      </c>
      <c r="C504" s="9">
        <v>7.5800000000000006E-2</v>
      </c>
      <c r="D504" s="9">
        <v>0.56999999999999995</v>
      </c>
      <c r="E504" s="9">
        <v>0.1045</v>
      </c>
      <c r="F504" s="9">
        <v>2</v>
      </c>
      <c r="G504" s="9">
        <v>20</v>
      </c>
      <c r="H504" s="9">
        <v>22</v>
      </c>
    </row>
    <row r="505" spans="1:8" ht="15.75" customHeight="1" x14ac:dyDescent="0.25">
      <c r="A505" s="9">
        <v>503</v>
      </c>
      <c r="B505" s="9">
        <v>504</v>
      </c>
      <c r="C505" s="9">
        <v>7.5800000000000006E-2</v>
      </c>
      <c r="D505" s="9">
        <v>0.56999999999999995</v>
      </c>
      <c r="E505" s="9">
        <v>0.1045</v>
      </c>
      <c r="F505" s="9">
        <v>1</v>
      </c>
      <c r="G505" s="9">
        <v>12</v>
      </c>
      <c r="H505" s="9">
        <v>13</v>
      </c>
    </row>
    <row r="506" spans="1:8" ht="15.75" customHeight="1" x14ac:dyDescent="0.25">
      <c r="A506" s="9">
        <v>504</v>
      </c>
      <c r="B506" s="9">
        <v>505</v>
      </c>
      <c r="C506" s="9">
        <v>6.0600000000000001E-2</v>
      </c>
      <c r="D506" s="9">
        <v>0.62</v>
      </c>
      <c r="E506" s="9">
        <v>0.1343</v>
      </c>
      <c r="F506" s="9">
        <v>3</v>
      </c>
      <c r="G506" s="9">
        <v>15</v>
      </c>
      <c r="H506" s="9">
        <v>18</v>
      </c>
    </row>
    <row r="507" spans="1:8" ht="15.75" customHeight="1" x14ac:dyDescent="0.25">
      <c r="A507" s="9">
        <v>505</v>
      </c>
      <c r="B507" s="9">
        <v>506</v>
      </c>
      <c r="C507" s="9">
        <v>6.0600000000000001E-2</v>
      </c>
      <c r="D507" s="9">
        <v>0.62</v>
      </c>
      <c r="E507" s="9">
        <v>0.1343</v>
      </c>
      <c r="F507" s="9">
        <v>1</v>
      </c>
      <c r="G507" s="9">
        <v>4</v>
      </c>
      <c r="H507" s="9">
        <v>5</v>
      </c>
    </row>
    <row r="508" spans="1:8" ht="15.75" customHeight="1" x14ac:dyDescent="0.25">
      <c r="A508" s="9">
        <v>506</v>
      </c>
      <c r="B508" s="9">
        <v>507</v>
      </c>
      <c r="C508" s="9">
        <v>7.5800000000000006E-2</v>
      </c>
      <c r="D508" s="9">
        <v>0.56999999999999995</v>
      </c>
      <c r="E508" s="9">
        <v>0.1045</v>
      </c>
      <c r="F508" s="9">
        <v>0</v>
      </c>
      <c r="G508" s="9">
        <v>3</v>
      </c>
      <c r="H508" s="9">
        <v>3</v>
      </c>
    </row>
    <row r="509" spans="1:8" ht="15.75" customHeight="1" x14ac:dyDescent="0.25">
      <c r="A509" s="9">
        <v>507</v>
      </c>
      <c r="B509" s="9">
        <v>508</v>
      </c>
      <c r="C509" s="9">
        <v>7.5800000000000006E-2</v>
      </c>
      <c r="D509" s="9">
        <v>0.56999999999999995</v>
      </c>
      <c r="E509" s="9">
        <v>0.1045</v>
      </c>
      <c r="F509" s="9">
        <v>0</v>
      </c>
      <c r="G509" s="9">
        <v>1</v>
      </c>
      <c r="H509" s="9">
        <v>1</v>
      </c>
    </row>
    <row r="510" spans="1:8" ht="15.75" customHeight="1" x14ac:dyDescent="0.25">
      <c r="A510" s="9">
        <v>508</v>
      </c>
      <c r="B510" s="9">
        <v>509</v>
      </c>
      <c r="C510" s="9">
        <v>0.1061</v>
      </c>
      <c r="D510" s="9">
        <v>0.57999999999999996</v>
      </c>
      <c r="E510" s="9">
        <v>0.16420000000000001</v>
      </c>
      <c r="F510" s="9">
        <v>1</v>
      </c>
      <c r="G510" s="9">
        <v>1</v>
      </c>
      <c r="H510" s="9">
        <v>2</v>
      </c>
    </row>
    <row r="511" spans="1:8" ht="15.75" customHeight="1" x14ac:dyDescent="0.25">
      <c r="A511" s="9">
        <v>509</v>
      </c>
      <c r="B511" s="9">
        <v>510</v>
      </c>
      <c r="C511" s="9">
        <v>7.5800000000000006E-2</v>
      </c>
      <c r="D511" s="9">
        <v>0.62</v>
      </c>
      <c r="E511" s="9">
        <v>0.16420000000000001</v>
      </c>
      <c r="F511" s="9">
        <v>2</v>
      </c>
      <c r="G511" s="9">
        <v>17</v>
      </c>
      <c r="H511" s="9">
        <v>19</v>
      </c>
    </row>
    <row r="512" spans="1:8" ht="15.75" customHeight="1" x14ac:dyDescent="0.25">
      <c r="A512" s="9">
        <v>510</v>
      </c>
      <c r="B512" s="9">
        <v>511</v>
      </c>
      <c r="C512" s="9">
        <v>7.5800000000000006E-2</v>
      </c>
      <c r="D512" s="9">
        <v>0.54</v>
      </c>
      <c r="E512" s="9">
        <v>0.35820000000000002</v>
      </c>
      <c r="F512" s="9">
        <v>3</v>
      </c>
      <c r="G512" s="9">
        <v>25</v>
      </c>
      <c r="H512" s="9">
        <v>28</v>
      </c>
    </row>
    <row r="513" spans="1:8" ht="15.75" customHeight="1" x14ac:dyDescent="0.25">
      <c r="A513" s="9">
        <v>511</v>
      </c>
      <c r="B513" s="9">
        <v>512</v>
      </c>
      <c r="C513" s="9">
        <v>0.1061</v>
      </c>
      <c r="D513" s="9">
        <v>0.46</v>
      </c>
      <c r="E513" s="9">
        <v>0.3881</v>
      </c>
      <c r="F513" s="9">
        <v>7</v>
      </c>
      <c r="G513" s="9">
        <v>51</v>
      </c>
      <c r="H513" s="9">
        <v>58</v>
      </c>
    </row>
    <row r="514" spans="1:8" ht="15.75" customHeight="1" x14ac:dyDescent="0.25">
      <c r="A514" s="9">
        <v>512</v>
      </c>
      <c r="B514" s="9">
        <v>513</v>
      </c>
      <c r="C514" s="9">
        <v>0.13639999999999999</v>
      </c>
      <c r="D514" s="9">
        <v>0.43</v>
      </c>
      <c r="E514" s="9">
        <v>0.22389999999999999</v>
      </c>
      <c r="F514" s="9">
        <v>22</v>
      </c>
      <c r="G514" s="9">
        <v>77</v>
      </c>
      <c r="H514" s="9">
        <v>99</v>
      </c>
    </row>
    <row r="515" spans="1:8" ht="15.75" customHeight="1" x14ac:dyDescent="0.25">
      <c r="A515" s="9">
        <v>513</v>
      </c>
      <c r="B515" s="9">
        <v>514</v>
      </c>
      <c r="C515" s="9">
        <v>0.1212</v>
      </c>
      <c r="D515" s="9">
        <v>0.37</v>
      </c>
      <c r="E515" s="9">
        <v>0.4627</v>
      </c>
      <c r="F515" s="9">
        <v>24</v>
      </c>
      <c r="G515" s="9">
        <v>92</v>
      </c>
      <c r="H515" s="9">
        <v>116</v>
      </c>
    </row>
    <row r="516" spans="1:8" ht="15.75" customHeight="1" x14ac:dyDescent="0.25">
      <c r="A516" s="9">
        <v>514</v>
      </c>
      <c r="B516" s="9">
        <v>515</v>
      </c>
      <c r="C516" s="9">
        <v>0.1061</v>
      </c>
      <c r="D516" s="9">
        <v>0.33</v>
      </c>
      <c r="E516" s="9">
        <v>0.3881</v>
      </c>
      <c r="F516" s="9">
        <v>12</v>
      </c>
      <c r="G516" s="9">
        <v>75</v>
      </c>
      <c r="H516" s="9">
        <v>87</v>
      </c>
    </row>
    <row r="517" spans="1:8" ht="15.75" customHeight="1" x14ac:dyDescent="0.25">
      <c r="A517" s="9">
        <v>515</v>
      </c>
      <c r="B517" s="9">
        <v>516</v>
      </c>
      <c r="C517" s="9">
        <v>0.13639999999999999</v>
      </c>
      <c r="D517" s="9">
        <v>0.28000000000000003</v>
      </c>
      <c r="E517" s="9">
        <v>0.35820000000000002</v>
      </c>
      <c r="F517" s="9">
        <v>17</v>
      </c>
      <c r="G517" s="9">
        <v>93</v>
      </c>
      <c r="H517" s="9">
        <v>110</v>
      </c>
    </row>
    <row r="518" spans="1:8" ht="15.75" customHeight="1" x14ac:dyDescent="0.25">
      <c r="A518" s="9">
        <v>516</v>
      </c>
      <c r="B518" s="9">
        <v>517</v>
      </c>
      <c r="C518" s="9">
        <v>0.13639999999999999</v>
      </c>
      <c r="D518" s="9">
        <v>0.28000000000000003</v>
      </c>
      <c r="E518" s="9">
        <v>0.35820000000000002</v>
      </c>
      <c r="F518" s="9">
        <v>13</v>
      </c>
      <c r="G518" s="9">
        <v>64</v>
      </c>
      <c r="H518" s="9">
        <v>77</v>
      </c>
    </row>
    <row r="519" spans="1:8" ht="15.75" customHeight="1" x14ac:dyDescent="0.25">
      <c r="A519" s="9">
        <v>517</v>
      </c>
      <c r="B519" s="9">
        <v>518</v>
      </c>
      <c r="C519" s="9">
        <v>0.13639999999999999</v>
      </c>
      <c r="D519" s="9">
        <v>0.26</v>
      </c>
      <c r="E519" s="9">
        <v>0.32840000000000003</v>
      </c>
      <c r="F519" s="9">
        <v>9</v>
      </c>
      <c r="G519" s="9">
        <v>56</v>
      </c>
      <c r="H519" s="9">
        <v>65</v>
      </c>
    </row>
    <row r="520" spans="1:8" ht="15.75" customHeight="1" x14ac:dyDescent="0.25">
      <c r="A520" s="9">
        <v>518</v>
      </c>
      <c r="B520" s="9">
        <v>519</v>
      </c>
      <c r="C520" s="9">
        <v>0.1061</v>
      </c>
      <c r="D520" s="9">
        <v>0.26</v>
      </c>
      <c r="E520" s="9">
        <v>0.3881</v>
      </c>
      <c r="F520" s="9">
        <v>5</v>
      </c>
      <c r="G520" s="9">
        <v>50</v>
      </c>
      <c r="H520" s="9">
        <v>55</v>
      </c>
    </row>
    <row r="521" spans="1:8" ht="15.75" customHeight="1" x14ac:dyDescent="0.25">
      <c r="A521" s="9">
        <v>519</v>
      </c>
      <c r="B521" s="9">
        <v>520</v>
      </c>
      <c r="C521" s="9">
        <v>0.1212</v>
      </c>
      <c r="D521" s="9">
        <v>0.3</v>
      </c>
      <c r="E521" s="9">
        <v>0.25369999999999998</v>
      </c>
      <c r="F521" s="9">
        <v>5</v>
      </c>
      <c r="G521" s="9">
        <v>44</v>
      </c>
      <c r="H521" s="9">
        <v>49</v>
      </c>
    </row>
    <row r="522" spans="1:8" ht="15.75" customHeight="1" x14ac:dyDescent="0.25">
      <c r="A522" s="9">
        <v>520</v>
      </c>
      <c r="B522" s="9">
        <v>521</v>
      </c>
      <c r="C522" s="9">
        <v>0.1212</v>
      </c>
      <c r="D522" s="9">
        <v>0.3</v>
      </c>
      <c r="E522" s="9">
        <v>0.28360000000000002</v>
      </c>
      <c r="F522" s="9">
        <v>5</v>
      </c>
      <c r="G522" s="9">
        <v>45</v>
      </c>
      <c r="H522" s="9">
        <v>50</v>
      </c>
    </row>
    <row r="523" spans="1:8" ht="15.75" customHeight="1" x14ac:dyDescent="0.25">
      <c r="A523" s="9">
        <v>521</v>
      </c>
      <c r="B523" s="9">
        <v>522</v>
      </c>
      <c r="C523" s="9">
        <v>0.1061</v>
      </c>
      <c r="D523" s="9">
        <v>0.36</v>
      </c>
      <c r="E523" s="9">
        <v>0.25369999999999998</v>
      </c>
      <c r="F523" s="9">
        <v>4</v>
      </c>
      <c r="G523" s="9">
        <v>31</v>
      </c>
      <c r="H523" s="9">
        <v>35</v>
      </c>
    </row>
    <row r="524" spans="1:8" ht="15.75" customHeight="1" x14ac:dyDescent="0.25">
      <c r="A524" s="9">
        <v>522</v>
      </c>
      <c r="B524" s="9">
        <v>523</v>
      </c>
      <c r="C524" s="9">
        <v>0.1061</v>
      </c>
      <c r="D524" s="9">
        <v>0.36</v>
      </c>
      <c r="E524" s="9">
        <v>0.19400000000000001</v>
      </c>
      <c r="F524" s="9">
        <v>5</v>
      </c>
      <c r="G524" s="9">
        <v>20</v>
      </c>
      <c r="H524" s="9">
        <v>25</v>
      </c>
    </row>
    <row r="525" spans="1:8" ht="15.75" customHeight="1" x14ac:dyDescent="0.25">
      <c r="A525" s="9">
        <v>523</v>
      </c>
      <c r="B525" s="9">
        <v>524</v>
      </c>
      <c r="C525" s="9">
        <v>9.0899999999999995E-2</v>
      </c>
      <c r="D525" s="9">
        <v>0.38</v>
      </c>
      <c r="E525" s="9">
        <v>0.19400000000000001</v>
      </c>
      <c r="F525" s="9">
        <v>5</v>
      </c>
      <c r="G525" s="9">
        <v>23</v>
      </c>
      <c r="H525" s="9">
        <v>28</v>
      </c>
    </row>
    <row r="526" spans="1:8" ht="15.75" customHeight="1" x14ac:dyDescent="0.25">
      <c r="A526" s="9">
        <v>524</v>
      </c>
      <c r="B526" s="9">
        <v>525</v>
      </c>
      <c r="C526" s="9">
        <v>6.0600000000000001E-2</v>
      </c>
      <c r="D526" s="9">
        <v>0.41</v>
      </c>
      <c r="E526" s="9">
        <v>0.22389999999999999</v>
      </c>
      <c r="F526" s="9">
        <v>4</v>
      </c>
      <c r="G526" s="9">
        <v>17</v>
      </c>
      <c r="H526" s="9">
        <v>21</v>
      </c>
    </row>
    <row r="527" spans="1:8" ht="15.75" customHeight="1" x14ac:dyDescent="0.25">
      <c r="A527" s="9">
        <v>525</v>
      </c>
      <c r="B527" s="9">
        <v>526</v>
      </c>
      <c r="C527" s="9">
        <v>6.0600000000000001E-2</v>
      </c>
      <c r="D527" s="9">
        <v>0.41</v>
      </c>
      <c r="E527" s="9">
        <v>0.19400000000000001</v>
      </c>
      <c r="F527" s="9">
        <v>0</v>
      </c>
      <c r="G527" s="9">
        <v>7</v>
      </c>
      <c r="H527" s="9">
        <v>7</v>
      </c>
    </row>
    <row r="528" spans="1:8" ht="15.75" customHeight="1" x14ac:dyDescent="0.25">
      <c r="A528" s="9">
        <v>526</v>
      </c>
      <c r="B528" s="9">
        <v>527</v>
      </c>
      <c r="C528" s="9">
        <v>4.5499999999999999E-2</v>
      </c>
      <c r="D528" s="9">
        <v>0.45</v>
      </c>
      <c r="E528" s="9">
        <v>0.19400000000000001</v>
      </c>
      <c r="F528" s="9">
        <v>0</v>
      </c>
      <c r="G528" s="9">
        <v>1</v>
      </c>
      <c r="H528" s="9">
        <v>1</v>
      </c>
    </row>
    <row r="529" spans="1:8" ht="15.75" customHeight="1" x14ac:dyDescent="0.25">
      <c r="A529" s="9">
        <v>527</v>
      </c>
      <c r="B529" s="9">
        <v>528</v>
      </c>
      <c r="C529" s="9">
        <v>3.0300000000000001E-2</v>
      </c>
      <c r="D529" s="9">
        <v>0.45</v>
      </c>
      <c r="E529" s="9">
        <v>0.25369999999999998</v>
      </c>
      <c r="F529" s="9">
        <v>0</v>
      </c>
      <c r="G529" s="9">
        <v>1</v>
      </c>
      <c r="H529" s="9">
        <v>1</v>
      </c>
    </row>
    <row r="530" spans="1:8" ht="15.75" customHeight="1" x14ac:dyDescent="0.25">
      <c r="A530" s="9">
        <v>528</v>
      </c>
      <c r="B530" s="9">
        <v>529</v>
      </c>
      <c r="C530" s="9">
        <v>6.0600000000000001E-2</v>
      </c>
      <c r="D530" s="9">
        <v>0.48</v>
      </c>
      <c r="E530" s="9">
        <v>0.1343</v>
      </c>
      <c r="F530" s="9">
        <v>0</v>
      </c>
      <c r="G530" s="9">
        <v>1</v>
      </c>
      <c r="H530" s="9">
        <v>1</v>
      </c>
    </row>
    <row r="531" spans="1:8" ht="15.75" customHeight="1" x14ac:dyDescent="0.25">
      <c r="A531" s="9">
        <v>529</v>
      </c>
      <c r="B531" s="9">
        <v>530</v>
      </c>
      <c r="C531" s="9">
        <v>6.0600000000000001E-2</v>
      </c>
      <c r="D531" s="9">
        <v>0.48</v>
      </c>
      <c r="E531" s="9">
        <v>0.1343</v>
      </c>
      <c r="F531" s="9">
        <v>0</v>
      </c>
      <c r="G531" s="9">
        <v>5</v>
      </c>
      <c r="H531" s="9">
        <v>5</v>
      </c>
    </row>
    <row r="532" spans="1:8" ht="15.75" customHeight="1" x14ac:dyDescent="0.25">
      <c r="A532" s="9">
        <v>530</v>
      </c>
      <c r="B532" s="9">
        <v>531</v>
      </c>
      <c r="C532" s="9">
        <v>7.5800000000000006E-2</v>
      </c>
      <c r="D532" s="9">
        <v>0.48</v>
      </c>
      <c r="E532" s="9">
        <v>8.9599999999999999E-2</v>
      </c>
      <c r="F532" s="9">
        <v>0</v>
      </c>
      <c r="G532" s="9">
        <v>15</v>
      </c>
      <c r="H532" s="9">
        <v>15</v>
      </c>
    </row>
    <row r="533" spans="1:8" ht="15.75" customHeight="1" x14ac:dyDescent="0.25">
      <c r="A533" s="9">
        <v>531</v>
      </c>
      <c r="B533" s="9">
        <v>532</v>
      </c>
      <c r="C533" s="9">
        <v>0.1212</v>
      </c>
      <c r="D533" s="9">
        <v>0.48</v>
      </c>
      <c r="E533" s="9">
        <v>0</v>
      </c>
      <c r="F533" s="9">
        <v>5</v>
      </c>
      <c r="G533" s="9">
        <v>79</v>
      </c>
      <c r="H533" s="9">
        <v>84</v>
      </c>
    </row>
    <row r="534" spans="1:8" ht="15.75" customHeight="1" x14ac:dyDescent="0.25">
      <c r="A534" s="9">
        <v>532</v>
      </c>
      <c r="B534" s="9">
        <v>533</v>
      </c>
      <c r="C534" s="9">
        <v>0.13639999999999999</v>
      </c>
      <c r="D534" s="9">
        <v>0.49</v>
      </c>
      <c r="E534" s="9">
        <v>0</v>
      </c>
      <c r="F534" s="9">
        <v>6</v>
      </c>
      <c r="G534" s="9">
        <v>171</v>
      </c>
      <c r="H534" s="9">
        <v>177</v>
      </c>
    </row>
    <row r="535" spans="1:8" ht="15.75" customHeight="1" x14ac:dyDescent="0.25">
      <c r="A535" s="9">
        <v>533</v>
      </c>
      <c r="B535" s="9">
        <v>534</v>
      </c>
      <c r="C535" s="9">
        <v>0.1515</v>
      </c>
      <c r="D535" s="9">
        <v>0.41</v>
      </c>
      <c r="E535" s="9">
        <v>0</v>
      </c>
      <c r="F535" s="9">
        <v>4</v>
      </c>
      <c r="G535" s="9">
        <v>98</v>
      </c>
      <c r="H535" s="9">
        <v>102</v>
      </c>
    </row>
    <row r="536" spans="1:8" ht="15.75" customHeight="1" x14ac:dyDescent="0.25">
      <c r="A536" s="9">
        <v>534</v>
      </c>
      <c r="B536" s="9">
        <v>535</v>
      </c>
      <c r="C536" s="9">
        <v>0.13639999999999999</v>
      </c>
      <c r="D536" s="9">
        <v>0.42</v>
      </c>
      <c r="E536" s="9">
        <v>0</v>
      </c>
      <c r="F536" s="9">
        <v>6</v>
      </c>
      <c r="G536" s="9">
        <v>34</v>
      </c>
      <c r="H536" s="9">
        <v>40</v>
      </c>
    </row>
    <row r="537" spans="1:8" ht="15.75" customHeight="1" x14ac:dyDescent="0.25">
      <c r="A537" s="9">
        <v>535</v>
      </c>
      <c r="B537" s="9">
        <v>536</v>
      </c>
      <c r="C537" s="9">
        <v>0.1212</v>
      </c>
      <c r="D537" s="9">
        <v>0.46</v>
      </c>
      <c r="E537" s="9">
        <v>0.1343</v>
      </c>
      <c r="F537" s="9">
        <v>3</v>
      </c>
      <c r="G537" s="9">
        <v>43</v>
      </c>
      <c r="H537" s="9">
        <v>46</v>
      </c>
    </row>
    <row r="538" spans="1:8" ht="15.75" customHeight="1" x14ac:dyDescent="0.25">
      <c r="A538" s="9">
        <v>536</v>
      </c>
      <c r="B538" s="9">
        <v>537</v>
      </c>
      <c r="C538" s="9">
        <v>0.13639999999999999</v>
      </c>
      <c r="D538" s="9">
        <v>0.42</v>
      </c>
      <c r="E538" s="9">
        <v>0.19400000000000001</v>
      </c>
      <c r="F538" s="9">
        <v>11</v>
      </c>
      <c r="G538" s="9">
        <v>52</v>
      </c>
      <c r="H538" s="9">
        <v>63</v>
      </c>
    </row>
    <row r="539" spans="1:8" ht="15.75" customHeight="1" x14ac:dyDescent="0.25">
      <c r="A539" s="9">
        <v>537</v>
      </c>
      <c r="B539" s="9">
        <v>538</v>
      </c>
      <c r="C539" s="9">
        <v>0.13639999999999999</v>
      </c>
      <c r="D539" s="9">
        <v>0.43</v>
      </c>
      <c r="E539" s="9">
        <v>0.22389999999999999</v>
      </c>
      <c r="F539" s="9">
        <v>6</v>
      </c>
      <c r="G539" s="9">
        <v>54</v>
      </c>
      <c r="H539" s="9">
        <v>60</v>
      </c>
    </row>
    <row r="540" spans="1:8" ht="15.75" customHeight="1" x14ac:dyDescent="0.25">
      <c r="A540" s="9">
        <v>538</v>
      </c>
      <c r="B540" s="9">
        <v>539</v>
      </c>
      <c r="C540" s="9">
        <v>0.13639999999999999</v>
      </c>
      <c r="D540" s="9">
        <v>0.46</v>
      </c>
      <c r="E540" s="9">
        <v>0.22389999999999999</v>
      </c>
      <c r="F540" s="9">
        <v>2</v>
      </c>
      <c r="G540" s="9">
        <v>43</v>
      </c>
      <c r="H540" s="9">
        <v>45</v>
      </c>
    </row>
    <row r="541" spans="1:8" ht="15.75" customHeight="1" x14ac:dyDescent="0.25">
      <c r="A541" s="9">
        <v>539</v>
      </c>
      <c r="B541" s="9">
        <v>540</v>
      </c>
      <c r="C541" s="9">
        <v>0.16669999999999999</v>
      </c>
      <c r="D541" s="9">
        <v>0.4</v>
      </c>
      <c r="E541" s="9">
        <v>0.16420000000000001</v>
      </c>
      <c r="F541" s="9">
        <v>7</v>
      </c>
      <c r="G541" s="9">
        <v>50</v>
      </c>
      <c r="H541" s="9">
        <v>57</v>
      </c>
    </row>
    <row r="542" spans="1:8" ht="15.75" customHeight="1" x14ac:dyDescent="0.25">
      <c r="A542" s="9">
        <v>540</v>
      </c>
      <c r="B542" s="9">
        <v>541</v>
      </c>
      <c r="C542" s="9">
        <v>0.1515</v>
      </c>
      <c r="D542" s="9">
        <v>0.47</v>
      </c>
      <c r="E542" s="9">
        <v>0.25369999999999998</v>
      </c>
      <c r="F542" s="9">
        <v>4</v>
      </c>
      <c r="G542" s="9">
        <v>66</v>
      </c>
      <c r="H542" s="9">
        <v>70</v>
      </c>
    </row>
    <row r="543" spans="1:8" ht="15.75" customHeight="1" x14ac:dyDescent="0.25">
      <c r="A543" s="9">
        <v>541</v>
      </c>
      <c r="B543" s="9">
        <v>542</v>
      </c>
      <c r="C543" s="9">
        <v>0.1212</v>
      </c>
      <c r="D543" s="9">
        <v>0.5</v>
      </c>
      <c r="E543" s="9">
        <v>0.25369999999999998</v>
      </c>
      <c r="F543" s="9">
        <v>6</v>
      </c>
      <c r="G543" s="9">
        <v>178</v>
      </c>
      <c r="H543" s="9">
        <v>184</v>
      </c>
    </row>
    <row r="544" spans="1:8" ht="15.75" customHeight="1" x14ac:dyDescent="0.25">
      <c r="A544" s="9">
        <v>542</v>
      </c>
      <c r="B544" s="9">
        <v>543</v>
      </c>
      <c r="C544" s="9">
        <v>0.13639999999999999</v>
      </c>
      <c r="D544" s="9">
        <v>0.59</v>
      </c>
      <c r="E544" s="9">
        <v>0.19400000000000001</v>
      </c>
      <c r="F544" s="9">
        <v>8</v>
      </c>
      <c r="G544" s="9">
        <v>145</v>
      </c>
      <c r="H544" s="9">
        <v>153</v>
      </c>
    </row>
    <row r="545" spans="1:8" ht="15.75" customHeight="1" x14ac:dyDescent="0.25">
      <c r="A545" s="9">
        <v>543</v>
      </c>
      <c r="B545" s="9">
        <v>544</v>
      </c>
      <c r="C545" s="9">
        <v>0.1515</v>
      </c>
      <c r="D545" s="9">
        <v>0.54</v>
      </c>
      <c r="E545" s="9">
        <v>0.16420000000000001</v>
      </c>
      <c r="F545" s="9">
        <v>5</v>
      </c>
      <c r="G545" s="9">
        <v>101</v>
      </c>
      <c r="H545" s="9">
        <v>106</v>
      </c>
    </row>
    <row r="546" spans="1:8" ht="15.75" customHeight="1" x14ac:dyDescent="0.25">
      <c r="A546" s="9">
        <v>544</v>
      </c>
      <c r="B546" s="9">
        <v>545</v>
      </c>
      <c r="C546" s="9">
        <v>0.13639999999999999</v>
      </c>
      <c r="D546" s="9">
        <v>0.59</v>
      </c>
      <c r="E546" s="9">
        <v>0.19400000000000001</v>
      </c>
      <c r="F546" s="9">
        <v>1</v>
      </c>
      <c r="G546" s="9">
        <v>80</v>
      </c>
      <c r="H546" s="9">
        <v>81</v>
      </c>
    </row>
    <row r="547" spans="1:8" ht="15.75" customHeight="1" x14ac:dyDescent="0.25">
      <c r="A547" s="9">
        <v>545</v>
      </c>
      <c r="B547" s="9">
        <v>546</v>
      </c>
      <c r="C547" s="9">
        <v>0.1515</v>
      </c>
      <c r="D547" s="9">
        <v>0.63</v>
      </c>
      <c r="E547" s="9">
        <v>0.16420000000000001</v>
      </c>
      <c r="F547" s="9">
        <v>6</v>
      </c>
      <c r="G547" s="9">
        <v>53</v>
      </c>
      <c r="H547" s="9">
        <v>59</v>
      </c>
    </row>
    <row r="548" spans="1:8" ht="15.75" customHeight="1" x14ac:dyDescent="0.25">
      <c r="A548" s="9">
        <v>546</v>
      </c>
      <c r="B548" s="9">
        <v>547</v>
      </c>
      <c r="C548" s="9">
        <v>0.13639999999999999</v>
      </c>
      <c r="D548" s="9">
        <v>0.63</v>
      </c>
      <c r="E548" s="9">
        <v>0.22389999999999999</v>
      </c>
      <c r="F548" s="9">
        <v>3</v>
      </c>
      <c r="G548" s="9">
        <v>32</v>
      </c>
      <c r="H548" s="9">
        <v>35</v>
      </c>
    </row>
    <row r="549" spans="1:8" ht="15.75" customHeight="1" x14ac:dyDescent="0.25">
      <c r="A549" s="9">
        <v>547</v>
      </c>
      <c r="B549" s="9">
        <v>548</v>
      </c>
      <c r="C549" s="9">
        <v>0.1515</v>
      </c>
      <c r="D549" s="9">
        <v>0.64</v>
      </c>
      <c r="E549" s="9">
        <v>0.25369999999999998</v>
      </c>
      <c r="F549" s="9">
        <v>3</v>
      </c>
      <c r="G549" s="9">
        <v>21</v>
      </c>
      <c r="H549" s="9">
        <v>24</v>
      </c>
    </row>
    <row r="550" spans="1:8" ht="15.75" customHeight="1" x14ac:dyDescent="0.25">
      <c r="A550" s="9">
        <v>548</v>
      </c>
      <c r="B550" s="9">
        <v>549</v>
      </c>
      <c r="C550" s="9">
        <v>0.13639999999999999</v>
      </c>
      <c r="D550" s="9">
        <v>0.69</v>
      </c>
      <c r="E550" s="9">
        <v>0.28360000000000002</v>
      </c>
      <c r="F550" s="9">
        <v>3</v>
      </c>
      <c r="G550" s="9">
        <v>6</v>
      </c>
      <c r="H550" s="9">
        <v>9</v>
      </c>
    </row>
    <row r="551" spans="1:8" ht="15.75" customHeight="1" x14ac:dyDescent="0.25">
      <c r="A551" s="9">
        <v>549</v>
      </c>
      <c r="B551" s="9">
        <v>550</v>
      </c>
      <c r="C551" s="9">
        <v>0.16669999999999999</v>
      </c>
      <c r="D551" s="9">
        <v>0.69</v>
      </c>
      <c r="E551" s="9">
        <v>0.16420000000000001</v>
      </c>
      <c r="F551" s="9">
        <v>0</v>
      </c>
      <c r="G551" s="9">
        <v>5</v>
      </c>
      <c r="H551" s="9">
        <v>5</v>
      </c>
    </row>
    <row r="552" spans="1:8" ht="15.75" customHeight="1" x14ac:dyDescent="0.25">
      <c r="A552" s="9">
        <v>550</v>
      </c>
      <c r="B552" s="9">
        <v>551</v>
      </c>
      <c r="C552" s="9">
        <v>0.1515</v>
      </c>
      <c r="D552" s="9">
        <v>0.69</v>
      </c>
      <c r="E552" s="9">
        <v>0.22389999999999999</v>
      </c>
      <c r="F552" s="9">
        <v>0</v>
      </c>
      <c r="G552" s="9">
        <v>2</v>
      </c>
      <c r="H552" s="9">
        <v>2</v>
      </c>
    </row>
    <row r="553" spans="1:8" ht="15.75" customHeight="1" x14ac:dyDescent="0.25">
      <c r="A553" s="9">
        <v>551</v>
      </c>
      <c r="B553" s="9">
        <v>552</v>
      </c>
      <c r="C553" s="9">
        <v>0.16669999999999999</v>
      </c>
      <c r="D553" s="9">
        <v>0.74</v>
      </c>
      <c r="E553" s="9">
        <v>0.1045</v>
      </c>
      <c r="F553" s="9">
        <v>0</v>
      </c>
      <c r="G553" s="9">
        <v>1</v>
      </c>
      <c r="H553" s="9">
        <v>1</v>
      </c>
    </row>
    <row r="554" spans="1:8" ht="15.75" customHeight="1" x14ac:dyDescent="0.25">
      <c r="A554" s="9">
        <v>552</v>
      </c>
      <c r="B554" s="9">
        <v>553</v>
      </c>
      <c r="C554" s="9">
        <v>0.13639999999999999</v>
      </c>
      <c r="D554" s="9">
        <v>0.74</v>
      </c>
      <c r="E554" s="9">
        <v>0.22389999999999999</v>
      </c>
      <c r="F554" s="9">
        <v>0</v>
      </c>
      <c r="G554" s="9">
        <v>9</v>
      </c>
      <c r="H554" s="9">
        <v>9</v>
      </c>
    </row>
    <row r="555" spans="1:8" ht="15.75" customHeight="1" x14ac:dyDescent="0.25">
      <c r="A555" s="9">
        <v>553</v>
      </c>
      <c r="B555" s="9">
        <v>554</v>
      </c>
      <c r="C555" s="9">
        <v>0.18179999999999999</v>
      </c>
      <c r="D555" s="9">
        <v>0.74</v>
      </c>
      <c r="E555" s="9">
        <v>0.1045</v>
      </c>
      <c r="F555" s="9">
        <v>1</v>
      </c>
      <c r="G555" s="9">
        <v>35</v>
      </c>
      <c r="H555" s="9">
        <v>36</v>
      </c>
    </row>
    <row r="556" spans="1:8" ht="15.75" customHeight="1" x14ac:dyDescent="0.25">
      <c r="A556" s="9">
        <v>554</v>
      </c>
      <c r="B556" s="9">
        <v>555</v>
      </c>
      <c r="C556" s="9">
        <v>0.1515</v>
      </c>
      <c r="D556" s="9">
        <v>0.74</v>
      </c>
      <c r="E556" s="9">
        <v>0.22389999999999999</v>
      </c>
      <c r="F556" s="9">
        <v>5</v>
      </c>
      <c r="G556" s="9">
        <v>103</v>
      </c>
      <c r="H556" s="9">
        <v>108</v>
      </c>
    </row>
    <row r="557" spans="1:8" ht="15.75" customHeight="1" x14ac:dyDescent="0.25">
      <c r="A557" s="9">
        <v>555</v>
      </c>
      <c r="B557" s="9">
        <v>556</v>
      </c>
      <c r="C557" s="9">
        <v>0.18179999999999999</v>
      </c>
      <c r="D557" s="9">
        <v>0.74</v>
      </c>
      <c r="E557" s="9">
        <v>0.1343</v>
      </c>
      <c r="F557" s="9">
        <v>5</v>
      </c>
      <c r="G557" s="9">
        <v>233</v>
      </c>
      <c r="H557" s="9">
        <v>238</v>
      </c>
    </row>
    <row r="558" spans="1:8" ht="15.75" customHeight="1" x14ac:dyDescent="0.25">
      <c r="A558" s="9">
        <v>556</v>
      </c>
      <c r="B558" s="9">
        <v>557</v>
      </c>
      <c r="C558" s="9">
        <v>0.2273</v>
      </c>
      <c r="D558" s="9">
        <v>0.64</v>
      </c>
      <c r="E558" s="9">
        <v>8.9599999999999999E-2</v>
      </c>
      <c r="F558" s="9">
        <v>10</v>
      </c>
      <c r="G558" s="9">
        <v>134</v>
      </c>
      <c r="H558" s="9">
        <v>144</v>
      </c>
    </row>
    <row r="559" spans="1:8" ht="15.75" customHeight="1" x14ac:dyDescent="0.25">
      <c r="A559" s="9">
        <v>557</v>
      </c>
      <c r="B559" s="9">
        <v>558</v>
      </c>
      <c r="C559" s="9">
        <v>0.2424</v>
      </c>
      <c r="D559" s="9">
        <v>0.6</v>
      </c>
      <c r="E559" s="9">
        <v>0.1045</v>
      </c>
      <c r="F559" s="9">
        <v>6</v>
      </c>
      <c r="G559" s="9">
        <v>49</v>
      </c>
      <c r="H559" s="9">
        <v>55</v>
      </c>
    </row>
    <row r="560" spans="1:8" ht="15.75" customHeight="1" x14ac:dyDescent="0.25">
      <c r="A560" s="9">
        <v>558</v>
      </c>
      <c r="B560" s="9">
        <v>559</v>
      </c>
      <c r="C560" s="9">
        <v>0.2424</v>
      </c>
      <c r="D560" s="9">
        <v>0.6</v>
      </c>
      <c r="E560" s="9">
        <v>0.1343</v>
      </c>
      <c r="F560" s="9">
        <v>6</v>
      </c>
      <c r="G560" s="9">
        <v>55</v>
      </c>
      <c r="H560" s="9">
        <v>61</v>
      </c>
    </row>
    <row r="561" spans="1:8" ht="15.75" customHeight="1" x14ac:dyDescent="0.25">
      <c r="A561" s="9">
        <v>559</v>
      </c>
      <c r="B561" s="9">
        <v>560</v>
      </c>
      <c r="C561" s="9">
        <v>0.28789999999999999</v>
      </c>
      <c r="D561" s="9">
        <v>0.56000000000000005</v>
      </c>
      <c r="E561" s="9">
        <v>8.9599999999999999E-2</v>
      </c>
      <c r="F561" s="9">
        <v>21</v>
      </c>
      <c r="G561" s="9">
        <v>85</v>
      </c>
      <c r="H561" s="9">
        <v>106</v>
      </c>
    </row>
    <row r="562" spans="1:8" ht="15.75" customHeight="1" x14ac:dyDescent="0.25">
      <c r="A562" s="9">
        <v>560</v>
      </c>
      <c r="B562" s="9">
        <v>561</v>
      </c>
      <c r="C562" s="9">
        <v>0.2727</v>
      </c>
      <c r="D562" s="9">
        <v>0.56000000000000005</v>
      </c>
      <c r="E562" s="9">
        <v>0.1343</v>
      </c>
      <c r="F562" s="9">
        <v>21</v>
      </c>
      <c r="G562" s="9">
        <v>72</v>
      </c>
      <c r="H562" s="9">
        <v>93</v>
      </c>
    </row>
    <row r="563" spans="1:8" ht="15.75" customHeight="1" x14ac:dyDescent="0.25">
      <c r="A563" s="9">
        <v>561</v>
      </c>
      <c r="B563" s="9">
        <v>562</v>
      </c>
      <c r="C563" s="9">
        <v>0.33329999999999999</v>
      </c>
      <c r="D563" s="9">
        <v>0.45</v>
      </c>
      <c r="E563" s="9">
        <v>0</v>
      </c>
      <c r="F563" s="9">
        <v>11</v>
      </c>
      <c r="G563" s="9">
        <v>57</v>
      </c>
      <c r="H563" s="9">
        <v>68</v>
      </c>
    </row>
    <row r="564" spans="1:8" ht="15.75" customHeight="1" x14ac:dyDescent="0.25">
      <c r="A564" s="9">
        <v>562</v>
      </c>
      <c r="B564" s="9">
        <v>563</v>
      </c>
      <c r="C564" s="9">
        <v>0.34849999999999998</v>
      </c>
      <c r="D564" s="9">
        <v>0.42</v>
      </c>
      <c r="E564" s="9">
        <v>0</v>
      </c>
      <c r="F564" s="9">
        <v>21</v>
      </c>
      <c r="G564" s="9">
        <v>63</v>
      </c>
      <c r="H564" s="9">
        <v>84</v>
      </c>
    </row>
    <row r="565" spans="1:8" ht="15.75" customHeight="1" x14ac:dyDescent="0.25">
      <c r="A565" s="9">
        <v>563</v>
      </c>
      <c r="B565" s="9">
        <v>564</v>
      </c>
      <c r="C565" s="9">
        <v>0.34849999999999998</v>
      </c>
      <c r="D565" s="9">
        <v>0.42</v>
      </c>
      <c r="E565" s="9">
        <v>0</v>
      </c>
      <c r="F565" s="9">
        <v>14</v>
      </c>
      <c r="G565" s="9">
        <v>102</v>
      </c>
      <c r="H565" s="9">
        <v>116</v>
      </c>
    </row>
    <row r="566" spans="1:8" ht="15.75" customHeight="1" x14ac:dyDescent="0.25">
      <c r="A566" s="9">
        <v>564</v>
      </c>
      <c r="B566" s="9">
        <v>565</v>
      </c>
      <c r="C566" s="9">
        <v>0.33329999999999999</v>
      </c>
      <c r="D566" s="9">
        <v>0.45</v>
      </c>
      <c r="E566" s="9">
        <v>0</v>
      </c>
      <c r="F566" s="9">
        <v>14</v>
      </c>
      <c r="G566" s="9">
        <v>208</v>
      </c>
      <c r="H566" s="9">
        <v>222</v>
      </c>
    </row>
    <row r="567" spans="1:8" ht="15.75" customHeight="1" x14ac:dyDescent="0.25">
      <c r="A567" s="9">
        <v>565</v>
      </c>
      <c r="B567" s="9">
        <v>566</v>
      </c>
      <c r="C567" s="9">
        <v>0.31819999999999998</v>
      </c>
      <c r="D567" s="9">
        <v>0.49</v>
      </c>
      <c r="E567" s="9">
        <v>8.9599999999999999E-2</v>
      </c>
      <c r="F567" s="9">
        <v>7</v>
      </c>
      <c r="G567" s="9">
        <v>218</v>
      </c>
      <c r="H567" s="9">
        <v>225</v>
      </c>
    </row>
    <row r="568" spans="1:8" ht="15.75" customHeight="1" x14ac:dyDescent="0.25">
      <c r="A568" s="9">
        <v>566</v>
      </c>
      <c r="B568" s="9">
        <v>567</v>
      </c>
      <c r="C568" s="9">
        <v>0.2576</v>
      </c>
      <c r="D568" s="9">
        <v>0.65</v>
      </c>
      <c r="E568" s="9">
        <v>0.16420000000000001</v>
      </c>
      <c r="F568" s="9">
        <v>13</v>
      </c>
      <c r="G568" s="9">
        <v>133</v>
      </c>
      <c r="H568" s="9">
        <v>146</v>
      </c>
    </row>
    <row r="569" spans="1:8" ht="15.75" customHeight="1" x14ac:dyDescent="0.25">
      <c r="A569" s="9">
        <v>567</v>
      </c>
      <c r="B569" s="9">
        <v>568</v>
      </c>
      <c r="C569" s="9">
        <v>0.2273</v>
      </c>
      <c r="D569" s="9">
        <v>0.65</v>
      </c>
      <c r="E569" s="9">
        <v>0.19400000000000001</v>
      </c>
      <c r="F569" s="9">
        <v>16</v>
      </c>
      <c r="G569" s="9">
        <v>103</v>
      </c>
      <c r="H569" s="9">
        <v>119</v>
      </c>
    </row>
    <row r="570" spans="1:8" ht="15.75" customHeight="1" x14ac:dyDescent="0.25">
      <c r="A570" s="9">
        <v>568</v>
      </c>
      <c r="B570" s="9">
        <v>569</v>
      </c>
      <c r="C570" s="9">
        <v>0.2273</v>
      </c>
      <c r="D570" s="9">
        <v>0.65</v>
      </c>
      <c r="E570" s="9">
        <v>0.19400000000000001</v>
      </c>
      <c r="F570" s="9">
        <v>5</v>
      </c>
      <c r="G570" s="9">
        <v>40</v>
      </c>
      <c r="H570" s="9">
        <v>45</v>
      </c>
    </row>
    <row r="571" spans="1:8" ht="15.75" customHeight="1" x14ac:dyDescent="0.25">
      <c r="A571" s="9">
        <v>569</v>
      </c>
      <c r="B571" s="9">
        <v>570</v>
      </c>
      <c r="C571" s="9">
        <v>0.2273</v>
      </c>
      <c r="D571" s="9">
        <v>0.64</v>
      </c>
      <c r="E571" s="9">
        <v>0.16420000000000001</v>
      </c>
      <c r="F571" s="9">
        <v>4</v>
      </c>
      <c r="G571" s="9">
        <v>49</v>
      </c>
      <c r="H571" s="9">
        <v>53</v>
      </c>
    </row>
    <row r="572" spans="1:8" ht="15.75" customHeight="1" x14ac:dyDescent="0.25">
      <c r="A572" s="9">
        <v>570</v>
      </c>
      <c r="B572" s="9">
        <v>571</v>
      </c>
      <c r="C572" s="9">
        <v>0.2273</v>
      </c>
      <c r="D572" s="9">
        <v>0.64</v>
      </c>
      <c r="E572" s="9">
        <v>0.16420000000000001</v>
      </c>
      <c r="F572" s="9">
        <v>3</v>
      </c>
      <c r="G572" s="9">
        <v>37</v>
      </c>
      <c r="H572" s="9">
        <v>40</v>
      </c>
    </row>
    <row r="573" spans="1:8" ht="15.75" customHeight="1" x14ac:dyDescent="0.25">
      <c r="A573" s="9">
        <v>571</v>
      </c>
      <c r="B573" s="9">
        <v>572</v>
      </c>
      <c r="C573" s="9">
        <v>0.2273</v>
      </c>
      <c r="D573" s="9">
        <v>0.69</v>
      </c>
      <c r="E573" s="9">
        <v>0.1343</v>
      </c>
      <c r="F573" s="9">
        <v>3</v>
      </c>
      <c r="G573" s="9">
        <v>14</v>
      </c>
      <c r="H573" s="9">
        <v>17</v>
      </c>
    </row>
    <row r="574" spans="1:8" ht="15.75" customHeight="1" x14ac:dyDescent="0.25">
      <c r="A574" s="9">
        <v>572</v>
      </c>
      <c r="B574" s="9">
        <v>573</v>
      </c>
      <c r="C574" s="9">
        <v>0.2424</v>
      </c>
      <c r="D574" s="9">
        <v>0.65</v>
      </c>
      <c r="E574" s="9">
        <v>0.1343</v>
      </c>
      <c r="F574" s="9">
        <v>0</v>
      </c>
      <c r="G574" s="9">
        <v>5</v>
      </c>
      <c r="H574" s="9">
        <v>5</v>
      </c>
    </row>
    <row r="575" spans="1:8" ht="15.75" customHeight="1" x14ac:dyDescent="0.25">
      <c r="A575" s="9">
        <v>573</v>
      </c>
      <c r="B575" s="9">
        <v>574</v>
      </c>
      <c r="C575" s="9">
        <v>0.2273</v>
      </c>
      <c r="D575" s="9">
        <v>0.69</v>
      </c>
      <c r="E575" s="9">
        <v>0.19400000000000001</v>
      </c>
      <c r="F575" s="9">
        <v>3</v>
      </c>
      <c r="G575" s="9">
        <v>7</v>
      </c>
      <c r="H575" s="9">
        <v>10</v>
      </c>
    </row>
    <row r="576" spans="1:8" ht="15.75" customHeight="1" x14ac:dyDescent="0.25">
      <c r="A576" s="9">
        <v>574</v>
      </c>
      <c r="B576" s="9">
        <v>575</v>
      </c>
      <c r="C576" s="9">
        <v>0.18179999999999999</v>
      </c>
      <c r="D576" s="9">
        <v>0.86</v>
      </c>
      <c r="E576" s="9">
        <v>0.28360000000000002</v>
      </c>
      <c r="F576" s="9">
        <v>0</v>
      </c>
      <c r="G576" s="9">
        <v>1</v>
      </c>
      <c r="H576" s="9">
        <v>1</v>
      </c>
    </row>
    <row r="577" spans="1:8" ht="15.75" customHeight="1" x14ac:dyDescent="0.25">
      <c r="A577" s="9">
        <v>575</v>
      </c>
      <c r="B577" s="9">
        <v>576</v>
      </c>
      <c r="C577" s="9">
        <v>0.18179999999999999</v>
      </c>
      <c r="D577" s="9">
        <v>0.86</v>
      </c>
      <c r="E577" s="9">
        <v>0.28360000000000002</v>
      </c>
      <c r="F577" s="9">
        <v>0</v>
      </c>
      <c r="G577" s="9">
        <v>8</v>
      </c>
      <c r="H577" s="9">
        <v>8</v>
      </c>
    </row>
    <row r="578" spans="1:8" ht="15.75" customHeight="1" x14ac:dyDescent="0.25">
      <c r="A578" s="9">
        <v>576</v>
      </c>
      <c r="B578" s="9">
        <v>577</v>
      </c>
      <c r="C578" s="9">
        <v>0.21210000000000001</v>
      </c>
      <c r="D578" s="9">
        <v>0.87</v>
      </c>
      <c r="E578" s="9">
        <v>0.29849999999999999</v>
      </c>
      <c r="F578" s="9">
        <v>1</v>
      </c>
      <c r="G578" s="9">
        <v>29</v>
      </c>
      <c r="H578" s="9">
        <v>30</v>
      </c>
    </row>
    <row r="579" spans="1:8" ht="15.75" customHeight="1" x14ac:dyDescent="0.25">
      <c r="A579" s="9">
        <v>577</v>
      </c>
      <c r="B579" s="9">
        <v>578</v>
      </c>
      <c r="C579" s="9">
        <v>0.21210000000000001</v>
      </c>
      <c r="D579" s="9">
        <v>0.87</v>
      </c>
      <c r="E579" s="9">
        <v>0.29849999999999999</v>
      </c>
      <c r="F579" s="9">
        <v>3</v>
      </c>
      <c r="G579" s="9">
        <v>69</v>
      </c>
      <c r="H579" s="9">
        <v>72</v>
      </c>
    </row>
    <row r="580" spans="1:8" ht="15.75" customHeight="1" x14ac:dyDescent="0.25">
      <c r="A580" s="9">
        <v>578</v>
      </c>
      <c r="B580" s="9">
        <v>579</v>
      </c>
      <c r="C580" s="9">
        <v>0.21210000000000001</v>
      </c>
      <c r="D580" s="9">
        <v>0.87</v>
      </c>
      <c r="E580" s="9">
        <v>0.29849999999999999</v>
      </c>
      <c r="F580" s="9">
        <v>3</v>
      </c>
      <c r="G580" s="9">
        <v>55</v>
      </c>
      <c r="H580" s="9">
        <v>58</v>
      </c>
    </row>
    <row r="581" spans="1:8" ht="15.75" customHeight="1" x14ac:dyDescent="0.25">
      <c r="A581" s="9">
        <v>579</v>
      </c>
      <c r="B581" s="9">
        <v>580</v>
      </c>
      <c r="C581" s="9">
        <v>0.21210000000000001</v>
      </c>
      <c r="D581" s="9">
        <v>0.93</v>
      </c>
      <c r="E581" s="9">
        <v>0.28360000000000002</v>
      </c>
      <c r="F581" s="9">
        <v>2</v>
      </c>
      <c r="G581" s="9">
        <v>26</v>
      </c>
      <c r="H581" s="9">
        <v>28</v>
      </c>
    </row>
    <row r="582" spans="1:8" ht="15.75" customHeight="1" x14ac:dyDescent="0.25">
      <c r="A582" s="9">
        <v>580</v>
      </c>
      <c r="B582" s="9">
        <v>581</v>
      </c>
      <c r="C582" s="9">
        <v>0.19700000000000001</v>
      </c>
      <c r="D582" s="9">
        <v>0.93</v>
      </c>
      <c r="E582" s="9">
        <v>0.32840000000000003</v>
      </c>
      <c r="F582" s="9">
        <v>6</v>
      </c>
      <c r="G582" s="9">
        <v>35</v>
      </c>
      <c r="H582" s="9">
        <v>41</v>
      </c>
    </row>
    <row r="583" spans="1:8" ht="15.75" customHeight="1" x14ac:dyDescent="0.25">
      <c r="A583" s="9">
        <v>581</v>
      </c>
      <c r="B583" s="9">
        <v>582</v>
      </c>
      <c r="C583" s="9">
        <v>0.19700000000000001</v>
      </c>
      <c r="D583" s="9">
        <v>0.93</v>
      </c>
      <c r="E583" s="9">
        <v>0.32840000000000003</v>
      </c>
      <c r="F583" s="9">
        <v>7</v>
      </c>
      <c r="G583" s="9">
        <v>41</v>
      </c>
      <c r="H583" s="9">
        <v>48</v>
      </c>
    </row>
    <row r="584" spans="1:8" ht="15.75" customHeight="1" x14ac:dyDescent="0.25">
      <c r="A584" s="9">
        <v>582</v>
      </c>
      <c r="B584" s="9">
        <v>583</v>
      </c>
      <c r="C584" s="9">
        <v>0.19700000000000001</v>
      </c>
      <c r="D584" s="9">
        <v>0.93</v>
      </c>
      <c r="E584" s="9">
        <v>0.32840000000000003</v>
      </c>
      <c r="F584" s="9">
        <v>4</v>
      </c>
      <c r="G584" s="9">
        <v>43</v>
      </c>
      <c r="H584" s="9">
        <v>47</v>
      </c>
    </row>
    <row r="585" spans="1:8" ht="15.75" customHeight="1" x14ac:dyDescent="0.25">
      <c r="A585" s="9">
        <v>583</v>
      </c>
      <c r="B585" s="9">
        <v>584</v>
      </c>
      <c r="C585" s="9">
        <v>0.19700000000000001</v>
      </c>
      <c r="D585" s="9">
        <v>0.93</v>
      </c>
      <c r="E585" s="9">
        <v>0.35820000000000002</v>
      </c>
      <c r="F585" s="9">
        <v>0</v>
      </c>
      <c r="G585" s="9">
        <v>36</v>
      </c>
      <c r="H585" s="9">
        <v>36</v>
      </c>
    </row>
    <row r="586" spans="1:8" ht="15.75" customHeight="1" x14ac:dyDescent="0.25">
      <c r="A586" s="9">
        <v>584</v>
      </c>
      <c r="B586" s="9">
        <v>585</v>
      </c>
      <c r="C586" s="9">
        <v>0.18179999999999999</v>
      </c>
      <c r="D586" s="9">
        <v>0.93</v>
      </c>
      <c r="E586" s="9">
        <v>0.4627</v>
      </c>
      <c r="F586" s="9">
        <v>1</v>
      </c>
      <c r="G586" s="9">
        <v>42</v>
      </c>
      <c r="H586" s="9">
        <v>43</v>
      </c>
    </row>
    <row r="587" spans="1:8" ht="15.75" customHeight="1" x14ac:dyDescent="0.25">
      <c r="A587" s="9">
        <v>585</v>
      </c>
      <c r="B587" s="9">
        <v>586</v>
      </c>
      <c r="C587" s="9">
        <v>0.19700000000000001</v>
      </c>
      <c r="D587" s="9">
        <v>0.93</v>
      </c>
      <c r="E587" s="9">
        <v>0.32840000000000003</v>
      </c>
      <c r="F587" s="9">
        <v>1</v>
      </c>
      <c r="G587" s="9">
        <v>35</v>
      </c>
      <c r="H587" s="9">
        <v>36</v>
      </c>
    </row>
    <row r="588" spans="1:8" ht="15.75" customHeight="1" x14ac:dyDescent="0.25">
      <c r="A588" s="9">
        <v>586</v>
      </c>
      <c r="B588" s="9">
        <v>587</v>
      </c>
      <c r="C588" s="9">
        <v>0.18179999999999999</v>
      </c>
      <c r="D588" s="9">
        <v>0.93</v>
      </c>
      <c r="E588" s="9">
        <v>0.35820000000000002</v>
      </c>
      <c r="F588" s="9">
        <v>0</v>
      </c>
      <c r="G588" s="9">
        <v>26</v>
      </c>
      <c r="H588" s="9">
        <v>26</v>
      </c>
    </row>
    <row r="589" spans="1:8" ht="15.75" customHeight="1" x14ac:dyDescent="0.25">
      <c r="A589" s="9">
        <v>587</v>
      </c>
      <c r="B589" s="9">
        <v>588</v>
      </c>
      <c r="C589" s="9">
        <v>0.2273</v>
      </c>
      <c r="D589" s="9">
        <v>0.55000000000000004</v>
      </c>
      <c r="E589" s="9">
        <v>0.19400000000000001</v>
      </c>
      <c r="F589" s="9">
        <v>1</v>
      </c>
      <c r="G589" s="9">
        <v>23</v>
      </c>
      <c r="H589" s="9">
        <v>24</v>
      </c>
    </row>
    <row r="590" spans="1:8" ht="15.75" customHeight="1" x14ac:dyDescent="0.25">
      <c r="A590" s="9">
        <v>588</v>
      </c>
      <c r="B590" s="9">
        <v>589</v>
      </c>
      <c r="C590" s="9">
        <v>0.2424</v>
      </c>
      <c r="D590" s="9">
        <v>0.55000000000000004</v>
      </c>
      <c r="E590" s="9">
        <v>0.1045</v>
      </c>
      <c r="F590" s="9">
        <v>2</v>
      </c>
      <c r="G590" s="9">
        <v>82</v>
      </c>
      <c r="H590" s="9">
        <v>84</v>
      </c>
    </row>
    <row r="591" spans="1:8" ht="15.75" customHeight="1" x14ac:dyDescent="0.25">
      <c r="A591" s="9">
        <v>589</v>
      </c>
      <c r="B591" s="9">
        <v>590</v>
      </c>
      <c r="C591" s="9">
        <v>0.2273</v>
      </c>
      <c r="D591" s="9">
        <v>0.69</v>
      </c>
      <c r="E591" s="9">
        <v>8.9599999999999999E-2</v>
      </c>
      <c r="F591" s="9">
        <v>3</v>
      </c>
      <c r="G591" s="9">
        <v>101</v>
      </c>
      <c r="H591" s="9">
        <v>104</v>
      </c>
    </row>
    <row r="592" spans="1:8" ht="15.75" customHeight="1" x14ac:dyDescent="0.25">
      <c r="A592" s="9">
        <v>590</v>
      </c>
      <c r="B592" s="9">
        <v>591</v>
      </c>
      <c r="C592" s="9">
        <v>0.2273</v>
      </c>
      <c r="D592" s="9">
        <v>0.69</v>
      </c>
      <c r="E592" s="9">
        <v>8.9599999999999999E-2</v>
      </c>
      <c r="F592" s="9">
        <v>3</v>
      </c>
      <c r="G592" s="9">
        <v>76</v>
      </c>
      <c r="H592" s="9">
        <v>79</v>
      </c>
    </row>
    <row r="593" spans="1:8" ht="15.75" customHeight="1" x14ac:dyDescent="0.25">
      <c r="A593" s="9">
        <v>591</v>
      </c>
      <c r="B593" s="9">
        <v>592</v>
      </c>
      <c r="C593" s="9">
        <v>0.21210000000000001</v>
      </c>
      <c r="D593" s="9">
        <v>0.74</v>
      </c>
      <c r="E593" s="9">
        <v>8.9599999999999999E-2</v>
      </c>
      <c r="F593" s="9">
        <v>4</v>
      </c>
      <c r="G593" s="9">
        <v>55</v>
      </c>
      <c r="H593" s="9">
        <v>59</v>
      </c>
    </row>
    <row r="594" spans="1:8" ht="15.75" customHeight="1" x14ac:dyDescent="0.25">
      <c r="A594" s="9">
        <v>592</v>
      </c>
      <c r="B594" s="9">
        <v>593</v>
      </c>
      <c r="C594" s="9">
        <v>0.21210000000000001</v>
      </c>
      <c r="D594" s="9">
        <v>0.74</v>
      </c>
      <c r="E594" s="9">
        <v>8.9599999999999999E-2</v>
      </c>
      <c r="F594" s="9">
        <v>2</v>
      </c>
      <c r="G594" s="9">
        <v>36</v>
      </c>
      <c r="H594" s="9">
        <v>38</v>
      </c>
    </row>
    <row r="595" spans="1:8" ht="15.75" customHeight="1" x14ac:dyDescent="0.25">
      <c r="A595" s="9">
        <v>593</v>
      </c>
      <c r="B595" s="9">
        <v>594</v>
      </c>
      <c r="C595" s="9">
        <v>0.21210000000000001</v>
      </c>
      <c r="D595" s="9">
        <v>0.74</v>
      </c>
      <c r="E595" s="9">
        <v>8.9599999999999999E-2</v>
      </c>
      <c r="F595" s="9">
        <v>0</v>
      </c>
      <c r="G595" s="9">
        <v>27</v>
      </c>
      <c r="H595" s="9">
        <v>27</v>
      </c>
    </row>
    <row r="596" spans="1:8" ht="15.75" customHeight="1" x14ac:dyDescent="0.25">
      <c r="A596" s="9">
        <v>594</v>
      </c>
      <c r="B596" s="9">
        <v>595</v>
      </c>
      <c r="C596" s="9">
        <v>0.19700000000000001</v>
      </c>
      <c r="D596" s="9">
        <v>0.8</v>
      </c>
      <c r="E596" s="9">
        <v>0.16420000000000001</v>
      </c>
      <c r="F596" s="9">
        <v>0</v>
      </c>
      <c r="G596" s="9">
        <v>16</v>
      </c>
      <c r="H596" s="9">
        <v>16</v>
      </c>
    </row>
    <row r="597" spans="1:8" ht="15.75" customHeight="1" x14ac:dyDescent="0.25">
      <c r="A597" s="9">
        <v>595</v>
      </c>
      <c r="B597" s="9">
        <v>596</v>
      </c>
      <c r="C597" s="9">
        <v>0.21210000000000001</v>
      </c>
      <c r="D597" s="9">
        <v>0.75</v>
      </c>
      <c r="E597" s="9">
        <v>0.1343</v>
      </c>
      <c r="F597" s="9">
        <v>0</v>
      </c>
      <c r="G597" s="9">
        <v>9</v>
      </c>
      <c r="H597" s="9">
        <v>9</v>
      </c>
    </row>
    <row r="598" spans="1:8" ht="15.75" customHeight="1" x14ac:dyDescent="0.25">
      <c r="A598" s="9">
        <v>596</v>
      </c>
      <c r="B598" s="9">
        <v>597</v>
      </c>
      <c r="C598" s="9">
        <v>0.21210000000000001</v>
      </c>
      <c r="D598" s="9">
        <v>0.75</v>
      </c>
      <c r="E598" s="9">
        <v>0.1343</v>
      </c>
      <c r="F598" s="9">
        <v>1</v>
      </c>
      <c r="G598" s="9">
        <v>2</v>
      </c>
      <c r="H598" s="9">
        <v>3</v>
      </c>
    </row>
    <row r="599" spans="1:8" ht="15.75" customHeight="1" x14ac:dyDescent="0.25">
      <c r="A599" s="9">
        <v>597</v>
      </c>
      <c r="B599" s="9">
        <v>598</v>
      </c>
      <c r="C599" s="9">
        <v>0.21210000000000001</v>
      </c>
      <c r="D599" s="9">
        <v>0.75</v>
      </c>
      <c r="E599" s="9">
        <v>0.16420000000000001</v>
      </c>
      <c r="F599" s="9">
        <v>0</v>
      </c>
      <c r="G599" s="9">
        <v>2</v>
      </c>
      <c r="H599" s="9">
        <v>2</v>
      </c>
    </row>
    <row r="600" spans="1:8" ht="15.75" customHeight="1" x14ac:dyDescent="0.25">
      <c r="A600" s="9">
        <v>598</v>
      </c>
      <c r="B600" s="9">
        <v>599</v>
      </c>
      <c r="C600" s="9">
        <v>0.2273</v>
      </c>
      <c r="D600" s="9">
        <v>0.75</v>
      </c>
      <c r="E600" s="9">
        <v>0.1045</v>
      </c>
      <c r="F600" s="9">
        <v>1</v>
      </c>
      <c r="G600" s="9">
        <v>0</v>
      </c>
      <c r="H600" s="9">
        <v>1</v>
      </c>
    </row>
    <row r="601" spans="1:8" ht="15.75" customHeight="1" x14ac:dyDescent="0.25">
      <c r="A601" s="9">
        <v>599</v>
      </c>
      <c r="B601" s="9">
        <v>600</v>
      </c>
      <c r="C601" s="9">
        <v>0.21210000000000001</v>
      </c>
      <c r="D601" s="9">
        <v>0.8</v>
      </c>
      <c r="E601" s="9">
        <v>0.1045</v>
      </c>
      <c r="F601" s="9">
        <v>0</v>
      </c>
      <c r="G601" s="9">
        <v>4</v>
      </c>
      <c r="H601" s="9">
        <v>4</v>
      </c>
    </row>
    <row r="602" spans="1:8" ht="15.75" customHeight="1" x14ac:dyDescent="0.25">
      <c r="A602" s="9">
        <v>600</v>
      </c>
      <c r="B602" s="9">
        <v>601</v>
      </c>
      <c r="C602" s="9">
        <v>0.19700000000000001</v>
      </c>
      <c r="D602" s="9">
        <v>0.8</v>
      </c>
      <c r="E602" s="9">
        <v>0.1343</v>
      </c>
      <c r="F602" s="9">
        <v>0</v>
      </c>
      <c r="G602" s="9">
        <v>16</v>
      </c>
      <c r="H602" s="9">
        <v>16</v>
      </c>
    </row>
    <row r="603" spans="1:8" ht="15.75" customHeight="1" x14ac:dyDescent="0.25">
      <c r="A603" s="9">
        <v>601</v>
      </c>
      <c r="B603" s="9">
        <v>602</v>
      </c>
      <c r="C603" s="9">
        <v>0.19700000000000001</v>
      </c>
      <c r="D603" s="9">
        <v>0.86</v>
      </c>
      <c r="E603" s="9">
        <v>8.9599999999999999E-2</v>
      </c>
      <c r="F603" s="9">
        <v>2</v>
      </c>
      <c r="G603" s="9">
        <v>58</v>
      </c>
      <c r="H603" s="9">
        <v>60</v>
      </c>
    </row>
    <row r="604" spans="1:8" ht="15.75" customHeight="1" x14ac:dyDescent="0.25">
      <c r="A604" s="9">
        <v>602</v>
      </c>
      <c r="B604" s="9">
        <v>603</v>
      </c>
      <c r="C604" s="9">
        <v>0.19700000000000001</v>
      </c>
      <c r="D604" s="9">
        <v>0.86</v>
      </c>
      <c r="E604" s="9">
        <v>8.9599999999999999E-2</v>
      </c>
      <c r="F604" s="9">
        <v>2</v>
      </c>
      <c r="G604" s="9">
        <v>155</v>
      </c>
      <c r="H604" s="9">
        <v>157</v>
      </c>
    </row>
    <row r="605" spans="1:8" ht="15.75" customHeight="1" x14ac:dyDescent="0.25">
      <c r="A605" s="9">
        <v>603</v>
      </c>
      <c r="B605" s="9">
        <v>604</v>
      </c>
      <c r="C605" s="9">
        <v>0.21210000000000001</v>
      </c>
      <c r="D605" s="9">
        <v>0.86</v>
      </c>
      <c r="E605" s="9">
        <v>8.9599999999999999E-2</v>
      </c>
      <c r="F605" s="9">
        <v>6</v>
      </c>
      <c r="G605" s="9">
        <v>95</v>
      </c>
      <c r="H605" s="9">
        <v>101</v>
      </c>
    </row>
    <row r="606" spans="1:8" ht="15.75" customHeight="1" x14ac:dyDescent="0.25">
      <c r="A606" s="9">
        <v>604</v>
      </c>
      <c r="B606" s="9">
        <v>605</v>
      </c>
      <c r="C606" s="9">
        <v>0.21210000000000001</v>
      </c>
      <c r="D606" s="9">
        <v>0.86</v>
      </c>
      <c r="E606" s="9">
        <v>0.1045</v>
      </c>
      <c r="F606" s="9">
        <v>0</v>
      </c>
      <c r="G606" s="9">
        <v>49</v>
      </c>
      <c r="H606" s="9">
        <v>49</v>
      </c>
    </row>
    <row r="607" spans="1:8" ht="15.75" customHeight="1" x14ac:dyDescent="0.25">
      <c r="A607" s="9">
        <v>605</v>
      </c>
      <c r="B607" s="9">
        <v>606</v>
      </c>
      <c r="C607" s="9">
        <v>0.21210000000000001</v>
      </c>
      <c r="D607" s="9">
        <v>0.93</v>
      </c>
      <c r="E607" s="9">
        <v>0.1045</v>
      </c>
      <c r="F607" s="9">
        <v>0</v>
      </c>
      <c r="G607" s="9">
        <v>30</v>
      </c>
      <c r="H607" s="9">
        <v>30</v>
      </c>
    </row>
    <row r="608" spans="1:8" ht="15.75" customHeight="1" x14ac:dyDescent="0.25">
      <c r="A608" s="9">
        <v>606</v>
      </c>
      <c r="B608" s="9">
        <v>607</v>
      </c>
      <c r="C608" s="9">
        <v>0.21210000000000001</v>
      </c>
      <c r="D608" s="9">
        <v>0.93</v>
      </c>
      <c r="E608" s="9">
        <v>0.1045</v>
      </c>
      <c r="F608" s="9">
        <v>1</v>
      </c>
      <c r="G608" s="9">
        <v>28</v>
      </c>
      <c r="H608" s="9">
        <v>29</v>
      </c>
    </row>
    <row r="609" spans="1:8" ht="15.75" customHeight="1" x14ac:dyDescent="0.25">
      <c r="A609" s="9">
        <v>607</v>
      </c>
      <c r="B609" s="9">
        <v>608</v>
      </c>
      <c r="C609" s="9">
        <v>0.21210000000000001</v>
      </c>
      <c r="D609" s="9">
        <v>0.93</v>
      </c>
      <c r="E609" s="9">
        <v>0.1045</v>
      </c>
      <c r="F609" s="9">
        <v>0</v>
      </c>
      <c r="G609" s="9">
        <v>31</v>
      </c>
      <c r="H609" s="9">
        <v>31</v>
      </c>
    </row>
    <row r="610" spans="1:8" ht="15.75" customHeight="1" x14ac:dyDescent="0.25">
      <c r="A610" s="9">
        <v>608</v>
      </c>
      <c r="B610" s="9">
        <v>609</v>
      </c>
      <c r="C610" s="9">
        <v>0.2727</v>
      </c>
      <c r="D610" s="9">
        <v>0.8</v>
      </c>
      <c r="E610" s="9">
        <v>0</v>
      </c>
      <c r="F610" s="9">
        <v>2</v>
      </c>
      <c r="G610" s="9">
        <v>36</v>
      </c>
      <c r="H610" s="9">
        <v>38</v>
      </c>
    </row>
    <row r="611" spans="1:8" ht="15.75" customHeight="1" x14ac:dyDescent="0.25">
      <c r="A611" s="9">
        <v>609</v>
      </c>
      <c r="B611" s="9">
        <v>610</v>
      </c>
      <c r="C611" s="9">
        <v>0.2576</v>
      </c>
      <c r="D611" s="9">
        <v>0.86</v>
      </c>
      <c r="E611" s="9">
        <v>0</v>
      </c>
      <c r="F611" s="9">
        <v>1</v>
      </c>
      <c r="G611" s="9">
        <v>40</v>
      </c>
      <c r="H611" s="9">
        <v>41</v>
      </c>
    </row>
    <row r="612" spans="1:8" ht="15.75" customHeight="1" x14ac:dyDescent="0.25"/>
    <row r="613" spans="1:8" ht="15.75" customHeight="1" x14ac:dyDescent="0.25"/>
    <row r="614" spans="1:8" ht="15.75" customHeight="1" x14ac:dyDescent="0.25"/>
    <row r="615" spans="1:8" ht="15.75" customHeight="1" x14ac:dyDescent="0.25"/>
    <row r="616" spans="1:8" ht="15.75" customHeight="1" x14ac:dyDescent="0.25"/>
    <row r="617" spans="1:8" ht="15.75" customHeight="1" x14ac:dyDescent="0.25"/>
    <row r="618" spans="1:8" ht="15.75" customHeight="1" x14ac:dyDescent="0.25"/>
    <row r="619" spans="1:8" ht="15.75" customHeight="1" x14ac:dyDescent="0.25"/>
    <row r="620" spans="1:8" ht="15.75" customHeight="1" x14ac:dyDescent="0.25"/>
    <row r="621" spans="1:8" ht="15.75" customHeight="1" x14ac:dyDescent="0.25"/>
    <row r="622" spans="1:8" ht="15.75" customHeight="1" x14ac:dyDescent="0.25"/>
    <row r="623" spans="1:8" ht="15.75" customHeight="1" x14ac:dyDescent="0.25"/>
    <row r="624" spans="1:8" ht="15.7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611"/>
  <sheetViews>
    <sheetView topLeftCell="B1" workbookViewId="0">
      <selection activeCell="T21" sqref="T21"/>
    </sheetView>
  </sheetViews>
  <sheetFormatPr defaultRowHeight="15" x14ac:dyDescent="0.25"/>
  <cols>
    <col min="11" max="11" width="8.85546875" customWidth="1"/>
    <col min="12" max="12" width="8.7109375" customWidth="1"/>
    <col min="13" max="13" width="13" customWidth="1"/>
    <col min="14" max="14" width="8.7109375" customWidth="1"/>
    <col min="15" max="15" width="12.28515625" customWidth="1"/>
    <col min="16" max="16" width="5.85546875" customWidth="1"/>
    <col min="17" max="17" width="11.140625" customWidth="1"/>
    <col min="18" max="18" width="15.42578125" customWidth="1"/>
  </cols>
  <sheetData>
    <row r="1" spans="1:18" x14ac:dyDescent="0.25">
      <c r="A1" s="7" t="s">
        <v>0</v>
      </c>
      <c r="B1" s="8" t="s">
        <v>1</v>
      </c>
      <c r="C1" s="7" t="s">
        <v>2</v>
      </c>
      <c r="D1" s="7" t="s">
        <v>3</v>
      </c>
      <c r="E1" s="7" t="s">
        <v>4</v>
      </c>
      <c r="F1" s="7" t="s">
        <v>5</v>
      </c>
      <c r="G1" s="7" t="s">
        <v>6</v>
      </c>
      <c r="H1" s="7" t="s">
        <v>7</v>
      </c>
      <c r="I1" s="7" t="s">
        <v>8</v>
      </c>
      <c r="J1" s="7" t="s">
        <v>9</v>
      </c>
      <c r="K1" s="9" t="s">
        <v>10</v>
      </c>
      <c r="L1" s="9" t="s">
        <v>11</v>
      </c>
      <c r="M1" s="9" t="s">
        <v>12</v>
      </c>
      <c r="N1" s="9" t="s">
        <v>13</v>
      </c>
      <c r="O1" s="9" t="s">
        <v>14</v>
      </c>
      <c r="P1" s="9" t="s">
        <v>15</v>
      </c>
      <c r="Q1" s="7" t="s">
        <v>36</v>
      </c>
      <c r="R1" s="7" t="s">
        <v>37</v>
      </c>
    </row>
    <row r="2" spans="1:18" x14ac:dyDescent="0.25">
      <c r="A2" s="7">
        <v>1</v>
      </c>
      <c r="B2" s="8">
        <v>40544</v>
      </c>
      <c r="C2" s="7">
        <v>1</v>
      </c>
      <c r="D2" s="7">
        <v>0</v>
      </c>
      <c r="E2" s="7">
        <v>1</v>
      </c>
      <c r="F2" s="7">
        <v>0</v>
      </c>
      <c r="G2" s="7" t="b">
        <v>0</v>
      </c>
      <c r="H2" s="7">
        <v>6</v>
      </c>
      <c r="I2" s="7">
        <v>1</v>
      </c>
      <c r="J2" s="7">
        <v>0.24</v>
      </c>
      <c r="K2" s="9">
        <v>0.28789999999999999</v>
      </c>
      <c r="L2" s="9">
        <v>0.81</v>
      </c>
      <c r="M2" s="9">
        <v>0</v>
      </c>
      <c r="N2" s="9">
        <v>3</v>
      </c>
      <c r="O2" s="9">
        <v>13</v>
      </c>
      <c r="P2" s="9">
        <v>16</v>
      </c>
      <c r="Q2" s="7" t="str">
        <f t="shared" ref="Q2:Q65" si="0">CHOOSE(H2+1, "SUNDAY", "MONDAY","TUESDAY", "WENESDAY","THUSDAY", "FRIDAY", "SATARDAY")</f>
        <v>SATARDAY</v>
      </c>
      <c r="R2" t="str">
        <f t="shared" ref="R2:R65" si="1">IF(I2=1,"Clear",IF(I2=2,"Mist",IF(I2=3,"Light Rain/Snow","Heavy Rain")))</f>
        <v>Clear</v>
      </c>
    </row>
    <row r="3" spans="1:18" x14ac:dyDescent="0.25">
      <c r="A3" s="7">
        <v>2</v>
      </c>
      <c r="B3" s="8">
        <v>40544</v>
      </c>
      <c r="C3" s="7">
        <v>1</v>
      </c>
      <c r="D3" s="7">
        <v>0</v>
      </c>
      <c r="E3" s="7">
        <v>1</v>
      </c>
      <c r="F3" s="7">
        <v>1</v>
      </c>
      <c r="G3" s="7" t="b">
        <v>0</v>
      </c>
      <c r="H3" s="7">
        <v>6</v>
      </c>
      <c r="I3" s="7">
        <v>1</v>
      </c>
      <c r="J3" s="7">
        <v>0.22</v>
      </c>
      <c r="K3" s="9">
        <v>0.2727</v>
      </c>
      <c r="L3" s="9">
        <v>0.8</v>
      </c>
      <c r="M3" s="9">
        <v>0</v>
      </c>
      <c r="N3" s="9">
        <v>8</v>
      </c>
      <c r="O3" s="9">
        <v>32</v>
      </c>
      <c r="P3" s="9">
        <v>40</v>
      </c>
      <c r="Q3" s="7" t="str">
        <f t="shared" si="0"/>
        <v>SATARDAY</v>
      </c>
      <c r="R3" t="str">
        <f t="shared" si="1"/>
        <v>Clear</v>
      </c>
    </row>
    <row r="4" spans="1:18" x14ac:dyDescent="0.25">
      <c r="A4" s="7">
        <v>3</v>
      </c>
      <c r="B4" s="8">
        <v>40544</v>
      </c>
      <c r="C4" s="7">
        <v>1</v>
      </c>
      <c r="D4" s="7">
        <v>0</v>
      </c>
      <c r="E4" s="7">
        <v>1</v>
      </c>
      <c r="F4" s="7">
        <v>2</v>
      </c>
      <c r="G4" s="7" t="b">
        <v>0</v>
      </c>
      <c r="H4" s="7">
        <v>6</v>
      </c>
      <c r="I4" s="7">
        <v>1</v>
      </c>
      <c r="J4" s="7">
        <v>0.22</v>
      </c>
      <c r="K4" s="9">
        <v>0.2727</v>
      </c>
      <c r="L4" s="9">
        <v>0.8</v>
      </c>
      <c r="M4" s="9">
        <v>0</v>
      </c>
      <c r="N4" s="9">
        <v>5</v>
      </c>
      <c r="O4" s="9">
        <v>27</v>
      </c>
      <c r="P4" s="9">
        <v>32</v>
      </c>
      <c r="Q4" s="7" t="str">
        <f t="shared" si="0"/>
        <v>SATARDAY</v>
      </c>
      <c r="R4" t="str">
        <f t="shared" si="1"/>
        <v>Clear</v>
      </c>
    </row>
    <row r="5" spans="1:18" x14ac:dyDescent="0.25">
      <c r="A5" s="7">
        <v>4</v>
      </c>
      <c r="B5" s="8">
        <v>40544</v>
      </c>
      <c r="C5" s="7">
        <v>1</v>
      </c>
      <c r="D5" s="7">
        <v>0</v>
      </c>
      <c r="E5" s="7">
        <v>1</v>
      </c>
      <c r="F5" s="7">
        <v>3</v>
      </c>
      <c r="G5" s="7" t="b">
        <v>0</v>
      </c>
      <c r="H5" s="7">
        <v>6</v>
      </c>
      <c r="I5" s="7">
        <v>1</v>
      </c>
      <c r="J5" s="7">
        <v>0.24</v>
      </c>
      <c r="K5" s="9">
        <v>0.28789999999999999</v>
      </c>
      <c r="L5" s="9">
        <v>0.75</v>
      </c>
      <c r="M5" s="9">
        <v>0</v>
      </c>
      <c r="N5" s="9">
        <v>3</v>
      </c>
      <c r="O5" s="9">
        <v>10</v>
      </c>
      <c r="P5" s="9">
        <v>13</v>
      </c>
      <c r="Q5" s="7" t="str">
        <f t="shared" si="0"/>
        <v>SATARDAY</v>
      </c>
      <c r="R5" t="str">
        <f t="shared" si="1"/>
        <v>Clear</v>
      </c>
    </row>
    <row r="6" spans="1:18" x14ac:dyDescent="0.25">
      <c r="A6" s="7">
        <v>5</v>
      </c>
      <c r="B6" s="8">
        <v>40544</v>
      </c>
      <c r="C6" s="7">
        <v>1</v>
      </c>
      <c r="D6" s="7">
        <v>0</v>
      </c>
      <c r="E6" s="7">
        <v>1</v>
      </c>
      <c r="F6" s="7">
        <v>4</v>
      </c>
      <c r="G6" s="7" t="b">
        <v>0</v>
      </c>
      <c r="H6" s="7">
        <v>6</v>
      </c>
      <c r="I6" s="7">
        <v>1</v>
      </c>
      <c r="J6" s="7">
        <v>0.24</v>
      </c>
      <c r="K6" s="9">
        <v>0.28789999999999999</v>
      </c>
      <c r="L6" s="9">
        <v>0.75</v>
      </c>
      <c r="M6" s="9">
        <v>0</v>
      </c>
      <c r="N6" s="9">
        <v>0</v>
      </c>
      <c r="O6" s="9">
        <v>1</v>
      </c>
      <c r="P6" s="9">
        <v>1</v>
      </c>
      <c r="Q6" s="7" t="str">
        <f t="shared" si="0"/>
        <v>SATARDAY</v>
      </c>
      <c r="R6" t="str">
        <f t="shared" si="1"/>
        <v>Clear</v>
      </c>
    </row>
    <row r="7" spans="1:18" x14ac:dyDescent="0.25">
      <c r="A7" s="7">
        <v>6</v>
      </c>
      <c r="B7" s="8">
        <v>40544</v>
      </c>
      <c r="C7" s="7">
        <v>1</v>
      </c>
      <c r="D7" s="7">
        <v>0</v>
      </c>
      <c r="E7" s="7">
        <v>1</v>
      </c>
      <c r="F7" s="7">
        <v>5</v>
      </c>
      <c r="G7" s="7" t="b">
        <v>0</v>
      </c>
      <c r="H7" s="7">
        <v>6</v>
      </c>
      <c r="I7" s="7">
        <v>2</v>
      </c>
      <c r="J7" s="7">
        <v>0.24</v>
      </c>
      <c r="K7" s="9">
        <v>0.2576</v>
      </c>
      <c r="L7" s="9">
        <v>0.75</v>
      </c>
      <c r="M7" s="9">
        <v>8.9599999999999999E-2</v>
      </c>
      <c r="N7" s="9">
        <v>0</v>
      </c>
      <c r="O7" s="9">
        <v>1</v>
      </c>
      <c r="P7" s="9">
        <v>1</v>
      </c>
      <c r="Q7" s="7" t="str">
        <f t="shared" si="0"/>
        <v>SATARDAY</v>
      </c>
      <c r="R7" t="str">
        <f t="shared" si="1"/>
        <v>Mist</v>
      </c>
    </row>
    <row r="8" spans="1:18" x14ac:dyDescent="0.25">
      <c r="A8" s="7">
        <v>7</v>
      </c>
      <c r="B8" s="8">
        <v>40544</v>
      </c>
      <c r="C8" s="7">
        <v>1</v>
      </c>
      <c r="D8" s="7">
        <v>0</v>
      </c>
      <c r="E8" s="7">
        <v>1</v>
      </c>
      <c r="F8" s="7">
        <v>6</v>
      </c>
      <c r="G8" s="7" t="b">
        <v>0</v>
      </c>
      <c r="H8" s="7">
        <v>6</v>
      </c>
      <c r="I8" s="7">
        <v>1</v>
      </c>
      <c r="J8" s="7">
        <v>0.22</v>
      </c>
      <c r="K8" s="9">
        <v>0.2727</v>
      </c>
      <c r="L8" s="9">
        <v>0.8</v>
      </c>
      <c r="M8" s="9">
        <v>0</v>
      </c>
      <c r="N8" s="9">
        <v>2</v>
      </c>
      <c r="O8" s="9">
        <v>0</v>
      </c>
      <c r="P8" s="9">
        <v>2</v>
      </c>
      <c r="Q8" s="7" t="str">
        <f t="shared" si="0"/>
        <v>SATARDAY</v>
      </c>
      <c r="R8" t="str">
        <f t="shared" si="1"/>
        <v>Clear</v>
      </c>
    </row>
    <row r="9" spans="1:18" x14ac:dyDescent="0.25">
      <c r="A9" s="7">
        <v>8</v>
      </c>
      <c r="B9" s="8">
        <v>40544</v>
      </c>
      <c r="C9" s="7">
        <v>1</v>
      </c>
      <c r="D9" s="7">
        <v>0</v>
      </c>
      <c r="E9" s="7">
        <v>1</v>
      </c>
      <c r="F9" s="7">
        <v>7</v>
      </c>
      <c r="G9" s="7" t="b">
        <v>0</v>
      </c>
      <c r="H9" s="7">
        <v>6</v>
      </c>
      <c r="I9" s="7">
        <v>1</v>
      </c>
      <c r="J9" s="7">
        <v>0.2</v>
      </c>
      <c r="K9" s="9">
        <v>0.2576</v>
      </c>
      <c r="L9" s="9">
        <v>0.86</v>
      </c>
      <c r="M9" s="9">
        <v>0</v>
      </c>
      <c r="N9" s="9">
        <v>1</v>
      </c>
      <c r="O9" s="9">
        <v>2</v>
      </c>
      <c r="P9" s="9">
        <v>3</v>
      </c>
      <c r="Q9" s="7" t="str">
        <f t="shared" si="0"/>
        <v>SATARDAY</v>
      </c>
      <c r="R9" t="str">
        <f t="shared" si="1"/>
        <v>Clear</v>
      </c>
    </row>
    <row r="10" spans="1:18" x14ac:dyDescent="0.25">
      <c r="A10" s="7">
        <v>9</v>
      </c>
      <c r="B10" s="8">
        <v>40544</v>
      </c>
      <c r="C10" s="7">
        <v>1</v>
      </c>
      <c r="D10" s="7">
        <v>0</v>
      </c>
      <c r="E10" s="7">
        <v>1</v>
      </c>
      <c r="F10" s="7">
        <v>8</v>
      </c>
      <c r="G10" s="7" t="b">
        <v>0</v>
      </c>
      <c r="H10" s="7">
        <v>6</v>
      </c>
      <c r="I10" s="7">
        <v>1</v>
      </c>
      <c r="J10" s="7">
        <v>0.24</v>
      </c>
      <c r="K10">
        <v>0.19993</v>
      </c>
      <c r="L10" s="9">
        <v>0.75</v>
      </c>
      <c r="M10" s="9">
        <v>0</v>
      </c>
      <c r="N10" s="9">
        <v>1</v>
      </c>
      <c r="O10" s="9">
        <v>7</v>
      </c>
      <c r="P10" s="9">
        <v>8</v>
      </c>
      <c r="Q10" s="7" t="str">
        <f t="shared" si="0"/>
        <v>SATARDAY</v>
      </c>
      <c r="R10" t="str">
        <f t="shared" si="1"/>
        <v>Clear</v>
      </c>
    </row>
    <row r="11" spans="1:18" x14ac:dyDescent="0.25">
      <c r="A11" s="7">
        <v>10</v>
      </c>
      <c r="B11" s="8">
        <v>40544</v>
      </c>
      <c r="C11" s="7">
        <v>1</v>
      </c>
      <c r="D11" s="7">
        <v>0</v>
      </c>
      <c r="E11" s="7">
        <v>1</v>
      </c>
      <c r="F11" s="7">
        <v>9</v>
      </c>
      <c r="G11" s="7" t="b">
        <v>0</v>
      </c>
      <c r="H11" s="7">
        <v>6</v>
      </c>
      <c r="I11" s="7">
        <v>1</v>
      </c>
      <c r="J11" s="7">
        <v>0.32</v>
      </c>
      <c r="K11" s="9">
        <v>0.34849999999999998</v>
      </c>
      <c r="L11" s="9">
        <v>0.76</v>
      </c>
      <c r="M11" s="9">
        <v>0</v>
      </c>
      <c r="N11" s="9">
        <v>8</v>
      </c>
      <c r="O11" s="9">
        <v>6</v>
      </c>
      <c r="P11" s="9">
        <v>14</v>
      </c>
      <c r="Q11" s="7" t="str">
        <f t="shared" si="0"/>
        <v>SATARDAY</v>
      </c>
      <c r="R11" t="str">
        <f t="shared" si="1"/>
        <v>Clear</v>
      </c>
    </row>
    <row r="12" spans="1:18" x14ac:dyDescent="0.25">
      <c r="A12" s="7">
        <v>11</v>
      </c>
      <c r="B12" s="8">
        <v>40544</v>
      </c>
      <c r="C12" s="7">
        <v>1</v>
      </c>
      <c r="D12" s="7">
        <v>0</v>
      </c>
      <c r="E12" s="7">
        <v>1</v>
      </c>
      <c r="F12" s="7">
        <v>10</v>
      </c>
      <c r="G12" s="7" t="b">
        <v>0</v>
      </c>
      <c r="H12" s="7">
        <v>6</v>
      </c>
      <c r="I12" s="7">
        <v>1</v>
      </c>
      <c r="J12" s="7">
        <v>0.38</v>
      </c>
      <c r="K12" s="9">
        <v>0.39389999999999997</v>
      </c>
      <c r="L12" s="9">
        <v>0.76</v>
      </c>
      <c r="M12" s="9">
        <v>0.25369999999999998</v>
      </c>
      <c r="N12" s="9">
        <v>12</v>
      </c>
      <c r="O12" s="9">
        <v>24</v>
      </c>
      <c r="P12" s="9">
        <v>36</v>
      </c>
      <c r="Q12" s="7" t="str">
        <f t="shared" si="0"/>
        <v>SATARDAY</v>
      </c>
      <c r="R12" t="str">
        <f t="shared" si="1"/>
        <v>Clear</v>
      </c>
    </row>
    <row r="13" spans="1:18" x14ac:dyDescent="0.25">
      <c r="A13" s="7">
        <v>12</v>
      </c>
      <c r="B13" s="8">
        <v>40544</v>
      </c>
      <c r="C13" s="7">
        <v>1</v>
      </c>
      <c r="D13" s="7">
        <v>0</v>
      </c>
      <c r="E13" s="7">
        <v>1</v>
      </c>
      <c r="F13" s="7">
        <v>11</v>
      </c>
      <c r="G13" s="7" t="b">
        <v>0</v>
      </c>
      <c r="H13" s="7">
        <v>6</v>
      </c>
      <c r="I13" s="7">
        <v>1</v>
      </c>
      <c r="J13" s="7">
        <v>0.36</v>
      </c>
      <c r="K13" s="9">
        <v>0.33329999999999999</v>
      </c>
      <c r="L13" s="9">
        <v>0.81</v>
      </c>
      <c r="M13" s="9">
        <v>0.28360000000000002</v>
      </c>
      <c r="N13" s="9">
        <v>26</v>
      </c>
      <c r="O13" s="9">
        <v>30</v>
      </c>
      <c r="P13" s="9">
        <v>56</v>
      </c>
      <c r="Q13" s="7" t="str">
        <f t="shared" si="0"/>
        <v>SATARDAY</v>
      </c>
      <c r="R13" t="str">
        <f t="shared" si="1"/>
        <v>Clear</v>
      </c>
    </row>
    <row r="14" spans="1:18" x14ac:dyDescent="0.25">
      <c r="A14" s="7">
        <v>13</v>
      </c>
      <c r="B14" s="8">
        <v>40544</v>
      </c>
      <c r="C14" s="7">
        <v>1</v>
      </c>
      <c r="D14" s="7">
        <v>0</v>
      </c>
      <c r="E14" s="7">
        <v>1</v>
      </c>
      <c r="F14" s="7">
        <v>12</v>
      </c>
      <c r="G14" s="7" t="b">
        <v>0</v>
      </c>
      <c r="H14" s="7">
        <v>6</v>
      </c>
      <c r="I14" s="7">
        <v>1</v>
      </c>
      <c r="J14" s="7">
        <v>0.42</v>
      </c>
      <c r="K14" s="9">
        <v>0.42420000000000002</v>
      </c>
      <c r="L14" s="9">
        <v>0.77</v>
      </c>
      <c r="M14" s="9">
        <v>0.28360000000000002</v>
      </c>
      <c r="N14" s="9">
        <v>29</v>
      </c>
      <c r="O14" s="9">
        <v>55</v>
      </c>
      <c r="P14" s="9">
        <v>84</v>
      </c>
      <c r="Q14" s="7" t="str">
        <f t="shared" si="0"/>
        <v>SATARDAY</v>
      </c>
      <c r="R14" t="str">
        <f t="shared" si="1"/>
        <v>Clear</v>
      </c>
    </row>
    <row r="15" spans="1:18" x14ac:dyDescent="0.25">
      <c r="A15" s="7">
        <v>14</v>
      </c>
      <c r="B15" s="8">
        <v>40544</v>
      </c>
      <c r="C15" s="7">
        <v>1</v>
      </c>
      <c r="D15" s="7">
        <v>0</v>
      </c>
      <c r="E15" s="7">
        <v>1</v>
      </c>
      <c r="F15" s="7">
        <v>13</v>
      </c>
      <c r="G15" s="7" t="b">
        <v>0</v>
      </c>
      <c r="H15" s="7">
        <v>6</v>
      </c>
      <c r="I15" s="7">
        <v>2</v>
      </c>
      <c r="J15" s="7">
        <v>0.46</v>
      </c>
      <c r="K15" s="9">
        <v>0.45450000000000002</v>
      </c>
      <c r="L15" s="9">
        <v>0.72</v>
      </c>
      <c r="M15" s="9">
        <v>0.29849999999999999</v>
      </c>
      <c r="N15" s="9">
        <v>47</v>
      </c>
      <c r="O15" s="9">
        <v>47</v>
      </c>
      <c r="P15" s="9">
        <v>94</v>
      </c>
      <c r="Q15" s="7" t="str">
        <f t="shared" si="0"/>
        <v>SATARDAY</v>
      </c>
      <c r="R15" t="str">
        <f t="shared" si="1"/>
        <v>Mist</v>
      </c>
    </row>
    <row r="16" spans="1:18" x14ac:dyDescent="0.25">
      <c r="A16" s="7">
        <v>15</v>
      </c>
      <c r="B16" s="8">
        <v>40544</v>
      </c>
      <c r="C16" s="7">
        <v>1</v>
      </c>
      <c r="D16" s="7">
        <v>0</v>
      </c>
      <c r="E16" s="7">
        <v>1</v>
      </c>
      <c r="F16" s="7">
        <v>14</v>
      </c>
      <c r="G16" s="7" t="b">
        <v>0</v>
      </c>
      <c r="H16" s="7">
        <v>6</v>
      </c>
      <c r="I16" s="7">
        <v>2</v>
      </c>
      <c r="J16" s="7">
        <v>0.46</v>
      </c>
      <c r="K16" s="9">
        <v>0.45450000000000002</v>
      </c>
      <c r="L16" s="9">
        <v>0.72</v>
      </c>
      <c r="M16" s="9">
        <v>0.28360000000000002</v>
      </c>
      <c r="N16" s="9">
        <v>35</v>
      </c>
      <c r="O16" s="9">
        <v>71</v>
      </c>
      <c r="P16" s="9">
        <v>106</v>
      </c>
      <c r="Q16" s="7" t="str">
        <f t="shared" si="0"/>
        <v>SATARDAY</v>
      </c>
      <c r="R16" t="str">
        <f t="shared" si="1"/>
        <v>Mist</v>
      </c>
    </row>
    <row r="17" spans="1:18" x14ac:dyDescent="0.25">
      <c r="A17" s="7">
        <v>16</v>
      </c>
      <c r="B17" s="8">
        <v>40544</v>
      </c>
      <c r="C17" s="7">
        <v>1</v>
      </c>
      <c r="D17" s="7">
        <v>0</v>
      </c>
      <c r="E17" s="7">
        <v>1</v>
      </c>
      <c r="F17" s="7">
        <v>15</v>
      </c>
      <c r="G17" s="7" t="b">
        <v>0</v>
      </c>
      <c r="H17" s="7">
        <v>6</v>
      </c>
      <c r="I17" s="7">
        <v>2</v>
      </c>
      <c r="J17" s="7">
        <v>0.44</v>
      </c>
      <c r="K17" s="9">
        <v>0.43940000000000001</v>
      </c>
      <c r="L17" s="9">
        <v>0.77</v>
      </c>
      <c r="M17" s="9">
        <v>0.29849999999999999</v>
      </c>
      <c r="N17" s="9">
        <v>40</v>
      </c>
      <c r="O17" s="9">
        <v>70</v>
      </c>
      <c r="P17" s="9">
        <v>110</v>
      </c>
      <c r="Q17" s="7" t="str">
        <f t="shared" si="0"/>
        <v>SATARDAY</v>
      </c>
      <c r="R17" t="str">
        <f t="shared" si="1"/>
        <v>Mist</v>
      </c>
    </row>
    <row r="18" spans="1:18" x14ac:dyDescent="0.25">
      <c r="A18" s="7">
        <v>17</v>
      </c>
      <c r="B18" s="8">
        <v>40544</v>
      </c>
      <c r="C18" s="7">
        <v>1</v>
      </c>
      <c r="D18" s="7">
        <v>0</v>
      </c>
      <c r="E18" s="7">
        <v>1</v>
      </c>
      <c r="F18" s="7">
        <v>16</v>
      </c>
      <c r="G18" s="7" t="b">
        <v>0</v>
      </c>
      <c r="H18" s="7">
        <v>6</v>
      </c>
      <c r="I18" s="7">
        <v>2</v>
      </c>
      <c r="J18" s="7">
        <v>0.42</v>
      </c>
      <c r="K18" s="9">
        <v>0.42420000000000002</v>
      </c>
      <c r="L18" s="9">
        <v>0.82</v>
      </c>
      <c r="M18" s="9">
        <v>0.29849999999999999</v>
      </c>
      <c r="N18" s="9">
        <v>41</v>
      </c>
      <c r="O18" s="9">
        <v>52</v>
      </c>
      <c r="P18" s="9">
        <v>93</v>
      </c>
      <c r="Q18" s="7" t="str">
        <f t="shared" si="0"/>
        <v>SATARDAY</v>
      </c>
      <c r="R18" t="str">
        <f t="shared" si="1"/>
        <v>Mist</v>
      </c>
    </row>
    <row r="19" spans="1:18" x14ac:dyDescent="0.25">
      <c r="A19" s="7">
        <v>18</v>
      </c>
      <c r="B19" s="8">
        <v>40544</v>
      </c>
      <c r="C19" s="7">
        <v>1</v>
      </c>
      <c r="D19" s="7">
        <v>0</v>
      </c>
      <c r="E19" s="7">
        <v>1</v>
      </c>
      <c r="F19" s="7">
        <v>17</v>
      </c>
      <c r="G19" s="7" t="b">
        <v>0</v>
      </c>
      <c r="H19" s="7">
        <v>6</v>
      </c>
      <c r="I19" s="7">
        <v>2</v>
      </c>
      <c r="J19" s="7">
        <v>0.44</v>
      </c>
      <c r="K19">
        <v>0.19993</v>
      </c>
      <c r="L19" s="9">
        <v>0.82</v>
      </c>
      <c r="M19" s="9">
        <v>0.28360000000000002</v>
      </c>
      <c r="N19" s="9">
        <v>15</v>
      </c>
      <c r="O19" s="9">
        <v>52</v>
      </c>
      <c r="P19" s="9">
        <v>67</v>
      </c>
      <c r="Q19" s="7" t="str">
        <f t="shared" si="0"/>
        <v>SATARDAY</v>
      </c>
      <c r="R19" t="str">
        <f t="shared" si="1"/>
        <v>Mist</v>
      </c>
    </row>
    <row r="20" spans="1:18" x14ac:dyDescent="0.25">
      <c r="A20" s="7">
        <v>19</v>
      </c>
      <c r="B20" s="8">
        <v>40544</v>
      </c>
      <c r="C20" s="7">
        <v>1</v>
      </c>
      <c r="D20" s="7">
        <v>0</v>
      </c>
      <c r="E20" s="7">
        <v>1</v>
      </c>
      <c r="F20" s="7">
        <v>18</v>
      </c>
      <c r="G20" s="7" t="b">
        <v>0</v>
      </c>
      <c r="H20" s="7">
        <v>6</v>
      </c>
      <c r="I20" s="7">
        <v>3</v>
      </c>
      <c r="J20" s="7">
        <v>0.42</v>
      </c>
      <c r="K20" s="9">
        <v>0.42420000000000002</v>
      </c>
      <c r="L20" s="9">
        <v>0.88</v>
      </c>
      <c r="M20" s="9">
        <v>0.25369999999999998</v>
      </c>
      <c r="N20" s="9">
        <v>9</v>
      </c>
      <c r="O20" s="9">
        <v>26</v>
      </c>
      <c r="P20" s="9">
        <v>35</v>
      </c>
      <c r="Q20" s="7" t="str">
        <f t="shared" si="0"/>
        <v>SATARDAY</v>
      </c>
      <c r="R20" t="str">
        <f t="shared" si="1"/>
        <v>Light Rain/Snow</v>
      </c>
    </row>
    <row r="21" spans="1:18" x14ac:dyDescent="0.25">
      <c r="A21" s="7">
        <v>20</v>
      </c>
      <c r="B21" s="8">
        <v>40544</v>
      </c>
      <c r="C21" s="7">
        <v>1</v>
      </c>
      <c r="D21" s="7">
        <v>0</v>
      </c>
      <c r="E21" s="7">
        <v>1</v>
      </c>
      <c r="F21" s="7">
        <v>19</v>
      </c>
      <c r="G21" s="7" t="b">
        <v>0</v>
      </c>
      <c r="H21" s="7">
        <v>6</v>
      </c>
      <c r="I21" s="7">
        <v>3</v>
      </c>
      <c r="J21" s="7">
        <v>0.42</v>
      </c>
      <c r="K21" s="9">
        <v>0.42420000000000002</v>
      </c>
      <c r="L21" s="9">
        <v>0.88</v>
      </c>
      <c r="M21" s="9">
        <v>0.25369999999999998</v>
      </c>
      <c r="N21" s="9">
        <v>6</v>
      </c>
      <c r="O21" s="9">
        <v>31</v>
      </c>
      <c r="P21" s="9">
        <v>37</v>
      </c>
      <c r="Q21" s="7" t="str">
        <f t="shared" si="0"/>
        <v>SATARDAY</v>
      </c>
      <c r="R21" t="str">
        <f t="shared" si="1"/>
        <v>Light Rain/Snow</v>
      </c>
    </row>
    <row r="22" spans="1:18" x14ac:dyDescent="0.25">
      <c r="A22" s="7">
        <v>21</v>
      </c>
      <c r="B22" s="8">
        <v>40544</v>
      </c>
      <c r="C22" s="7">
        <v>1</v>
      </c>
      <c r="D22" s="7">
        <v>0</v>
      </c>
      <c r="E22" s="7">
        <v>1</v>
      </c>
      <c r="F22" s="7">
        <v>20</v>
      </c>
      <c r="G22" s="7" t="b">
        <v>0</v>
      </c>
      <c r="H22" s="7">
        <v>6</v>
      </c>
      <c r="I22" s="7">
        <v>2</v>
      </c>
      <c r="J22" s="7">
        <v>0.4</v>
      </c>
      <c r="K22" s="9">
        <v>0.40910000000000002</v>
      </c>
      <c r="L22" s="9">
        <v>0.87</v>
      </c>
      <c r="M22" s="9">
        <v>0.25369999999999998</v>
      </c>
      <c r="N22" s="9">
        <v>11</v>
      </c>
      <c r="O22" s="9">
        <v>25</v>
      </c>
      <c r="P22" s="9">
        <v>36</v>
      </c>
      <c r="Q22" s="7" t="str">
        <f t="shared" si="0"/>
        <v>SATARDAY</v>
      </c>
      <c r="R22" t="str">
        <f t="shared" si="1"/>
        <v>Mist</v>
      </c>
    </row>
    <row r="23" spans="1:18" x14ac:dyDescent="0.25">
      <c r="A23" s="7">
        <v>22</v>
      </c>
      <c r="B23" s="8">
        <v>40544</v>
      </c>
      <c r="C23" s="7">
        <v>1</v>
      </c>
      <c r="D23" s="7">
        <v>0</v>
      </c>
      <c r="E23" s="7">
        <v>1</v>
      </c>
      <c r="F23" s="7">
        <v>21</v>
      </c>
      <c r="G23" s="7" t="b">
        <v>0</v>
      </c>
      <c r="H23" s="7">
        <v>6</v>
      </c>
      <c r="I23" s="7">
        <v>2</v>
      </c>
      <c r="J23" s="7">
        <v>0.4</v>
      </c>
      <c r="K23" s="9">
        <v>0.40910000000000002</v>
      </c>
      <c r="L23" s="9">
        <v>0.87</v>
      </c>
      <c r="M23" s="9">
        <v>0.19400000000000001</v>
      </c>
      <c r="N23" s="9">
        <v>3</v>
      </c>
      <c r="O23" s="9">
        <v>31</v>
      </c>
      <c r="P23" s="9">
        <v>34</v>
      </c>
      <c r="Q23" s="7" t="str">
        <f t="shared" si="0"/>
        <v>SATARDAY</v>
      </c>
      <c r="R23" t="str">
        <f t="shared" si="1"/>
        <v>Mist</v>
      </c>
    </row>
    <row r="24" spans="1:18" x14ac:dyDescent="0.25">
      <c r="A24" s="7">
        <v>23</v>
      </c>
      <c r="B24" s="8">
        <v>40544</v>
      </c>
      <c r="C24" s="7">
        <v>1</v>
      </c>
      <c r="D24" s="7">
        <v>0</v>
      </c>
      <c r="E24" s="7">
        <v>1</v>
      </c>
      <c r="F24" s="7">
        <v>22</v>
      </c>
      <c r="G24" s="7" t="b">
        <v>0</v>
      </c>
      <c r="H24" s="7">
        <v>6</v>
      </c>
      <c r="I24" s="7">
        <v>2</v>
      </c>
      <c r="J24" s="7">
        <v>0.4</v>
      </c>
      <c r="K24" s="9">
        <v>0.40910000000000002</v>
      </c>
      <c r="L24" s="9">
        <v>0.94</v>
      </c>
      <c r="M24" s="9">
        <v>0.22389999999999999</v>
      </c>
      <c r="N24" s="9">
        <v>11</v>
      </c>
      <c r="O24" s="9">
        <v>17</v>
      </c>
      <c r="P24" s="9">
        <v>28</v>
      </c>
      <c r="Q24" s="7" t="str">
        <f t="shared" si="0"/>
        <v>SATARDAY</v>
      </c>
      <c r="R24" t="str">
        <f t="shared" si="1"/>
        <v>Mist</v>
      </c>
    </row>
    <row r="25" spans="1:18" x14ac:dyDescent="0.25">
      <c r="A25" s="7">
        <v>24</v>
      </c>
      <c r="B25" s="8">
        <v>40544</v>
      </c>
      <c r="C25" s="7">
        <v>1</v>
      </c>
      <c r="D25" s="7">
        <v>0</v>
      </c>
      <c r="E25" s="7">
        <v>1</v>
      </c>
      <c r="F25" s="7">
        <v>23</v>
      </c>
      <c r="G25" s="7" t="b">
        <v>0</v>
      </c>
      <c r="H25" s="7">
        <v>6</v>
      </c>
      <c r="I25" s="7">
        <v>2</v>
      </c>
      <c r="J25" s="7">
        <v>0.46</v>
      </c>
      <c r="K25">
        <v>0.19993</v>
      </c>
      <c r="L25" s="9">
        <v>0.88</v>
      </c>
      <c r="M25" s="9">
        <v>0.29849999999999999</v>
      </c>
      <c r="N25" s="9">
        <v>15</v>
      </c>
      <c r="O25" s="9">
        <v>24</v>
      </c>
      <c r="P25" s="9">
        <v>39</v>
      </c>
      <c r="Q25" s="7" t="str">
        <f t="shared" si="0"/>
        <v>SATARDAY</v>
      </c>
      <c r="R25" t="str">
        <f t="shared" si="1"/>
        <v>Mist</v>
      </c>
    </row>
    <row r="26" spans="1:18" x14ac:dyDescent="0.25">
      <c r="A26" s="7">
        <v>25</v>
      </c>
      <c r="B26" s="8">
        <v>40545</v>
      </c>
      <c r="C26" s="7">
        <v>1</v>
      </c>
      <c r="D26" s="7">
        <v>0</v>
      </c>
      <c r="E26" s="7">
        <v>1</v>
      </c>
      <c r="F26" s="7">
        <v>0</v>
      </c>
      <c r="G26" s="7" t="b">
        <v>0</v>
      </c>
      <c r="H26" s="7">
        <v>0</v>
      </c>
      <c r="I26" s="7">
        <v>2</v>
      </c>
      <c r="J26" s="7">
        <v>0.46</v>
      </c>
      <c r="K26" s="9">
        <v>0.45450000000000002</v>
      </c>
      <c r="L26" s="9">
        <v>0.88</v>
      </c>
      <c r="M26" s="9">
        <v>0.29849999999999999</v>
      </c>
      <c r="N26" s="9">
        <v>4</v>
      </c>
      <c r="O26" s="9">
        <v>13</v>
      </c>
      <c r="P26" s="9">
        <v>17</v>
      </c>
      <c r="Q26" s="7" t="str">
        <f t="shared" si="0"/>
        <v>SUNDAY</v>
      </c>
      <c r="R26" t="str">
        <f t="shared" si="1"/>
        <v>Mist</v>
      </c>
    </row>
    <row r="27" spans="1:18" x14ac:dyDescent="0.25">
      <c r="A27" s="7">
        <v>26</v>
      </c>
      <c r="B27" s="8">
        <v>40545</v>
      </c>
      <c r="C27" s="7">
        <v>1</v>
      </c>
      <c r="D27" s="7">
        <v>0</v>
      </c>
      <c r="E27" s="7">
        <v>1</v>
      </c>
      <c r="F27" s="7">
        <v>1</v>
      </c>
      <c r="G27" s="7" t="b">
        <v>0</v>
      </c>
      <c r="H27" s="7">
        <v>0</v>
      </c>
      <c r="I27" s="7">
        <v>2</v>
      </c>
      <c r="J27" s="7">
        <v>0.44</v>
      </c>
      <c r="K27" s="9">
        <v>0.43940000000000001</v>
      </c>
      <c r="L27" s="9">
        <v>0.94</v>
      </c>
      <c r="M27" s="9">
        <v>0.25369999999999998</v>
      </c>
      <c r="N27" s="9">
        <v>1</v>
      </c>
      <c r="O27" s="9">
        <v>16</v>
      </c>
      <c r="P27" s="9">
        <v>17</v>
      </c>
      <c r="Q27" s="7" t="str">
        <f t="shared" si="0"/>
        <v>SUNDAY</v>
      </c>
      <c r="R27" t="str">
        <f t="shared" si="1"/>
        <v>Mist</v>
      </c>
    </row>
    <row r="28" spans="1:18" x14ac:dyDescent="0.25">
      <c r="A28" s="7">
        <v>27</v>
      </c>
      <c r="B28" s="8">
        <v>40545</v>
      </c>
      <c r="C28" s="7">
        <v>1</v>
      </c>
      <c r="D28" s="7">
        <v>0</v>
      </c>
      <c r="E28" s="7">
        <v>1</v>
      </c>
      <c r="F28" s="7">
        <v>2</v>
      </c>
      <c r="G28" s="7" t="b">
        <v>0</v>
      </c>
      <c r="H28" s="7">
        <v>0</v>
      </c>
      <c r="I28" s="7">
        <v>2</v>
      </c>
      <c r="J28" s="7">
        <v>0.42</v>
      </c>
      <c r="K28" s="9">
        <v>0.42420000000000002</v>
      </c>
      <c r="L28" s="9">
        <v>1</v>
      </c>
      <c r="M28" s="9">
        <v>0.28360000000000002</v>
      </c>
      <c r="N28" s="9">
        <v>1</v>
      </c>
      <c r="O28" s="9">
        <v>8</v>
      </c>
      <c r="P28" s="9">
        <v>9</v>
      </c>
      <c r="Q28" s="7" t="str">
        <f t="shared" si="0"/>
        <v>SUNDAY</v>
      </c>
      <c r="R28" t="str">
        <f t="shared" si="1"/>
        <v>Mist</v>
      </c>
    </row>
    <row r="29" spans="1:18" x14ac:dyDescent="0.25">
      <c r="A29" s="7">
        <v>28</v>
      </c>
      <c r="B29" s="8">
        <v>40545</v>
      </c>
      <c r="C29" s="7">
        <v>1</v>
      </c>
      <c r="D29" s="7">
        <v>0</v>
      </c>
      <c r="E29" s="7">
        <v>1</v>
      </c>
      <c r="F29" s="7">
        <v>3</v>
      </c>
      <c r="G29" s="7" t="b">
        <v>0</v>
      </c>
      <c r="H29" s="7">
        <v>0</v>
      </c>
      <c r="I29" s="7">
        <v>2</v>
      </c>
      <c r="J29" s="7">
        <v>0.46</v>
      </c>
      <c r="K29" s="9">
        <v>0.45450000000000002</v>
      </c>
      <c r="L29" s="9">
        <v>0.94</v>
      </c>
      <c r="M29" s="9">
        <v>0.19400000000000001</v>
      </c>
      <c r="N29" s="9">
        <v>2</v>
      </c>
      <c r="O29" s="9">
        <v>4</v>
      </c>
      <c r="P29" s="9">
        <v>6</v>
      </c>
      <c r="Q29" s="7" t="str">
        <f t="shared" si="0"/>
        <v>SUNDAY</v>
      </c>
      <c r="R29" t="str">
        <f t="shared" si="1"/>
        <v>Mist</v>
      </c>
    </row>
    <row r="30" spans="1:18" x14ac:dyDescent="0.25">
      <c r="A30" s="7">
        <v>29</v>
      </c>
      <c r="B30" s="8">
        <v>40545</v>
      </c>
      <c r="C30" s="7">
        <v>1</v>
      </c>
      <c r="D30" s="7">
        <v>0</v>
      </c>
      <c r="E30" s="7">
        <v>1</v>
      </c>
      <c r="F30" s="7">
        <v>4</v>
      </c>
      <c r="G30" s="7" t="b">
        <v>0</v>
      </c>
      <c r="H30" s="7">
        <v>0</v>
      </c>
      <c r="I30" s="7">
        <v>2</v>
      </c>
      <c r="J30" s="7">
        <v>0.46</v>
      </c>
      <c r="K30">
        <v>0.19993</v>
      </c>
      <c r="L30" s="9">
        <v>0.94</v>
      </c>
      <c r="M30" s="9">
        <v>0.19400000000000001</v>
      </c>
      <c r="N30" s="9">
        <v>2</v>
      </c>
      <c r="O30" s="9">
        <v>1</v>
      </c>
      <c r="P30" s="9">
        <v>3</v>
      </c>
      <c r="Q30" s="7" t="str">
        <f t="shared" si="0"/>
        <v>SUNDAY</v>
      </c>
      <c r="R30" t="str">
        <f t="shared" si="1"/>
        <v>Mist</v>
      </c>
    </row>
    <row r="31" spans="1:18" x14ac:dyDescent="0.25">
      <c r="A31" s="7">
        <v>30</v>
      </c>
      <c r="B31" s="8">
        <v>40545</v>
      </c>
      <c r="C31" s="7">
        <v>1</v>
      </c>
      <c r="D31" s="7">
        <v>0</v>
      </c>
      <c r="E31" s="7">
        <v>1</v>
      </c>
      <c r="F31" s="7">
        <v>6</v>
      </c>
      <c r="G31" s="7" t="b">
        <v>0</v>
      </c>
      <c r="H31" s="7">
        <v>0</v>
      </c>
      <c r="I31" s="7">
        <v>3</v>
      </c>
      <c r="J31" s="7">
        <v>0.42</v>
      </c>
      <c r="K31" s="9">
        <v>0.42420000000000002</v>
      </c>
      <c r="L31" s="9">
        <v>0.77</v>
      </c>
      <c r="M31" s="9">
        <v>0.29849999999999999</v>
      </c>
      <c r="N31" s="9">
        <v>0</v>
      </c>
      <c r="O31" s="9">
        <v>2</v>
      </c>
      <c r="P31" s="9">
        <v>2</v>
      </c>
      <c r="Q31" s="7" t="str">
        <f t="shared" si="0"/>
        <v>SUNDAY</v>
      </c>
      <c r="R31" t="str">
        <f t="shared" si="1"/>
        <v>Light Rain/Snow</v>
      </c>
    </row>
    <row r="32" spans="1:18" x14ac:dyDescent="0.25">
      <c r="A32" s="7">
        <v>31</v>
      </c>
      <c r="B32" s="8">
        <v>40545</v>
      </c>
      <c r="C32" s="7">
        <v>1</v>
      </c>
      <c r="D32" s="7">
        <v>0</v>
      </c>
      <c r="E32" s="7">
        <v>1</v>
      </c>
      <c r="F32" s="7">
        <v>7</v>
      </c>
      <c r="G32" s="7" t="b">
        <v>0</v>
      </c>
      <c r="H32" s="7">
        <v>0</v>
      </c>
      <c r="I32" s="7">
        <v>2</v>
      </c>
      <c r="J32" s="7">
        <v>0.4</v>
      </c>
      <c r="K32" s="9">
        <v>0.40910000000000002</v>
      </c>
      <c r="L32" s="9">
        <v>0.76</v>
      </c>
      <c r="M32" s="9">
        <v>0.19400000000000001</v>
      </c>
      <c r="N32" s="9">
        <v>0</v>
      </c>
      <c r="O32" s="9">
        <v>1</v>
      </c>
      <c r="P32" s="9">
        <v>1</v>
      </c>
      <c r="Q32" s="7" t="str">
        <f t="shared" si="0"/>
        <v>SUNDAY</v>
      </c>
      <c r="R32" t="str">
        <f t="shared" si="1"/>
        <v>Mist</v>
      </c>
    </row>
    <row r="33" spans="1:18" x14ac:dyDescent="0.25">
      <c r="A33" s="7">
        <v>32</v>
      </c>
      <c r="B33" s="8">
        <v>40545</v>
      </c>
      <c r="C33" s="7">
        <v>1</v>
      </c>
      <c r="D33" s="7">
        <v>0</v>
      </c>
      <c r="E33" s="7">
        <v>1</v>
      </c>
      <c r="F33" s="7">
        <v>8</v>
      </c>
      <c r="G33" s="7" t="b">
        <v>0</v>
      </c>
      <c r="H33" s="7">
        <v>0</v>
      </c>
      <c r="I33" s="7">
        <v>3</v>
      </c>
      <c r="J33" s="7">
        <v>0.4</v>
      </c>
      <c r="K33" s="9">
        <v>0.40910000000000002</v>
      </c>
      <c r="L33" s="9">
        <v>0.71</v>
      </c>
      <c r="M33" s="9">
        <v>0.22389999999999999</v>
      </c>
      <c r="N33" s="9">
        <v>0</v>
      </c>
      <c r="O33" s="9">
        <v>8</v>
      </c>
      <c r="P33" s="9">
        <v>8</v>
      </c>
      <c r="Q33" s="7" t="str">
        <f t="shared" si="0"/>
        <v>SUNDAY</v>
      </c>
      <c r="R33" t="str">
        <f t="shared" si="1"/>
        <v>Light Rain/Snow</v>
      </c>
    </row>
    <row r="34" spans="1:18" x14ac:dyDescent="0.25">
      <c r="A34" s="7">
        <v>33</v>
      </c>
      <c r="B34" s="8">
        <v>40545</v>
      </c>
      <c r="C34" s="7">
        <v>1</v>
      </c>
      <c r="D34" s="7">
        <v>0</v>
      </c>
      <c r="E34" s="7">
        <v>1</v>
      </c>
      <c r="F34" s="7">
        <v>9</v>
      </c>
      <c r="G34" s="7" t="b">
        <v>0</v>
      </c>
      <c r="H34" s="7">
        <v>0</v>
      </c>
      <c r="I34" s="7">
        <v>2</v>
      </c>
      <c r="J34" s="7">
        <v>0.38</v>
      </c>
      <c r="K34">
        <v>0.19993</v>
      </c>
      <c r="L34" s="9">
        <v>0.76</v>
      </c>
      <c r="M34" s="9">
        <v>0.22389999999999999</v>
      </c>
      <c r="N34" s="9">
        <v>1</v>
      </c>
      <c r="O34" s="9">
        <v>19</v>
      </c>
      <c r="P34" s="9">
        <v>20</v>
      </c>
      <c r="Q34" s="7" t="str">
        <f t="shared" si="0"/>
        <v>SUNDAY</v>
      </c>
      <c r="R34" t="str">
        <f t="shared" si="1"/>
        <v>Mist</v>
      </c>
    </row>
    <row r="35" spans="1:18" x14ac:dyDescent="0.25">
      <c r="A35" s="7">
        <v>34</v>
      </c>
      <c r="B35" s="8">
        <v>40545</v>
      </c>
      <c r="C35" s="7">
        <v>1</v>
      </c>
      <c r="D35" s="7">
        <v>0</v>
      </c>
      <c r="E35" s="7">
        <v>1</v>
      </c>
      <c r="F35" s="7">
        <v>10</v>
      </c>
      <c r="G35" s="7" t="b">
        <v>0</v>
      </c>
      <c r="H35" s="7">
        <v>0</v>
      </c>
      <c r="I35" s="7">
        <v>2</v>
      </c>
      <c r="J35" s="7">
        <v>0.36</v>
      </c>
      <c r="K35" s="9">
        <v>0.34849999999999998</v>
      </c>
      <c r="L35" s="9">
        <v>0.81</v>
      </c>
      <c r="M35" s="9">
        <v>0.22389999999999999</v>
      </c>
      <c r="N35" s="9">
        <v>7</v>
      </c>
      <c r="O35" s="9">
        <v>46</v>
      </c>
      <c r="P35" s="9">
        <v>53</v>
      </c>
      <c r="Q35" s="7" t="str">
        <f t="shared" si="0"/>
        <v>SUNDAY</v>
      </c>
      <c r="R35" t="str">
        <f t="shared" si="1"/>
        <v>Mist</v>
      </c>
    </row>
    <row r="36" spans="1:18" x14ac:dyDescent="0.25">
      <c r="A36" s="7">
        <v>35</v>
      </c>
      <c r="B36" s="8">
        <v>40545</v>
      </c>
      <c r="C36" s="7">
        <v>1</v>
      </c>
      <c r="D36" s="7">
        <v>0</v>
      </c>
      <c r="E36" s="7">
        <v>1</v>
      </c>
      <c r="F36" s="7">
        <v>11</v>
      </c>
      <c r="G36" s="7" t="b">
        <v>0</v>
      </c>
      <c r="H36" s="7">
        <v>0</v>
      </c>
      <c r="I36" s="7">
        <v>2</v>
      </c>
      <c r="J36" s="7">
        <v>0.36</v>
      </c>
      <c r="K36" s="9">
        <v>0.33329999999999999</v>
      </c>
      <c r="L36" s="9">
        <v>0.71</v>
      </c>
      <c r="M36" s="9">
        <v>0.25369999999999998</v>
      </c>
      <c r="N36" s="9">
        <v>16</v>
      </c>
      <c r="O36" s="9">
        <v>54</v>
      </c>
      <c r="P36" s="9">
        <v>70</v>
      </c>
      <c r="Q36" s="7" t="str">
        <f t="shared" si="0"/>
        <v>SUNDAY</v>
      </c>
      <c r="R36" t="str">
        <f t="shared" si="1"/>
        <v>Mist</v>
      </c>
    </row>
    <row r="37" spans="1:18" x14ac:dyDescent="0.25">
      <c r="A37" s="7">
        <v>36</v>
      </c>
      <c r="B37" s="8">
        <v>40545</v>
      </c>
      <c r="C37" s="7">
        <v>1</v>
      </c>
      <c r="D37" s="7">
        <v>0</v>
      </c>
      <c r="E37" s="7">
        <v>1</v>
      </c>
      <c r="F37" s="7">
        <v>12</v>
      </c>
      <c r="G37" s="7" t="b">
        <v>0</v>
      </c>
      <c r="H37" s="7">
        <v>0</v>
      </c>
      <c r="I37" s="7">
        <v>2</v>
      </c>
      <c r="J37" s="7">
        <v>0.36</v>
      </c>
      <c r="K37" s="9">
        <v>0.33329999999999999</v>
      </c>
      <c r="L37" s="9">
        <v>0.66</v>
      </c>
      <c r="M37" s="9">
        <v>0.29849999999999999</v>
      </c>
      <c r="N37" s="9">
        <v>20</v>
      </c>
      <c r="O37" s="9">
        <v>73</v>
      </c>
      <c r="P37" s="9">
        <v>93</v>
      </c>
      <c r="Q37" s="7" t="str">
        <f t="shared" si="0"/>
        <v>SUNDAY</v>
      </c>
      <c r="R37" t="str">
        <f t="shared" si="1"/>
        <v>Mist</v>
      </c>
    </row>
    <row r="38" spans="1:18" x14ac:dyDescent="0.25">
      <c r="A38" s="7">
        <v>37</v>
      </c>
      <c r="B38" s="8">
        <v>40545</v>
      </c>
      <c r="C38" s="7">
        <v>1</v>
      </c>
      <c r="D38" s="7">
        <v>0</v>
      </c>
      <c r="E38" s="7">
        <v>1</v>
      </c>
      <c r="F38" s="7">
        <v>13</v>
      </c>
      <c r="G38" s="7" t="b">
        <v>0</v>
      </c>
      <c r="H38" s="7">
        <v>0</v>
      </c>
      <c r="I38" s="7">
        <v>2</v>
      </c>
      <c r="J38" s="7">
        <v>0.36</v>
      </c>
      <c r="K38" s="9">
        <v>0.34849999999999998</v>
      </c>
      <c r="L38" s="9">
        <v>0.66</v>
      </c>
      <c r="M38" s="9">
        <v>0.1343</v>
      </c>
      <c r="N38" s="9">
        <v>11</v>
      </c>
      <c r="O38" s="9">
        <v>64</v>
      </c>
      <c r="P38" s="9">
        <v>75</v>
      </c>
      <c r="Q38" s="7" t="str">
        <f t="shared" si="0"/>
        <v>SUNDAY</v>
      </c>
      <c r="R38" t="str">
        <f t="shared" si="1"/>
        <v>Mist</v>
      </c>
    </row>
    <row r="39" spans="1:18" x14ac:dyDescent="0.25">
      <c r="A39" s="7">
        <v>38</v>
      </c>
      <c r="B39" s="8">
        <v>40545</v>
      </c>
      <c r="C39" s="7">
        <v>1</v>
      </c>
      <c r="D39" s="7">
        <v>0</v>
      </c>
      <c r="E39" s="7">
        <v>1</v>
      </c>
      <c r="F39" s="7">
        <v>14</v>
      </c>
      <c r="G39" s="7" t="b">
        <v>0</v>
      </c>
      <c r="H39" s="7">
        <v>0</v>
      </c>
      <c r="I39" s="7">
        <v>3</v>
      </c>
      <c r="J39" s="7">
        <v>0.36</v>
      </c>
      <c r="K39">
        <v>0.19993</v>
      </c>
      <c r="L39" s="9">
        <v>0.76</v>
      </c>
      <c r="M39" s="9">
        <v>0.19400000000000001</v>
      </c>
      <c r="N39" s="9">
        <v>4</v>
      </c>
      <c r="O39" s="9">
        <v>55</v>
      </c>
      <c r="P39" s="9">
        <v>59</v>
      </c>
      <c r="Q39" s="7" t="str">
        <f t="shared" si="0"/>
        <v>SUNDAY</v>
      </c>
      <c r="R39" t="str">
        <f t="shared" si="1"/>
        <v>Light Rain/Snow</v>
      </c>
    </row>
    <row r="40" spans="1:18" x14ac:dyDescent="0.25">
      <c r="A40" s="7">
        <v>39</v>
      </c>
      <c r="B40" s="8">
        <v>40545</v>
      </c>
      <c r="C40" s="7">
        <v>1</v>
      </c>
      <c r="D40" s="7">
        <v>0</v>
      </c>
      <c r="E40" s="7">
        <v>1</v>
      </c>
      <c r="F40" s="7">
        <v>15</v>
      </c>
      <c r="G40" s="7" t="b">
        <v>0</v>
      </c>
      <c r="H40" s="7">
        <v>0</v>
      </c>
      <c r="I40" s="7">
        <v>3</v>
      </c>
      <c r="J40" s="7">
        <v>0.34</v>
      </c>
      <c r="K40" s="9">
        <v>0.33329999999999999</v>
      </c>
      <c r="L40" s="9">
        <v>0.81</v>
      </c>
      <c r="M40" s="9">
        <v>0.16420000000000001</v>
      </c>
      <c r="N40" s="9">
        <v>19</v>
      </c>
      <c r="O40" s="9">
        <v>55</v>
      </c>
      <c r="P40" s="9">
        <v>74</v>
      </c>
      <c r="Q40" s="7" t="str">
        <f t="shared" si="0"/>
        <v>SUNDAY</v>
      </c>
      <c r="R40" t="str">
        <f t="shared" si="1"/>
        <v>Light Rain/Snow</v>
      </c>
    </row>
    <row r="41" spans="1:18" x14ac:dyDescent="0.25">
      <c r="A41" s="7">
        <v>40</v>
      </c>
      <c r="B41" s="8">
        <v>40545</v>
      </c>
      <c r="C41" s="7">
        <v>1</v>
      </c>
      <c r="D41" s="7">
        <v>0</v>
      </c>
      <c r="E41" s="7">
        <v>1</v>
      </c>
      <c r="F41" s="7">
        <v>16</v>
      </c>
      <c r="G41" s="7" t="b">
        <v>0</v>
      </c>
      <c r="H41" s="7">
        <v>0</v>
      </c>
      <c r="I41" s="7">
        <v>3</v>
      </c>
      <c r="J41" s="7">
        <v>0.34</v>
      </c>
      <c r="K41" s="9">
        <v>0.33329999999999999</v>
      </c>
      <c r="L41" s="9">
        <v>0.71</v>
      </c>
      <c r="M41" s="9">
        <v>0.16420000000000001</v>
      </c>
      <c r="N41" s="9">
        <v>9</v>
      </c>
      <c r="O41" s="9">
        <v>67</v>
      </c>
      <c r="P41" s="9">
        <v>76</v>
      </c>
      <c r="Q41" s="7" t="str">
        <f t="shared" si="0"/>
        <v>SUNDAY</v>
      </c>
      <c r="R41" t="str">
        <f t="shared" si="1"/>
        <v>Light Rain/Snow</v>
      </c>
    </row>
    <row r="42" spans="1:18" x14ac:dyDescent="0.25">
      <c r="A42" s="7">
        <v>41</v>
      </c>
      <c r="B42" s="8">
        <v>40545</v>
      </c>
      <c r="C42" s="7">
        <v>1</v>
      </c>
      <c r="D42" s="7">
        <v>0</v>
      </c>
      <c r="E42" s="7">
        <v>1</v>
      </c>
      <c r="F42" s="7">
        <v>17</v>
      </c>
      <c r="G42" s="7" t="b">
        <v>0</v>
      </c>
      <c r="H42" s="7">
        <v>0</v>
      </c>
      <c r="I42" s="7">
        <v>1</v>
      </c>
      <c r="J42" s="7">
        <v>0.34</v>
      </c>
      <c r="K42" s="9">
        <v>0.33329999999999999</v>
      </c>
      <c r="L42" s="9">
        <v>0.56999999999999995</v>
      </c>
      <c r="M42" s="9">
        <v>0.19400000000000001</v>
      </c>
      <c r="N42" s="9">
        <v>7</v>
      </c>
      <c r="O42" s="9">
        <v>58</v>
      </c>
      <c r="P42" s="9">
        <v>65</v>
      </c>
      <c r="Q42" s="7" t="str">
        <f t="shared" si="0"/>
        <v>SUNDAY</v>
      </c>
      <c r="R42" t="str">
        <f t="shared" si="1"/>
        <v>Clear</v>
      </c>
    </row>
    <row r="43" spans="1:18" x14ac:dyDescent="0.25">
      <c r="A43" s="7">
        <v>42</v>
      </c>
      <c r="B43" s="8">
        <v>40545</v>
      </c>
      <c r="C43" s="7">
        <v>1</v>
      </c>
      <c r="D43" s="7">
        <v>0</v>
      </c>
      <c r="E43" s="7">
        <v>1</v>
      </c>
      <c r="F43" s="7">
        <v>18</v>
      </c>
      <c r="G43" s="7" t="b">
        <v>0</v>
      </c>
      <c r="H43" s="7">
        <v>0</v>
      </c>
      <c r="I43" s="7">
        <v>2</v>
      </c>
      <c r="J43" s="7">
        <v>0.36</v>
      </c>
      <c r="K43" s="9">
        <v>0.33329999999999999</v>
      </c>
      <c r="L43" s="9">
        <v>0.46</v>
      </c>
      <c r="M43" s="9">
        <v>0.32840000000000003</v>
      </c>
      <c r="N43" s="9">
        <v>10</v>
      </c>
      <c r="O43" s="9">
        <v>43</v>
      </c>
      <c r="P43" s="9">
        <v>53</v>
      </c>
      <c r="Q43" s="7" t="str">
        <f t="shared" si="0"/>
        <v>SUNDAY</v>
      </c>
      <c r="R43" t="str">
        <f t="shared" si="1"/>
        <v>Mist</v>
      </c>
    </row>
    <row r="44" spans="1:18" x14ac:dyDescent="0.25">
      <c r="A44" s="7">
        <v>43</v>
      </c>
      <c r="B44" s="8">
        <v>40545</v>
      </c>
      <c r="C44" s="7">
        <v>1</v>
      </c>
      <c r="D44" s="7">
        <v>0</v>
      </c>
      <c r="E44" s="7">
        <v>1</v>
      </c>
      <c r="F44" s="7">
        <v>19</v>
      </c>
      <c r="G44" s="7" t="b">
        <v>0</v>
      </c>
      <c r="H44" s="7">
        <v>0</v>
      </c>
      <c r="I44" s="7">
        <v>1</v>
      </c>
      <c r="J44" s="7">
        <v>0.32</v>
      </c>
      <c r="K44" s="9">
        <v>0.28789999999999999</v>
      </c>
      <c r="L44" s="9">
        <v>0.42</v>
      </c>
      <c r="M44" s="9">
        <v>0.44779999999999998</v>
      </c>
      <c r="N44" s="9">
        <v>1</v>
      </c>
      <c r="O44" s="9">
        <v>29</v>
      </c>
      <c r="P44" s="9">
        <v>30</v>
      </c>
      <c r="Q44" s="7" t="str">
        <f t="shared" si="0"/>
        <v>SUNDAY</v>
      </c>
      <c r="R44" t="str">
        <f t="shared" si="1"/>
        <v>Clear</v>
      </c>
    </row>
    <row r="45" spans="1:18" x14ac:dyDescent="0.25">
      <c r="A45" s="7">
        <v>44</v>
      </c>
      <c r="B45" s="8">
        <v>40545</v>
      </c>
      <c r="C45" s="7">
        <v>1</v>
      </c>
      <c r="D45" s="7">
        <v>0</v>
      </c>
      <c r="E45" s="7">
        <v>1</v>
      </c>
      <c r="F45" s="7">
        <v>20</v>
      </c>
      <c r="G45" s="7" t="b">
        <v>0</v>
      </c>
      <c r="H45" s="7">
        <v>0</v>
      </c>
      <c r="I45" s="7">
        <v>1</v>
      </c>
      <c r="J45" s="7">
        <v>0.3</v>
      </c>
      <c r="K45">
        <v>0.19993</v>
      </c>
      <c r="L45" s="9">
        <v>0.39</v>
      </c>
      <c r="M45" s="9">
        <v>0.35820000000000002</v>
      </c>
      <c r="N45" s="9">
        <v>5</v>
      </c>
      <c r="O45" s="9">
        <v>17</v>
      </c>
      <c r="P45" s="9">
        <v>22</v>
      </c>
      <c r="Q45" s="7" t="str">
        <f t="shared" si="0"/>
        <v>SUNDAY</v>
      </c>
      <c r="R45" t="str">
        <f t="shared" si="1"/>
        <v>Clear</v>
      </c>
    </row>
    <row r="46" spans="1:18" x14ac:dyDescent="0.25">
      <c r="A46" s="7">
        <v>45</v>
      </c>
      <c r="B46" s="8">
        <v>40545</v>
      </c>
      <c r="C46" s="7">
        <v>1</v>
      </c>
      <c r="D46" s="7">
        <v>0</v>
      </c>
      <c r="E46" s="7">
        <v>1</v>
      </c>
      <c r="F46" s="7">
        <v>21</v>
      </c>
      <c r="G46" s="7" t="b">
        <v>0</v>
      </c>
      <c r="H46" s="7">
        <v>0</v>
      </c>
      <c r="I46" s="7">
        <v>1</v>
      </c>
      <c r="J46" s="7">
        <v>0.26</v>
      </c>
      <c r="K46" s="9">
        <v>0.2273</v>
      </c>
      <c r="L46" s="9">
        <v>0.44</v>
      </c>
      <c r="M46" s="9">
        <v>0.32840000000000003</v>
      </c>
      <c r="N46" s="9">
        <v>11</v>
      </c>
      <c r="O46" s="9">
        <v>20</v>
      </c>
      <c r="P46" s="9">
        <v>31</v>
      </c>
      <c r="Q46" s="7" t="str">
        <f t="shared" si="0"/>
        <v>SUNDAY</v>
      </c>
      <c r="R46" t="str">
        <f t="shared" si="1"/>
        <v>Clear</v>
      </c>
    </row>
    <row r="47" spans="1:18" x14ac:dyDescent="0.25">
      <c r="A47" s="7">
        <v>46</v>
      </c>
      <c r="B47" s="8">
        <v>40545</v>
      </c>
      <c r="C47" s="7">
        <v>1</v>
      </c>
      <c r="D47" s="7">
        <v>0</v>
      </c>
      <c r="E47" s="7">
        <v>1</v>
      </c>
      <c r="F47" s="7">
        <v>22</v>
      </c>
      <c r="G47" s="7" t="b">
        <v>0</v>
      </c>
      <c r="H47" s="7">
        <v>0</v>
      </c>
      <c r="I47" s="7">
        <v>1</v>
      </c>
      <c r="J47" s="7">
        <v>0.24</v>
      </c>
      <c r="K47" s="9">
        <v>0.21210000000000001</v>
      </c>
      <c r="L47" s="9">
        <v>0.44</v>
      </c>
      <c r="M47" s="9">
        <v>0.29849999999999999</v>
      </c>
      <c r="N47" s="9">
        <v>0</v>
      </c>
      <c r="O47" s="9">
        <v>9</v>
      </c>
      <c r="P47" s="9">
        <v>9</v>
      </c>
      <c r="Q47" s="7" t="str">
        <f t="shared" si="0"/>
        <v>SUNDAY</v>
      </c>
      <c r="R47" t="str">
        <f t="shared" si="1"/>
        <v>Clear</v>
      </c>
    </row>
    <row r="48" spans="1:18" x14ac:dyDescent="0.25">
      <c r="A48" s="7">
        <v>47</v>
      </c>
      <c r="B48" s="8">
        <v>40545</v>
      </c>
      <c r="C48" s="7">
        <v>1</v>
      </c>
      <c r="D48" s="7">
        <v>0</v>
      </c>
      <c r="E48" s="7">
        <v>1</v>
      </c>
      <c r="F48" s="7">
        <v>23</v>
      </c>
      <c r="G48" s="7" t="b">
        <v>0</v>
      </c>
      <c r="H48" s="7">
        <v>0</v>
      </c>
      <c r="I48" s="7">
        <v>1</v>
      </c>
      <c r="J48" s="7">
        <v>0.22</v>
      </c>
      <c r="K48" s="9">
        <v>0.2273</v>
      </c>
      <c r="L48" s="9">
        <v>0.47</v>
      </c>
      <c r="M48" s="9">
        <v>0.16420000000000001</v>
      </c>
      <c r="N48" s="9">
        <v>0</v>
      </c>
      <c r="O48" s="9">
        <v>8</v>
      </c>
      <c r="P48" s="9">
        <v>8</v>
      </c>
      <c r="Q48" s="7" t="str">
        <f t="shared" si="0"/>
        <v>SUNDAY</v>
      </c>
      <c r="R48" t="str">
        <f t="shared" si="1"/>
        <v>Clear</v>
      </c>
    </row>
    <row r="49" spans="1:18" x14ac:dyDescent="0.25">
      <c r="A49" s="7">
        <v>48</v>
      </c>
      <c r="B49" s="8">
        <v>40546</v>
      </c>
      <c r="C49" s="7">
        <v>1</v>
      </c>
      <c r="D49" s="7">
        <v>0</v>
      </c>
      <c r="E49" s="7">
        <v>1</v>
      </c>
      <c r="F49" s="7">
        <v>0</v>
      </c>
      <c r="G49" s="7" t="b">
        <v>0</v>
      </c>
      <c r="H49" s="7">
        <v>1</v>
      </c>
      <c r="I49" s="7">
        <v>1</v>
      </c>
      <c r="J49" s="7">
        <v>0.22</v>
      </c>
      <c r="K49" s="9">
        <v>0.19700000000000001</v>
      </c>
      <c r="L49" s="9">
        <v>0.44</v>
      </c>
      <c r="M49" s="9">
        <v>0.35820000000000002</v>
      </c>
      <c r="N49" s="9">
        <v>0</v>
      </c>
      <c r="O49" s="9">
        <v>5</v>
      </c>
      <c r="P49" s="9">
        <v>5</v>
      </c>
      <c r="Q49" s="7" t="str">
        <f t="shared" si="0"/>
        <v>MONDAY</v>
      </c>
      <c r="R49" t="str">
        <f t="shared" si="1"/>
        <v>Clear</v>
      </c>
    </row>
    <row r="50" spans="1:18" x14ac:dyDescent="0.25">
      <c r="A50" s="7">
        <v>49</v>
      </c>
      <c r="B50" s="8">
        <v>40546</v>
      </c>
      <c r="C50" s="7">
        <v>1</v>
      </c>
      <c r="D50" s="7">
        <v>0</v>
      </c>
      <c r="E50" s="7">
        <v>1</v>
      </c>
      <c r="F50" s="7">
        <v>1</v>
      </c>
      <c r="G50" s="7" t="b">
        <v>0</v>
      </c>
      <c r="H50" s="7">
        <v>1</v>
      </c>
      <c r="I50" s="7">
        <v>1</v>
      </c>
      <c r="J50" s="7">
        <v>0.2</v>
      </c>
      <c r="K50">
        <v>0.19993</v>
      </c>
      <c r="L50" s="9">
        <v>0.44</v>
      </c>
      <c r="M50" s="9">
        <v>0.41789999999999999</v>
      </c>
      <c r="N50" s="9">
        <v>0</v>
      </c>
      <c r="O50" s="9">
        <v>2</v>
      </c>
      <c r="P50" s="9">
        <v>2</v>
      </c>
      <c r="Q50" s="7" t="str">
        <f t="shared" si="0"/>
        <v>MONDAY</v>
      </c>
      <c r="R50" t="str">
        <f t="shared" si="1"/>
        <v>Clear</v>
      </c>
    </row>
    <row r="51" spans="1:18" x14ac:dyDescent="0.25">
      <c r="A51" s="7">
        <v>50</v>
      </c>
      <c r="B51" s="8">
        <v>40546</v>
      </c>
      <c r="C51" s="7">
        <v>1</v>
      </c>
      <c r="D51" s="7">
        <v>0</v>
      </c>
      <c r="E51" s="7">
        <v>1</v>
      </c>
      <c r="F51" s="7">
        <v>4</v>
      </c>
      <c r="G51" s="7" t="b">
        <v>0</v>
      </c>
      <c r="H51" s="7">
        <v>1</v>
      </c>
      <c r="I51" s="7">
        <v>1</v>
      </c>
      <c r="J51" s="7">
        <v>0.16</v>
      </c>
      <c r="K51" s="9">
        <v>0.13639999999999999</v>
      </c>
      <c r="L51" s="9">
        <v>0.47</v>
      </c>
      <c r="M51" s="9">
        <v>0.3881</v>
      </c>
      <c r="N51" s="9">
        <v>0</v>
      </c>
      <c r="O51" s="9">
        <v>1</v>
      </c>
      <c r="P51" s="9">
        <v>1</v>
      </c>
      <c r="Q51" s="7" t="str">
        <f t="shared" si="0"/>
        <v>MONDAY</v>
      </c>
      <c r="R51" t="str">
        <f t="shared" si="1"/>
        <v>Clear</v>
      </c>
    </row>
    <row r="52" spans="1:18" x14ac:dyDescent="0.25">
      <c r="A52" s="7">
        <v>51</v>
      </c>
      <c r="B52" s="8">
        <v>40546</v>
      </c>
      <c r="C52" s="7">
        <v>1</v>
      </c>
      <c r="D52" s="7">
        <v>0</v>
      </c>
      <c r="E52" s="7">
        <v>1</v>
      </c>
      <c r="F52" s="7">
        <v>5</v>
      </c>
      <c r="G52" s="7" t="b">
        <v>0</v>
      </c>
      <c r="H52" s="7">
        <v>1</v>
      </c>
      <c r="I52" s="7">
        <v>1</v>
      </c>
      <c r="J52" s="7">
        <v>0.16</v>
      </c>
      <c r="K52" s="9">
        <v>0.13639999999999999</v>
      </c>
      <c r="L52" s="9">
        <v>0.47</v>
      </c>
      <c r="M52" s="9">
        <v>0.28360000000000002</v>
      </c>
      <c r="N52" s="9">
        <v>0</v>
      </c>
      <c r="O52" s="9">
        <v>3</v>
      </c>
      <c r="P52" s="9">
        <v>3</v>
      </c>
      <c r="Q52" s="7" t="str">
        <f t="shared" si="0"/>
        <v>MONDAY</v>
      </c>
      <c r="R52" t="str">
        <f t="shared" si="1"/>
        <v>Clear</v>
      </c>
    </row>
    <row r="53" spans="1:18" x14ac:dyDescent="0.25">
      <c r="A53" s="7">
        <v>52</v>
      </c>
      <c r="B53" s="8">
        <v>40546</v>
      </c>
      <c r="C53" s="7">
        <v>1</v>
      </c>
      <c r="D53" s="7">
        <v>0</v>
      </c>
      <c r="E53" s="7">
        <v>1</v>
      </c>
      <c r="F53" s="7">
        <v>6</v>
      </c>
      <c r="G53" s="7" t="b">
        <v>0</v>
      </c>
      <c r="H53" s="7">
        <v>1</v>
      </c>
      <c r="I53" s="7">
        <v>1</v>
      </c>
      <c r="J53" s="7">
        <v>0.14000000000000001</v>
      </c>
      <c r="K53" s="9">
        <v>0.1061</v>
      </c>
      <c r="L53" s="9">
        <v>0.5</v>
      </c>
      <c r="M53" s="9">
        <v>0.3881</v>
      </c>
      <c r="N53" s="9">
        <v>0</v>
      </c>
      <c r="O53" s="9">
        <v>30</v>
      </c>
      <c r="P53" s="9">
        <v>30</v>
      </c>
      <c r="Q53" s="7" t="str">
        <f t="shared" si="0"/>
        <v>MONDAY</v>
      </c>
      <c r="R53" t="str">
        <f t="shared" si="1"/>
        <v>Clear</v>
      </c>
    </row>
    <row r="54" spans="1:18" x14ac:dyDescent="0.25">
      <c r="A54" s="7">
        <v>53</v>
      </c>
      <c r="B54" s="8">
        <v>40546</v>
      </c>
      <c r="C54" s="7">
        <v>1</v>
      </c>
      <c r="D54" s="7">
        <v>0</v>
      </c>
      <c r="E54" s="7">
        <v>1</v>
      </c>
      <c r="F54" s="7">
        <v>7</v>
      </c>
      <c r="G54" s="7" t="b">
        <v>0</v>
      </c>
      <c r="H54" s="7">
        <v>1</v>
      </c>
      <c r="I54" s="7">
        <v>1</v>
      </c>
      <c r="J54" s="7">
        <v>0.14000000000000001</v>
      </c>
      <c r="K54" s="9">
        <v>0.13639999999999999</v>
      </c>
      <c r="L54" s="9">
        <v>0.5</v>
      </c>
      <c r="M54" s="9">
        <v>0.19400000000000001</v>
      </c>
      <c r="N54" s="9">
        <v>1</v>
      </c>
      <c r="O54" s="9">
        <v>63</v>
      </c>
      <c r="P54" s="9">
        <v>64</v>
      </c>
      <c r="Q54" s="7" t="str">
        <f t="shared" si="0"/>
        <v>MONDAY</v>
      </c>
      <c r="R54" t="str">
        <f t="shared" si="1"/>
        <v>Clear</v>
      </c>
    </row>
    <row r="55" spans="1:18" x14ac:dyDescent="0.25">
      <c r="A55" s="7">
        <v>54</v>
      </c>
      <c r="B55" s="8">
        <v>40546</v>
      </c>
      <c r="C55" s="7">
        <v>1</v>
      </c>
      <c r="D55" s="7">
        <v>0</v>
      </c>
      <c r="E55" s="7">
        <v>1</v>
      </c>
      <c r="F55" s="7">
        <v>8</v>
      </c>
      <c r="G55" s="7" t="b">
        <v>0</v>
      </c>
      <c r="H55" s="7">
        <v>1</v>
      </c>
      <c r="I55" s="7">
        <v>1</v>
      </c>
      <c r="J55" s="7">
        <v>0.14000000000000001</v>
      </c>
      <c r="K55" s="9">
        <v>0.1212</v>
      </c>
      <c r="L55" s="9">
        <v>0.5</v>
      </c>
      <c r="M55" s="9">
        <v>0.28360000000000002</v>
      </c>
      <c r="N55" s="9">
        <v>1</v>
      </c>
      <c r="O55" s="9">
        <v>153</v>
      </c>
      <c r="P55" s="9">
        <v>154</v>
      </c>
      <c r="Q55" s="7" t="str">
        <f t="shared" si="0"/>
        <v>MONDAY</v>
      </c>
      <c r="R55" t="str">
        <f t="shared" si="1"/>
        <v>Clear</v>
      </c>
    </row>
    <row r="56" spans="1:18" x14ac:dyDescent="0.25">
      <c r="A56" s="7">
        <v>55</v>
      </c>
      <c r="B56" s="8">
        <v>40546</v>
      </c>
      <c r="C56" s="7">
        <v>1</v>
      </c>
      <c r="D56" s="7">
        <v>0</v>
      </c>
      <c r="E56" s="7">
        <v>1</v>
      </c>
      <c r="F56" s="7">
        <v>9</v>
      </c>
      <c r="G56" s="7" t="b">
        <v>0</v>
      </c>
      <c r="H56" s="7">
        <v>1</v>
      </c>
      <c r="I56" s="7">
        <v>1</v>
      </c>
      <c r="J56" s="7">
        <v>0.16</v>
      </c>
      <c r="K56" s="9">
        <v>0.13639999999999999</v>
      </c>
      <c r="L56" s="9">
        <v>0.43</v>
      </c>
      <c r="M56" s="9">
        <v>0.3881</v>
      </c>
      <c r="N56" s="9">
        <v>7</v>
      </c>
      <c r="O56" s="9">
        <v>81</v>
      </c>
      <c r="P56" s="9">
        <v>88</v>
      </c>
      <c r="Q56" s="7" t="str">
        <f t="shared" si="0"/>
        <v>MONDAY</v>
      </c>
      <c r="R56" t="str">
        <f t="shared" si="1"/>
        <v>Clear</v>
      </c>
    </row>
    <row r="57" spans="1:18" x14ac:dyDescent="0.25">
      <c r="A57" s="7">
        <v>56</v>
      </c>
      <c r="B57" s="8">
        <v>40546</v>
      </c>
      <c r="C57" s="7">
        <v>1</v>
      </c>
      <c r="D57" s="7">
        <v>0</v>
      </c>
      <c r="E57" s="7">
        <v>1</v>
      </c>
      <c r="F57" s="7">
        <v>10</v>
      </c>
      <c r="G57" s="7" t="b">
        <v>0</v>
      </c>
      <c r="H57" s="7">
        <v>1</v>
      </c>
      <c r="I57" s="7">
        <v>1</v>
      </c>
      <c r="J57" s="7">
        <v>0.18</v>
      </c>
      <c r="K57" s="9">
        <v>0.16669999999999999</v>
      </c>
      <c r="L57" s="9">
        <v>0.43</v>
      </c>
      <c r="M57" s="9">
        <v>0.25369999999999998</v>
      </c>
      <c r="N57" s="9">
        <v>11</v>
      </c>
      <c r="O57" s="9">
        <v>33</v>
      </c>
      <c r="P57" s="9">
        <v>44</v>
      </c>
      <c r="Q57" s="7" t="str">
        <f t="shared" si="0"/>
        <v>MONDAY</v>
      </c>
      <c r="R57" t="str">
        <f t="shared" si="1"/>
        <v>Clear</v>
      </c>
    </row>
    <row r="58" spans="1:18" x14ac:dyDescent="0.25">
      <c r="A58" s="7">
        <v>57</v>
      </c>
      <c r="B58" s="8">
        <v>40546</v>
      </c>
      <c r="C58" s="7">
        <v>1</v>
      </c>
      <c r="D58" s="7">
        <v>0</v>
      </c>
      <c r="E58" s="7">
        <v>1</v>
      </c>
      <c r="F58" s="7">
        <v>11</v>
      </c>
      <c r="G58" s="7" t="b">
        <v>0</v>
      </c>
      <c r="H58" s="7">
        <v>1</v>
      </c>
      <c r="I58" s="7">
        <v>1</v>
      </c>
      <c r="J58" s="7">
        <v>0.2</v>
      </c>
      <c r="K58" s="9">
        <v>0.18179999999999999</v>
      </c>
      <c r="L58" s="9">
        <v>0.4</v>
      </c>
      <c r="M58" s="9">
        <v>0.32840000000000003</v>
      </c>
      <c r="N58" s="9">
        <v>10</v>
      </c>
      <c r="O58" s="9">
        <v>41</v>
      </c>
      <c r="P58" s="9">
        <v>51</v>
      </c>
      <c r="Q58" s="7" t="str">
        <f t="shared" si="0"/>
        <v>MONDAY</v>
      </c>
      <c r="R58" t="str">
        <f t="shared" si="1"/>
        <v>Clear</v>
      </c>
    </row>
    <row r="59" spans="1:18" x14ac:dyDescent="0.25">
      <c r="A59" s="7">
        <v>58</v>
      </c>
      <c r="B59" s="8">
        <v>40546</v>
      </c>
      <c r="C59" s="7">
        <v>1</v>
      </c>
      <c r="D59" s="7">
        <v>0</v>
      </c>
      <c r="E59" s="7">
        <v>1</v>
      </c>
      <c r="F59" s="7">
        <v>12</v>
      </c>
      <c r="G59" s="7" t="b">
        <v>0</v>
      </c>
      <c r="H59" s="7">
        <v>1</v>
      </c>
      <c r="I59" s="7">
        <v>1</v>
      </c>
      <c r="J59" s="7">
        <v>0.22</v>
      </c>
      <c r="K59" s="9">
        <v>0.21210000000000001</v>
      </c>
      <c r="L59" s="9">
        <v>0.35</v>
      </c>
      <c r="M59" s="9">
        <v>0.29849999999999999</v>
      </c>
      <c r="N59" s="9">
        <v>13</v>
      </c>
      <c r="O59" s="9">
        <v>48</v>
      </c>
      <c r="P59" s="9">
        <v>61</v>
      </c>
      <c r="Q59" s="7" t="str">
        <f t="shared" si="0"/>
        <v>MONDAY</v>
      </c>
      <c r="R59" t="str">
        <f t="shared" si="1"/>
        <v>Clear</v>
      </c>
    </row>
    <row r="60" spans="1:18" x14ac:dyDescent="0.25">
      <c r="A60" s="7">
        <v>59</v>
      </c>
      <c r="B60" s="8">
        <v>40546</v>
      </c>
      <c r="C60" s="7">
        <v>1</v>
      </c>
      <c r="D60" s="7">
        <v>0</v>
      </c>
      <c r="E60" s="7">
        <v>1</v>
      </c>
      <c r="F60" s="7">
        <v>13</v>
      </c>
      <c r="G60" s="7" t="b">
        <v>0</v>
      </c>
      <c r="H60" s="7">
        <v>1</v>
      </c>
      <c r="I60" s="7">
        <v>1</v>
      </c>
      <c r="J60" s="7">
        <v>0.24</v>
      </c>
      <c r="K60">
        <v>0.19993</v>
      </c>
      <c r="L60" s="9">
        <v>0.35</v>
      </c>
      <c r="M60" s="9">
        <v>0.28360000000000002</v>
      </c>
      <c r="N60" s="9">
        <v>8</v>
      </c>
      <c r="O60" s="9">
        <v>53</v>
      </c>
      <c r="P60" s="9">
        <v>61</v>
      </c>
      <c r="Q60" s="7" t="str">
        <f t="shared" si="0"/>
        <v>MONDAY</v>
      </c>
      <c r="R60" t="str">
        <f t="shared" si="1"/>
        <v>Clear</v>
      </c>
    </row>
    <row r="61" spans="1:18" x14ac:dyDescent="0.25">
      <c r="A61" s="7">
        <v>60</v>
      </c>
      <c r="B61" s="8">
        <v>40546</v>
      </c>
      <c r="C61" s="7">
        <v>1</v>
      </c>
      <c r="D61" s="7">
        <v>0</v>
      </c>
      <c r="E61" s="7">
        <v>1</v>
      </c>
      <c r="F61" s="7">
        <v>14</v>
      </c>
      <c r="G61" s="7" t="b">
        <v>0</v>
      </c>
      <c r="H61" s="7">
        <v>1</v>
      </c>
      <c r="I61" s="7">
        <v>1</v>
      </c>
      <c r="J61" s="7">
        <v>0.26</v>
      </c>
      <c r="K61" s="9">
        <v>0.2424</v>
      </c>
      <c r="L61" s="9">
        <v>0.3</v>
      </c>
      <c r="M61" s="9">
        <v>0.28360000000000002</v>
      </c>
      <c r="N61" s="9">
        <v>11</v>
      </c>
      <c r="O61" s="9">
        <v>66</v>
      </c>
      <c r="P61" s="9">
        <v>77</v>
      </c>
      <c r="Q61" s="7" t="str">
        <f t="shared" si="0"/>
        <v>MONDAY</v>
      </c>
      <c r="R61" t="str">
        <f t="shared" si="1"/>
        <v>Clear</v>
      </c>
    </row>
    <row r="62" spans="1:18" x14ac:dyDescent="0.25">
      <c r="A62" s="7">
        <v>61</v>
      </c>
      <c r="B62" s="8">
        <v>40546</v>
      </c>
      <c r="C62" s="7">
        <v>1</v>
      </c>
      <c r="D62" s="7">
        <v>0</v>
      </c>
      <c r="E62" s="7">
        <v>1</v>
      </c>
      <c r="F62" s="7">
        <v>15</v>
      </c>
      <c r="G62" s="7" t="b">
        <v>0</v>
      </c>
      <c r="H62" s="7">
        <v>1</v>
      </c>
      <c r="I62" s="7">
        <v>1</v>
      </c>
      <c r="J62" s="7">
        <v>0.26</v>
      </c>
      <c r="K62" s="9">
        <v>0.2424</v>
      </c>
      <c r="L62" s="9">
        <v>0.3</v>
      </c>
      <c r="M62" s="9">
        <v>0.25369999999999998</v>
      </c>
      <c r="N62" s="9">
        <v>14</v>
      </c>
      <c r="O62" s="9">
        <v>58</v>
      </c>
      <c r="P62" s="9">
        <v>72</v>
      </c>
      <c r="Q62" s="7" t="str">
        <f t="shared" si="0"/>
        <v>MONDAY</v>
      </c>
      <c r="R62" t="str">
        <f t="shared" si="1"/>
        <v>Clear</v>
      </c>
    </row>
    <row r="63" spans="1:18" x14ac:dyDescent="0.25">
      <c r="A63" s="7">
        <v>62</v>
      </c>
      <c r="B63" s="8">
        <v>40546</v>
      </c>
      <c r="C63" s="7">
        <v>1</v>
      </c>
      <c r="D63" s="7">
        <v>0</v>
      </c>
      <c r="E63" s="7">
        <v>1</v>
      </c>
      <c r="F63" s="7">
        <v>16</v>
      </c>
      <c r="G63" s="7" t="b">
        <v>0</v>
      </c>
      <c r="H63" s="7">
        <v>1</v>
      </c>
      <c r="I63" s="7">
        <v>1</v>
      </c>
      <c r="J63" s="7">
        <v>0.26</v>
      </c>
      <c r="K63" s="9">
        <v>0.2424</v>
      </c>
      <c r="L63" s="9">
        <v>0.3</v>
      </c>
      <c r="M63" s="9">
        <v>0.25369999999999998</v>
      </c>
      <c r="N63" s="9">
        <v>9</v>
      </c>
      <c r="O63" s="9">
        <v>67</v>
      </c>
      <c r="P63" s="9">
        <v>76</v>
      </c>
      <c r="Q63" s="7" t="str">
        <f t="shared" si="0"/>
        <v>MONDAY</v>
      </c>
      <c r="R63" t="str">
        <f t="shared" si="1"/>
        <v>Clear</v>
      </c>
    </row>
    <row r="64" spans="1:18" x14ac:dyDescent="0.25">
      <c r="A64" s="7">
        <v>63</v>
      </c>
      <c r="B64" s="8">
        <v>40546</v>
      </c>
      <c r="C64" s="7">
        <v>1</v>
      </c>
      <c r="D64" s="7">
        <v>0</v>
      </c>
      <c r="E64" s="7">
        <v>1</v>
      </c>
      <c r="F64" s="7">
        <v>17</v>
      </c>
      <c r="G64" s="7" t="b">
        <v>0</v>
      </c>
      <c r="H64" s="7">
        <v>1</v>
      </c>
      <c r="I64" s="7">
        <v>1</v>
      </c>
      <c r="J64" s="7">
        <v>0.24</v>
      </c>
      <c r="K64" s="9">
        <v>0.2273</v>
      </c>
      <c r="L64" s="9">
        <v>0.3</v>
      </c>
      <c r="M64" s="9">
        <v>0.22389999999999999</v>
      </c>
      <c r="N64" s="9">
        <v>11</v>
      </c>
      <c r="O64" s="9">
        <v>146</v>
      </c>
      <c r="P64" s="9">
        <v>157</v>
      </c>
      <c r="Q64" s="7" t="str">
        <f t="shared" si="0"/>
        <v>MONDAY</v>
      </c>
      <c r="R64" t="str">
        <f t="shared" si="1"/>
        <v>Clear</v>
      </c>
    </row>
    <row r="65" spans="1:18" x14ac:dyDescent="0.25">
      <c r="A65" s="7">
        <v>64</v>
      </c>
      <c r="B65" s="8">
        <v>40546</v>
      </c>
      <c r="C65" s="7">
        <v>1</v>
      </c>
      <c r="D65" s="7">
        <v>0</v>
      </c>
      <c r="E65" s="7">
        <v>1</v>
      </c>
      <c r="F65" s="7">
        <v>18</v>
      </c>
      <c r="G65" s="7" t="b">
        <v>0</v>
      </c>
      <c r="H65" s="7">
        <v>1</v>
      </c>
      <c r="I65" s="7">
        <v>1</v>
      </c>
      <c r="J65" s="7">
        <v>0.24</v>
      </c>
      <c r="K65" s="9">
        <v>0.2576</v>
      </c>
      <c r="L65" s="9">
        <v>0.32</v>
      </c>
      <c r="M65" s="9">
        <v>0.1045</v>
      </c>
      <c r="N65" s="9">
        <v>9</v>
      </c>
      <c r="O65" s="9">
        <v>148</v>
      </c>
      <c r="P65" s="9">
        <v>157</v>
      </c>
      <c r="Q65" s="7" t="str">
        <f t="shared" si="0"/>
        <v>MONDAY</v>
      </c>
      <c r="R65" t="str">
        <f t="shared" si="1"/>
        <v>Clear</v>
      </c>
    </row>
    <row r="66" spans="1:18" x14ac:dyDescent="0.25">
      <c r="A66" s="7">
        <v>65</v>
      </c>
      <c r="B66" s="8">
        <v>40546</v>
      </c>
      <c r="C66" s="7">
        <v>1</v>
      </c>
      <c r="D66" s="7">
        <v>0</v>
      </c>
      <c r="E66" s="7">
        <v>1</v>
      </c>
      <c r="F66" s="7">
        <v>19</v>
      </c>
      <c r="G66" s="7" t="b">
        <v>0</v>
      </c>
      <c r="H66" s="7">
        <v>1</v>
      </c>
      <c r="I66" s="7">
        <v>1</v>
      </c>
      <c r="J66" s="7">
        <v>0.2</v>
      </c>
      <c r="K66" s="9">
        <v>0.2576</v>
      </c>
      <c r="L66" s="9">
        <v>0.47</v>
      </c>
      <c r="M66" s="9">
        <v>0</v>
      </c>
      <c r="N66" s="9">
        <v>8</v>
      </c>
      <c r="O66" s="9">
        <v>102</v>
      </c>
      <c r="P66" s="9">
        <v>110</v>
      </c>
      <c r="Q66" s="7" t="str">
        <f t="shared" ref="Q66:Q129" si="2">CHOOSE(H66+1, "SUNDAY", "MONDAY","TUESDAY", "WENESDAY","THUSDAY", "FRIDAY", "SATARDAY")</f>
        <v>MONDAY</v>
      </c>
      <c r="R66" t="str">
        <f t="shared" ref="R66:R129" si="3">IF(I66=1,"Clear",IF(I66=2,"Mist",IF(I66=3,"Light Rain/Snow","Heavy Rain")))</f>
        <v>Clear</v>
      </c>
    </row>
    <row r="67" spans="1:18" x14ac:dyDescent="0.25">
      <c r="A67" s="7">
        <v>66</v>
      </c>
      <c r="B67" s="8">
        <v>40546</v>
      </c>
      <c r="C67" s="7">
        <v>1</v>
      </c>
      <c r="D67" s="7">
        <v>0</v>
      </c>
      <c r="E67" s="7">
        <v>1</v>
      </c>
      <c r="F67" s="7">
        <v>20</v>
      </c>
      <c r="G67" s="7" t="b">
        <v>0</v>
      </c>
      <c r="H67" s="7">
        <v>1</v>
      </c>
      <c r="I67" s="7">
        <v>1</v>
      </c>
      <c r="J67" s="7">
        <v>0.2</v>
      </c>
      <c r="K67">
        <v>0.19993</v>
      </c>
      <c r="L67" s="9">
        <v>0.47</v>
      </c>
      <c r="M67" s="9">
        <v>0.1045</v>
      </c>
      <c r="N67" s="9">
        <v>3</v>
      </c>
      <c r="O67" s="9">
        <v>49</v>
      </c>
      <c r="P67" s="9">
        <v>52</v>
      </c>
      <c r="Q67" s="7" t="str">
        <f t="shared" si="2"/>
        <v>MONDAY</v>
      </c>
      <c r="R67" t="str">
        <f t="shared" si="3"/>
        <v>Clear</v>
      </c>
    </row>
    <row r="68" spans="1:18" x14ac:dyDescent="0.25">
      <c r="A68" s="7">
        <v>67</v>
      </c>
      <c r="B68" s="8">
        <v>40546</v>
      </c>
      <c r="C68" s="7">
        <v>1</v>
      </c>
      <c r="D68" s="7">
        <v>0</v>
      </c>
      <c r="E68" s="7">
        <v>1</v>
      </c>
      <c r="F68" s="7">
        <v>21</v>
      </c>
      <c r="G68" s="7" t="b">
        <v>0</v>
      </c>
      <c r="H68" s="7">
        <v>1</v>
      </c>
      <c r="I68" s="7">
        <v>1</v>
      </c>
      <c r="J68" s="7">
        <v>0.18</v>
      </c>
      <c r="K68" s="9">
        <v>0.19700000000000001</v>
      </c>
      <c r="L68" s="9">
        <v>0.64</v>
      </c>
      <c r="M68" s="9">
        <v>0.1343</v>
      </c>
      <c r="N68" s="9">
        <v>3</v>
      </c>
      <c r="O68" s="9">
        <v>49</v>
      </c>
      <c r="P68" s="9">
        <v>52</v>
      </c>
      <c r="Q68" s="7" t="str">
        <f t="shared" si="2"/>
        <v>MONDAY</v>
      </c>
      <c r="R68" t="str">
        <f t="shared" si="3"/>
        <v>Clear</v>
      </c>
    </row>
    <row r="69" spans="1:18" x14ac:dyDescent="0.25">
      <c r="A69" s="7">
        <v>68</v>
      </c>
      <c r="B69" s="8">
        <v>40546</v>
      </c>
      <c r="C69" s="7">
        <v>1</v>
      </c>
      <c r="D69" s="7">
        <v>0</v>
      </c>
      <c r="E69" s="7">
        <v>1</v>
      </c>
      <c r="F69" s="7">
        <v>22</v>
      </c>
      <c r="G69" s="7" t="b">
        <v>0</v>
      </c>
      <c r="H69" s="7">
        <v>1</v>
      </c>
      <c r="I69" s="7">
        <v>1</v>
      </c>
      <c r="J69" s="7">
        <v>0.14000000000000001</v>
      </c>
      <c r="K69" s="9">
        <v>0.1515</v>
      </c>
      <c r="L69" s="9">
        <v>0.69</v>
      </c>
      <c r="M69" s="9">
        <v>0.1343</v>
      </c>
      <c r="N69" s="9">
        <v>0</v>
      </c>
      <c r="O69" s="9">
        <v>20</v>
      </c>
      <c r="P69" s="9">
        <v>20</v>
      </c>
      <c r="Q69" s="7" t="str">
        <f t="shared" si="2"/>
        <v>MONDAY</v>
      </c>
      <c r="R69" t="str">
        <f t="shared" si="3"/>
        <v>Clear</v>
      </c>
    </row>
    <row r="70" spans="1:18" x14ac:dyDescent="0.25">
      <c r="A70" s="7">
        <v>69</v>
      </c>
      <c r="B70" s="8">
        <v>40546</v>
      </c>
      <c r="C70" s="7">
        <v>1</v>
      </c>
      <c r="D70" s="7">
        <v>0</v>
      </c>
      <c r="E70" s="7">
        <v>1</v>
      </c>
      <c r="F70" s="7">
        <v>23</v>
      </c>
      <c r="G70" s="7" t="b">
        <v>0</v>
      </c>
      <c r="H70" s="7">
        <v>1</v>
      </c>
      <c r="I70" s="7">
        <v>1</v>
      </c>
      <c r="J70" s="7">
        <v>0.18</v>
      </c>
      <c r="K70" s="9">
        <v>0.21210000000000001</v>
      </c>
      <c r="L70" s="9">
        <v>0.55000000000000004</v>
      </c>
      <c r="M70" s="9">
        <v>0.1045</v>
      </c>
      <c r="N70" s="9">
        <v>1</v>
      </c>
      <c r="O70" s="9">
        <v>11</v>
      </c>
      <c r="P70" s="9">
        <v>12</v>
      </c>
      <c r="Q70" s="7" t="str">
        <f t="shared" si="2"/>
        <v>MONDAY</v>
      </c>
      <c r="R70" t="str">
        <f t="shared" si="3"/>
        <v>Clear</v>
      </c>
    </row>
    <row r="71" spans="1:18" x14ac:dyDescent="0.25">
      <c r="A71" s="7">
        <v>70</v>
      </c>
      <c r="B71" s="8">
        <v>40547</v>
      </c>
      <c r="C71" s="7">
        <v>1</v>
      </c>
      <c r="D71" s="7">
        <v>0</v>
      </c>
      <c r="E71" s="7">
        <v>1</v>
      </c>
      <c r="F71" s="7">
        <v>0</v>
      </c>
      <c r="G71" s="7" t="b">
        <v>0</v>
      </c>
      <c r="H71" s="7">
        <v>2</v>
      </c>
      <c r="I71" s="7">
        <v>1</v>
      </c>
      <c r="J71" s="7">
        <v>0.16</v>
      </c>
      <c r="K71">
        <v>0.19993</v>
      </c>
      <c r="L71" s="9">
        <v>0.55000000000000004</v>
      </c>
      <c r="M71" s="9">
        <v>0.1045</v>
      </c>
      <c r="N71" s="9">
        <v>0</v>
      </c>
      <c r="O71" s="9">
        <v>5</v>
      </c>
      <c r="P71" s="9">
        <v>5</v>
      </c>
      <c r="Q71" s="7" t="str">
        <f t="shared" si="2"/>
        <v>TUESDAY</v>
      </c>
      <c r="R71" t="str">
        <f t="shared" si="3"/>
        <v>Clear</v>
      </c>
    </row>
    <row r="72" spans="1:18" x14ac:dyDescent="0.25">
      <c r="A72" s="7">
        <v>71</v>
      </c>
      <c r="B72" s="8">
        <v>40547</v>
      </c>
      <c r="C72" s="7">
        <v>1</v>
      </c>
      <c r="D72" s="7">
        <v>0</v>
      </c>
      <c r="E72" s="7">
        <v>1</v>
      </c>
      <c r="F72" s="7">
        <v>1</v>
      </c>
      <c r="G72" s="7" t="b">
        <v>0</v>
      </c>
      <c r="H72" s="7">
        <v>2</v>
      </c>
      <c r="I72" s="7">
        <v>1</v>
      </c>
      <c r="J72" s="7">
        <v>0.16</v>
      </c>
      <c r="K72" s="9">
        <v>0.18179999999999999</v>
      </c>
      <c r="L72" s="9">
        <v>0.59</v>
      </c>
      <c r="M72" s="9">
        <v>0.1045</v>
      </c>
      <c r="N72" s="9">
        <v>0</v>
      </c>
      <c r="O72" s="9">
        <v>2</v>
      </c>
      <c r="P72" s="9">
        <v>2</v>
      </c>
      <c r="Q72" s="7" t="str">
        <f t="shared" si="2"/>
        <v>TUESDAY</v>
      </c>
      <c r="R72" t="str">
        <f t="shared" si="3"/>
        <v>Clear</v>
      </c>
    </row>
    <row r="73" spans="1:18" x14ac:dyDescent="0.25">
      <c r="A73" s="7">
        <v>72</v>
      </c>
      <c r="B73" s="8">
        <v>40547</v>
      </c>
      <c r="C73" s="7">
        <v>1</v>
      </c>
      <c r="D73" s="7">
        <v>0</v>
      </c>
      <c r="E73" s="7">
        <v>1</v>
      </c>
      <c r="F73" s="7">
        <v>2</v>
      </c>
      <c r="G73" s="7" t="b">
        <v>0</v>
      </c>
      <c r="H73" s="7">
        <v>2</v>
      </c>
      <c r="I73" s="7">
        <v>1</v>
      </c>
      <c r="J73" s="7">
        <v>0.14000000000000001</v>
      </c>
      <c r="K73" s="9">
        <v>0.1515</v>
      </c>
      <c r="L73" s="9">
        <v>0.63</v>
      </c>
      <c r="M73" s="9">
        <v>0.1343</v>
      </c>
      <c r="N73" s="9">
        <v>0</v>
      </c>
      <c r="O73" s="9">
        <v>1</v>
      </c>
      <c r="P73" s="9">
        <v>1</v>
      </c>
      <c r="Q73" s="7" t="str">
        <f t="shared" si="2"/>
        <v>TUESDAY</v>
      </c>
      <c r="R73" t="str">
        <f t="shared" si="3"/>
        <v>Clear</v>
      </c>
    </row>
    <row r="74" spans="1:18" x14ac:dyDescent="0.25">
      <c r="A74" s="7">
        <v>73</v>
      </c>
      <c r="B74" s="8">
        <v>40547</v>
      </c>
      <c r="C74" s="7">
        <v>1</v>
      </c>
      <c r="D74" s="7">
        <v>0</v>
      </c>
      <c r="E74" s="7">
        <v>1</v>
      </c>
      <c r="F74" s="7">
        <v>4</v>
      </c>
      <c r="G74" s="7" t="b">
        <v>0</v>
      </c>
      <c r="H74" s="7">
        <v>2</v>
      </c>
      <c r="I74" s="7">
        <v>1</v>
      </c>
      <c r="J74" s="7">
        <v>0.14000000000000001</v>
      </c>
      <c r="K74" s="9">
        <v>0.18179999999999999</v>
      </c>
      <c r="L74" s="9">
        <v>0.63</v>
      </c>
      <c r="M74" s="9">
        <v>8.9599999999999999E-2</v>
      </c>
      <c r="N74" s="9">
        <v>0</v>
      </c>
      <c r="O74" s="9">
        <v>2</v>
      </c>
      <c r="P74" s="9">
        <v>2</v>
      </c>
      <c r="Q74" s="7" t="str">
        <f t="shared" si="2"/>
        <v>TUESDAY</v>
      </c>
      <c r="R74" t="str">
        <f t="shared" si="3"/>
        <v>Clear</v>
      </c>
    </row>
    <row r="75" spans="1:18" x14ac:dyDescent="0.25">
      <c r="A75" s="7">
        <v>74</v>
      </c>
      <c r="B75" s="8">
        <v>40547</v>
      </c>
      <c r="C75" s="7">
        <v>1</v>
      </c>
      <c r="D75" s="7">
        <v>0</v>
      </c>
      <c r="E75" s="7">
        <v>1</v>
      </c>
      <c r="F75" s="7">
        <v>5</v>
      </c>
      <c r="G75" s="7" t="b">
        <v>0</v>
      </c>
      <c r="H75" s="7">
        <v>2</v>
      </c>
      <c r="I75" s="7">
        <v>1</v>
      </c>
      <c r="J75" s="7">
        <v>0.12</v>
      </c>
      <c r="K75" s="9">
        <v>0.1515</v>
      </c>
      <c r="L75" s="9">
        <v>0.68</v>
      </c>
      <c r="M75" s="9">
        <v>0.1045</v>
      </c>
      <c r="N75" s="9">
        <v>0</v>
      </c>
      <c r="O75" s="9">
        <v>4</v>
      </c>
      <c r="P75" s="9">
        <v>4</v>
      </c>
      <c r="Q75" s="7" t="str">
        <f t="shared" si="2"/>
        <v>TUESDAY</v>
      </c>
      <c r="R75" t="str">
        <f t="shared" si="3"/>
        <v>Clear</v>
      </c>
    </row>
    <row r="76" spans="1:18" x14ac:dyDescent="0.25">
      <c r="A76" s="7">
        <v>75</v>
      </c>
      <c r="B76" s="8">
        <v>40547</v>
      </c>
      <c r="C76" s="7">
        <v>1</v>
      </c>
      <c r="D76" s="7">
        <v>0</v>
      </c>
      <c r="E76" s="7">
        <v>1</v>
      </c>
      <c r="F76" s="7">
        <v>6</v>
      </c>
      <c r="G76" s="7" t="b">
        <v>0</v>
      </c>
      <c r="H76" s="7">
        <v>2</v>
      </c>
      <c r="I76" s="7">
        <v>1</v>
      </c>
      <c r="J76" s="7">
        <v>0.12</v>
      </c>
      <c r="K76" s="9">
        <v>0.1515</v>
      </c>
      <c r="L76" s="9">
        <v>0.74</v>
      </c>
      <c r="M76" s="9">
        <v>0.1045</v>
      </c>
      <c r="N76" s="9">
        <v>0</v>
      </c>
      <c r="O76" s="9">
        <v>36</v>
      </c>
      <c r="P76" s="9">
        <v>36</v>
      </c>
      <c r="Q76" s="7" t="str">
        <f t="shared" si="2"/>
        <v>TUESDAY</v>
      </c>
      <c r="R76" t="str">
        <f t="shared" si="3"/>
        <v>Clear</v>
      </c>
    </row>
    <row r="77" spans="1:18" x14ac:dyDescent="0.25">
      <c r="A77" s="7">
        <v>76</v>
      </c>
      <c r="B77" s="8">
        <v>40547</v>
      </c>
      <c r="C77" s="7">
        <v>1</v>
      </c>
      <c r="D77" s="7">
        <v>0</v>
      </c>
      <c r="E77" s="7">
        <v>1</v>
      </c>
      <c r="F77" s="7">
        <v>7</v>
      </c>
      <c r="G77" s="7" t="b">
        <v>0</v>
      </c>
      <c r="H77" s="7">
        <v>2</v>
      </c>
      <c r="I77" s="7">
        <v>1</v>
      </c>
      <c r="J77" s="7">
        <v>0.12</v>
      </c>
      <c r="K77" s="9">
        <v>0.1515</v>
      </c>
      <c r="L77" s="9">
        <v>0.74</v>
      </c>
      <c r="M77" s="9">
        <v>0.1343</v>
      </c>
      <c r="N77" s="9">
        <v>2</v>
      </c>
      <c r="O77" s="9">
        <v>92</v>
      </c>
      <c r="P77" s="9">
        <v>94</v>
      </c>
      <c r="Q77" s="7" t="str">
        <f t="shared" si="2"/>
        <v>TUESDAY</v>
      </c>
      <c r="R77" t="str">
        <f t="shared" si="3"/>
        <v>Clear</v>
      </c>
    </row>
    <row r="78" spans="1:18" x14ac:dyDescent="0.25">
      <c r="A78" s="7">
        <v>77</v>
      </c>
      <c r="B78" s="8">
        <v>40547</v>
      </c>
      <c r="C78" s="7">
        <v>1</v>
      </c>
      <c r="D78" s="7">
        <v>0</v>
      </c>
      <c r="E78" s="7">
        <v>1</v>
      </c>
      <c r="F78" s="7">
        <v>8</v>
      </c>
      <c r="G78" s="7" t="b">
        <v>0</v>
      </c>
      <c r="H78" s="7">
        <v>2</v>
      </c>
      <c r="I78" s="7">
        <v>1</v>
      </c>
      <c r="J78" s="7">
        <v>0.14000000000000001</v>
      </c>
      <c r="K78" s="9">
        <v>0.1515</v>
      </c>
      <c r="L78" s="9">
        <v>0.69</v>
      </c>
      <c r="M78" s="9">
        <v>0.16420000000000001</v>
      </c>
      <c r="N78" s="9">
        <v>2</v>
      </c>
      <c r="O78" s="9">
        <v>177</v>
      </c>
      <c r="P78" s="9">
        <v>179</v>
      </c>
      <c r="Q78" s="7" t="str">
        <f t="shared" si="2"/>
        <v>TUESDAY</v>
      </c>
      <c r="R78" t="str">
        <f t="shared" si="3"/>
        <v>Clear</v>
      </c>
    </row>
    <row r="79" spans="1:18" x14ac:dyDescent="0.25">
      <c r="A79" s="7">
        <v>78</v>
      </c>
      <c r="B79" s="8">
        <v>40547</v>
      </c>
      <c r="C79" s="7">
        <v>1</v>
      </c>
      <c r="D79" s="7">
        <v>0</v>
      </c>
      <c r="E79" s="7">
        <v>1</v>
      </c>
      <c r="F79" s="7">
        <v>9</v>
      </c>
      <c r="G79" s="7" t="b">
        <v>0</v>
      </c>
      <c r="H79" s="7">
        <v>2</v>
      </c>
      <c r="I79" s="7">
        <v>1</v>
      </c>
      <c r="J79" s="7">
        <v>0.16</v>
      </c>
      <c r="K79" s="9">
        <v>0.1515</v>
      </c>
      <c r="L79" s="9">
        <v>0.64</v>
      </c>
      <c r="M79" s="9">
        <v>0.22389999999999999</v>
      </c>
      <c r="N79" s="9">
        <v>2</v>
      </c>
      <c r="O79" s="9">
        <v>98</v>
      </c>
      <c r="P79" s="9">
        <v>100</v>
      </c>
      <c r="Q79" s="7" t="str">
        <f t="shared" si="2"/>
        <v>TUESDAY</v>
      </c>
      <c r="R79" t="str">
        <f t="shared" si="3"/>
        <v>Clear</v>
      </c>
    </row>
    <row r="80" spans="1:18" x14ac:dyDescent="0.25">
      <c r="A80" s="7">
        <v>79</v>
      </c>
      <c r="B80" s="8">
        <v>40547</v>
      </c>
      <c r="C80" s="7">
        <v>1</v>
      </c>
      <c r="D80" s="7">
        <v>0</v>
      </c>
      <c r="E80" s="7">
        <v>1</v>
      </c>
      <c r="F80" s="7">
        <v>10</v>
      </c>
      <c r="G80" s="7" t="b">
        <v>0</v>
      </c>
      <c r="H80" s="7">
        <v>2</v>
      </c>
      <c r="I80" s="7">
        <v>2</v>
      </c>
      <c r="J80" s="7">
        <v>0.16</v>
      </c>
      <c r="K80" s="9">
        <v>0.13639999999999999</v>
      </c>
      <c r="L80" s="9">
        <v>0.69</v>
      </c>
      <c r="M80" s="9">
        <v>0.32840000000000003</v>
      </c>
      <c r="N80" s="9">
        <v>5</v>
      </c>
      <c r="O80" s="9">
        <v>37</v>
      </c>
      <c r="P80" s="9">
        <v>42</v>
      </c>
      <c r="Q80" s="7" t="str">
        <f t="shared" si="2"/>
        <v>TUESDAY</v>
      </c>
      <c r="R80" t="str">
        <f t="shared" si="3"/>
        <v>Mist</v>
      </c>
    </row>
    <row r="81" spans="1:18" x14ac:dyDescent="0.25">
      <c r="A81" s="7">
        <v>80</v>
      </c>
      <c r="B81" s="8">
        <v>40547</v>
      </c>
      <c r="C81" s="7">
        <v>1</v>
      </c>
      <c r="D81" s="7">
        <v>0</v>
      </c>
      <c r="E81" s="7">
        <v>1</v>
      </c>
      <c r="F81" s="7">
        <v>11</v>
      </c>
      <c r="G81" s="7" t="b">
        <v>0</v>
      </c>
      <c r="H81" s="7">
        <v>2</v>
      </c>
      <c r="I81" s="7">
        <v>1</v>
      </c>
      <c r="J81" s="7">
        <v>0.22</v>
      </c>
      <c r="K81" s="9">
        <v>0.21210000000000001</v>
      </c>
      <c r="L81" s="9">
        <v>0.51</v>
      </c>
      <c r="M81" s="9">
        <v>0.29849999999999999</v>
      </c>
      <c r="N81" s="9">
        <v>7</v>
      </c>
      <c r="O81" s="9">
        <v>50</v>
      </c>
      <c r="P81" s="9">
        <v>57</v>
      </c>
      <c r="Q81" s="7" t="str">
        <f t="shared" si="2"/>
        <v>TUESDAY</v>
      </c>
      <c r="R81" t="str">
        <f t="shared" si="3"/>
        <v>Clear</v>
      </c>
    </row>
    <row r="82" spans="1:18" x14ac:dyDescent="0.25">
      <c r="A82" s="7">
        <v>81</v>
      </c>
      <c r="B82" s="8">
        <v>40547</v>
      </c>
      <c r="C82" s="7">
        <v>1</v>
      </c>
      <c r="D82" s="7">
        <v>0</v>
      </c>
      <c r="E82" s="7">
        <v>1</v>
      </c>
      <c r="F82" s="7">
        <v>12</v>
      </c>
      <c r="G82" s="7" t="b">
        <v>0</v>
      </c>
      <c r="H82" s="7">
        <v>2</v>
      </c>
      <c r="I82" s="7">
        <v>1</v>
      </c>
      <c r="J82" s="7">
        <v>0.22</v>
      </c>
      <c r="K82" s="9">
        <v>0.2273</v>
      </c>
      <c r="L82" s="9">
        <v>0.51</v>
      </c>
      <c r="M82" s="9">
        <v>0.16420000000000001</v>
      </c>
      <c r="N82" s="9">
        <v>12</v>
      </c>
      <c r="O82" s="9">
        <v>66</v>
      </c>
      <c r="P82" s="9">
        <v>78</v>
      </c>
      <c r="Q82" s="7" t="str">
        <f t="shared" si="2"/>
        <v>TUESDAY</v>
      </c>
      <c r="R82" t="str">
        <f t="shared" si="3"/>
        <v>Clear</v>
      </c>
    </row>
    <row r="83" spans="1:18" x14ac:dyDescent="0.25">
      <c r="A83" s="7">
        <v>82</v>
      </c>
      <c r="B83" s="8">
        <v>40547</v>
      </c>
      <c r="C83" s="7">
        <v>1</v>
      </c>
      <c r="D83" s="7">
        <v>0</v>
      </c>
      <c r="E83" s="7">
        <v>1</v>
      </c>
      <c r="F83" s="7">
        <v>13</v>
      </c>
      <c r="G83" s="7" t="b">
        <v>0</v>
      </c>
      <c r="H83" s="7">
        <v>2</v>
      </c>
      <c r="I83" s="7">
        <v>1</v>
      </c>
      <c r="J83" s="7">
        <v>0.24</v>
      </c>
      <c r="K83" s="9">
        <v>0.2273</v>
      </c>
      <c r="L83" s="9">
        <v>0.56000000000000005</v>
      </c>
      <c r="M83" s="9">
        <v>0.19400000000000001</v>
      </c>
      <c r="N83" s="9">
        <v>18</v>
      </c>
      <c r="O83" s="9">
        <v>79</v>
      </c>
      <c r="P83" s="9">
        <v>97</v>
      </c>
      <c r="Q83" s="7" t="str">
        <f t="shared" si="2"/>
        <v>TUESDAY</v>
      </c>
      <c r="R83" t="str">
        <f t="shared" si="3"/>
        <v>Clear</v>
      </c>
    </row>
    <row r="84" spans="1:18" x14ac:dyDescent="0.25">
      <c r="A84" s="7">
        <v>83</v>
      </c>
      <c r="B84" s="8">
        <v>40547</v>
      </c>
      <c r="C84" s="7">
        <v>1</v>
      </c>
      <c r="D84" s="7">
        <v>0</v>
      </c>
      <c r="E84" s="7">
        <v>1</v>
      </c>
      <c r="F84" s="7">
        <v>14</v>
      </c>
      <c r="G84" s="7" t="b">
        <v>0</v>
      </c>
      <c r="H84" s="7">
        <v>2</v>
      </c>
      <c r="I84" s="7">
        <v>1</v>
      </c>
      <c r="J84" s="7">
        <v>0.26</v>
      </c>
      <c r="K84" s="9">
        <v>0.2576</v>
      </c>
      <c r="L84" s="9">
        <v>0.52</v>
      </c>
      <c r="M84" s="9">
        <v>0.22389999999999999</v>
      </c>
      <c r="N84" s="9">
        <v>9</v>
      </c>
      <c r="O84" s="9">
        <v>54</v>
      </c>
      <c r="P84" s="9">
        <v>63</v>
      </c>
      <c r="Q84" s="7" t="str">
        <f t="shared" si="2"/>
        <v>TUESDAY</v>
      </c>
      <c r="R84" t="str">
        <f t="shared" si="3"/>
        <v>Clear</v>
      </c>
    </row>
    <row r="85" spans="1:18" x14ac:dyDescent="0.25">
      <c r="A85" s="7">
        <v>84</v>
      </c>
      <c r="B85" s="8">
        <v>40547</v>
      </c>
      <c r="C85" s="7">
        <v>1</v>
      </c>
      <c r="D85" s="7">
        <v>0</v>
      </c>
      <c r="E85" s="7">
        <v>1</v>
      </c>
      <c r="F85" s="7">
        <v>15</v>
      </c>
      <c r="G85" s="7" t="b">
        <v>0</v>
      </c>
      <c r="H85" s="7">
        <v>2</v>
      </c>
      <c r="I85" s="7">
        <v>1</v>
      </c>
      <c r="J85" s="7">
        <v>0.28000000000000003</v>
      </c>
      <c r="K85" s="9">
        <v>0.2727</v>
      </c>
      <c r="L85" s="9">
        <v>0.52</v>
      </c>
      <c r="M85" s="9">
        <v>0.25369999999999998</v>
      </c>
      <c r="N85" s="9">
        <v>17</v>
      </c>
      <c r="O85" s="9">
        <v>48</v>
      </c>
      <c r="P85" s="9">
        <v>65</v>
      </c>
      <c r="Q85" s="7" t="str">
        <f t="shared" si="2"/>
        <v>TUESDAY</v>
      </c>
      <c r="R85" t="str">
        <f t="shared" si="3"/>
        <v>Clear</v>
      </c>
    </row>
    <row r="86" spans="1:18" x14ac:dyDescent="0.25">
      <c r="A86" s="7">
        <v>85</v>
      </c>
      <c r="B86" s="8">
        <v>40547</v>
      </c>
      <c r="C86" s="7">
        <v>1</v>
      </c>
      <c r="D86" s="7">
        <v>0</v>
      </c>
      <c r="E86" s="7">
        <v>1</v>
      </c>
      <c r="F86" s="7">
        <v>16</v>
      </c>
      <c r="G86" s="7" t="b">
        <v>0</v>
      </c>
      <c r="H86" s="7">
        <v>2</v>
      </c>
      <c r="I86" s="7">
        <v>1</v>
      </c>
      <c r="J86" s="7">
        <v>0.3</v>
      </c>
      <c r="K86" s="9">
        <v>0.28789999999999999</v>
      </c>
      <c r="L86" s="9">
        <v>0.49</v>
      </c>
      <c r="M86" s="9">
        <v>0.25369999999999998</v>
      </c>
      <c r="N86" s="9">
        <v>15</v>
      </c>
      <c r="O86" s="9">
        <v>68</v>
      </c>
      <c r="P86" s="9">
        <v>83</v>
      </c>
      <c r="Q86" s="7" t="str">
        <f t="shared" si="2"/>
        <v>TUESDAY</v>
      </c>
      <c r="R86" t="str">
        <f t="shared" si="3"/>
        <v>Clear</v>
      </c>
    </row>
    <row r="87" spans="1:18" x14ac:dyDescent="0.25">
      <c r="A87" s="7">
        <v>86</v>
      </c>
      <c r="B87" s="8">
        <v>40547</v>
      </c>
      <c r="C87" s="7">
        <v>1</v>
      </c>
      <c r="D87" s="7">
        <v>0</v>
      </c>
      <c r="E87" s="7">
        <v>1</v>
      </c>
      <c r="F87" s="7">
        <v>17</v>
      </c>
      <c r="G87" s="7" t="b">
        <v>0</v>
      </c>
      <c r="H87" s="7">
        <v>2</v>
      </c>
      <c r="I87" s="7">
        <v>1</v>
      </c>
      <c r="J87" s="7">
        <v>0.28000000000000003</v>
      </c>
      <c r="K87" s="9">
        <v>0.2727</v>
      </c>
      <c r="L87" s="9">
        <v>0.48</v>
      </c>
      <c r="M87" s="9">
        <v>0.22389999999999999</v>
      </c>
      <c r="N87" s="9">
        <v>10</v>
      </c>
      <c r="O87" s="9">
        <v>202</v>
      </c>
      <c r="P87" s="9">
        <v>212</v>
      </c>
      <c r="Q87" s="7" t="str">
        <f t="shared" si="2"/>
        <v>TUESDAY</v>
      </c>
      <c r="R87" t="str">
        <f t="shared" si="3"/>
        <v>Clear</v>
      </c>
    </row>
    <row r="88" spans="1:18" x14ac:dyDescent="0.25">
      <c r="A88" s="7">
        <v>87</v>
      </c>
      <c r="B88" s="8">
        <v>40547</v>
      </c>
      <c r="C88" s="7">
        <v>1</v>
      </c>
      <c r="D88" s="7">
        <v>0</v>
      </c>
      <c r="E88" s="7">
        <v>1</v>
      </c>
      <c r="F88" s="7">
        <v>18</v>
      </c>
      <c r="G88" s="7" t="b">
        <v>0</v>
      </c>
      <c r="H88" s="7">
        <v>2</v>
      </c>
      <c r="I88" s="7">
        <v>1</v>
      </c>
      <c r="J88" s="7">
        <v>0.26</v>
      </c>
      <c r="K88" s="9">
        <v>0.2576</v>
      </c>
      <c r="L88" s="9">
        <v>0.48</v>
      </c>
      <c r="M88" s="9">
        <v>0.19400000000000001</v>
      </c>
      <c r="N88" s="9">
        <v>3</v>
      </c>
      <c r="O88" s="9">
        <v>179</v>
      </c>
      <c r="P88" s="9">
        <v>182</v>
      </c>
      <c r="Q88" s="7" t="str">
        <f t="shared" si="2"/>
        <v>TUESDAY</v>
      </c>
      <c r="R88" t="str">
        <f t="shared" si="3"/>
        <v>Clear</v>
      </c>
    </row>
    <row r="89" spans="1:18" x14ac:dyDescent="0.25">
      <c r="A89" s="7">
        <v>88</v>
      </c>
      <c r="B89" s="8">
        <v>40547</v>
      </c>
      <c r="C89" s="7">
        <v>1</v>
      </c>
      <c r="D89" s="7">
        <v>0</v>
      </c>
      <c r="E89" s="7">
        <v>1</v>
      </c>
      <c r="F89" s="7">
        <v>19</v>
      </c>
      <c r="G89" s="7" t="b">
        <v>0</v>
      </c>
      <c r="H89" s="7">
        <v>2</v>
      </c>
      <c r="I89" s="7">
        <v>1</v>
      </c>
      <c r="J89" s="7">
        <v>0.24</v>
      </c>
      <c r="K89" s="9">
        <v>0.2576</v>
      </c>
      <c r="L89" s="9">
        <v>0.48</v>
      </c>
      <c r="M89" s="9">
        <v>0.1045</v>
      </c>
      <c r="N89" s="9">
        <v>2</v>
      </c>
      <c r="O89" s="9">
        <v>110</v>
      </c>
      <c r="P89" s="9">
        <v>112</v>
      </c>
      <c r="Q89" s="7" t="str">
        <f t="shared" si="2"/>
        <v>TUESDAY</v>
      </c>
      <c r="R89" t="str">
        <f t="shared" si="3"/>
        <v>Clear</v>
      </c>
    </row>
    <row r="90" spans="1:18" x14ac:dyDescent="0.25">
      <c r="A90" s="7">
        <v>89</v>
      </c>
      <c r="B90" s="8">
        <v>40547</v>
      </c>
      <c r="C90" s="7">
        <v>1</v>
      </c>
      <c r="D90" s="7">
        <v>0</v>
      </c>
      <c r="E90" s="7">
        <v>1</v>
      </c>
      <c r="F90" s="7">
        <v>20</v>
      </c>
      <c r="G90" s="7" t="b">
        <v>0</v>
      </c>
      <c r="H90" s="7">
        <v>2</v>
      </c>
      <c r="I90" s="7">
        <v>1</v>
      </c>
      <c r="J90" s="7">
        <v>0.24</v>
      </c>
      <c r="K90" s="9">
        <v>0.2576</v>
      </c>
      <c r="L90" s="9">
        <v>0.48</v>
      </c>
      <c r="M90" s="9">
        <v>0.1045</v>
      </c>
      <c r="N90" s="9">
        <v>1</v>
      </c>
      <c r="O90" s="9">
        <v>53</v>
      </c>
      <c r="P90" s="9">
        <v>54</v>
      </c>
      <c r="Q90" s="7" t="str">
        <f t="shared" si="2"/>
        <v>TUESDAY</v>
      </c>
      <c r="R90" t="str">
        <f t="shared" si="3"/>
        <v>Clear</v>
      </c>
    </row>
    <row r="91" spans="1:18" x14ac:dyDescent="0.25">
      <c r="A91" s="7">
        <v>90</v>
      </c>
      <c r="B91" s="8">
        <v>40547</v>
      </c>
      <c r="C91" s="7">
        <v>1</v>
      </c>
      <c r="D91" s="7">
        <v>0</v>
      </c>
      <c r="E91" s="7">
        <v>1</v>
      </c>
      <c r="F91" s="7">
        <v>21</v>
      </c>
      <c r="G91" s="7" t="b">
        <v>0</v>
      </c>
      <c r="H91" s="7">
        <v>2</v>
      </c>
      <c r="I91" s="7">
        <v>1</v>
      </c>
      <c r="J91" s="7">
        <v>0.22</v>
      </c>
      <c r="K91" s="9">
        <v>0.2727</v>
      </c>
      <c r="L91" s="9">
        <v>0.64</v>
      </c>
      <c r="M91" s="9">
        <v>0</v>
      </c>
      <c r="N91" s="9">
        <v>0</v>
      </c>
      <c r="O91" s="9">
        <v>48</v>
      </c>
      <c r="P91" s="9">
        <v>48</v>
      </c>
      <c r="Q91" s="7" t="str">
        <f t="shared" si="2"/>
        <v>TUESDAY</v>
      </c>
      <c r="R91" t="str">
        <f t="shared" si="3"/>
        <v>Clear</v>
      </c>
    </row>
    <row r="92" spans="1:18" x14ac:dyDescent="0.25">
      <c r="A92" s="7">
        <v>91</v>
      </c>
      <c r="B92" s="8">
        <v>40547</v>
      </c>
      <c r="C92" s="7">
        <v>1</v>
      </c>
      <c r="D92" s="7">
        <v>0</v>
      </c>
      <c r="E92" s="7">
        <v>1</v>
      </c>
      <c r="F92" s="7">
        <v>22</v>
      </c>
      <c r="G92" s="7" t="b">
        <v>0</v>
      </c>
      <c r="H92" s="7">
        <v>2</v>
      </c>
      <c r="I92" s="7">
        <v>1</v>
      </c>
      <c r="J92" s="7">
        <v>0.22</v>
      </c>
      <c r="K92" s="9">
        <v>0.2576</v>
      </c>
      <c r="L92" s="9">
        <v>0.64</v>
      </c>
      <c r="M92" s="9">
        <v>8.9599999999999999E-2</v>
      </c>
      <c r="N92" s="9">
        <v>1</v>
      </c>
      <c r="O92" s="9">
        <v>34</v>
      </c>
      <c r="P92" s="9">
        <v>35</v>
      </c>
      <c r="Q92" s="7" t="str">
        <f t="shared" si="2"/>
        <v>TUESDAY</v>
      </c>
      <c r="R92" t="str">
        <f t="shared" si="3"/>
        <v>Clear</v>
      </c>
    </row>
    <row r="93" spans="1:18" x14ac:dyDescent="0.25">
      <c r="A93" s="7">
        <v>92</v>
      </c>
      <c r="B93" s="8">
        <v>40547</v>
      </c>
      <c r="C93" s="7">
        <v>1</v>
      </c>
      <c r="D93" s="7">
        <v>0</v>
      </c>
      <c r="E93" s="7">
        <v>1</v>
      </c>
      <c r="F93" s="7">
        <v>23</v>
      </c>
      <c r="G93" s="7" t="b">
        <v>0</v>
      </c>
      <c r="H93" s="7">
        <v>2</v>
      </c>
      <c r="I93" s="7">
        <v>1</v>
      </c>
      <c r="J93" s="7">
        <v>0.2</v>
      </c>
      <c r="K93" s="9">
        <v>0.2273</v>
      </c>
      <c r="L93" s="9">
        <v>0.69</v>
      </c>
      <c r="M93" s="9">
        <v>8.9599999999999999E-2</v>
      </c>
      <c r="N93" s="9">
        <v>2</v>
      </c>
      <c r="O93" s="9">
        <v>9</v>
      </c>
      <c r="P93" s="9">
        <v>11</v>
      </c>
      <c r="Q93" s="7" t="str">
        <f t="shared" si="2"/>
        <v>TUESDAY</v>
      </c>
      <c r="R93" t="str">
        <f t="shared" si="3"/>
        <v>Clear</v>
      </c>
    </row>
    <row r="94" spans="1:18" x14ac:dyDescent="0.25">
      <c r="A94" s="7">
        <v>93</v>
      </c>
      <c r="B94" s="8">
        <v>40548</v>
      </c>
      <c r="C94" s="7">
        <v>1</v>
      </c>
      <c r="D94" s="7">
        <v>0</v>
      </c>
      <c r="E94" s="7">
        <v>1</v>
      </c>
      <c r="F94" s="7">
        <v>0</v>
      </c>
      <c r="G94" s="7" t="b">
        <v>0</v>
      </c>
      <c r="H94" s="7">
        <v>3</v>
      </c>
      <c r="I94" s="7">
        <v>1</v>
      </c>
      <c r="J94" s="7">
        <v>0.2</v>
      </c>
      <c r="K94" s="9">
        <v>0.2576</v>
      </c>
      <c r="L94" s="9">
        <v>0.64</v>
      </c>
      <c r="M94" s="9">
        <v>0</v>
      </c>
      <c r="N94" s="9">
        <v>0</v>
      </c>
      <c r="O94" s="9">
        <v>6</v>
      </c>
      <c r="P94" s="9">
        <v>6</v>
      </c>
      <c r="Q94" s="7" t="str">
        <f t="shared" si="2"/>
        <v>WENESDAY</v>
      </c>
      <c r="R94" t="str">
        <f t="shared" si="3"/>
        <v>Clear</v>
      </c>
    </row>
    <row r="95" spans="1:18" x14ac:dyDescent="0.25">
      <c r="A95" s="7">
        <v>94</v>
      </c>
      <c r="B95" s="8">
        <v>40548</v>
      </c>
      <c r="C95" s="7">
        <v>1</v>
      </c>
      <c r="D95" s="7">
        <v>0</v>
      </c>
      <c r="E95" s="7">
        <v>1</v>
      </c>
      <c r="F95" s="7">
        <v>1</v>
      </c>
      <c r="G95" s="7" t="b">
        <v>0</v>
      </c>
      <c r="H95" s="7">
        <v>3</v>
      </c>
      <c r="I95" s="7">
        <v>1</v>
      </c>
      <c r="J95" s="7">
        <v>0.16</v>
      </c>
      <c r="K95" s="9">
        <v>0.19700000000000001</v>
      </c>
      <c r="L95" s="9">
        <v>0.74</v>
      </c>
      <c r="M95" s="9">
        <v>8.9599999999999999E-2</v>
      </c>
      <c r="N95" s="9">
        <v>0</v>
      </c>
      <c r="O95" s="9">
        <v>6</v>
      </c>
      <c r="P95" s="9">
        <v>6</v>
      </c>
      <c r="Q95" s="7" t="str">
        <f t="shared" si="2"/>
        <v>WENESDAY</v>
      </c>
      <c r="R95" t="str">
        <f t="shared" si="3"/>
        <v>Clear</v>
      </c>
    </row>
    <row r="96" spans="1:18" x14ac:dyDescent="0.25">
      <c r="A96" s="7">
        <v>95</v>
      </c>
      <c r="B96" s="8">
        <v>40548</v>
      </c>
      <c r="C96" s="7">
        <v>1</v>
      </c>
      <c r="D96" s="7">
        <v>0</v>
      </c>
      <c r="E96" s="7">
        <v>1</v>
      </c>
      <c r="F96" s="7">
        <v>2</v>
      </c>
      <c r="G96" s="7" t="b">
        <v>0</v>
      </c>
      <c r="H96" s="7">
        <v>3</v>
      </c>
      <c r="I96" s="7">
        <v>1</v>
      </c>
      <c r="J96" s="7">
        <v>0.16</v>
      </c>
      <c r="K96" s="9">
        <v>0.19700000000000001</v>
      </c>
      <c r="L96" s="9">
        <v>0.74</v>
      </c>
      <c r="M96" s="9">
        <v>8.9599999999999999E-2</v>
      </c>
      <c r="N96" s="9">
        <v>0</v>
      </c>
      <c r="O96" s="9">
        <v>2</v>
      </c>
      <c r="P96" s="9">
        <v>2</v>
      </c>
      <c r="Q96" s="7" t="str">
        <f t="shared" si="2"/>
        <v>WENESDAY</v>
      </c>
      <c r="R96" t="str">
        <f t="shared" si="3"/>
        <v>Clear</v>
      </c>
    </row>
    <row r="97" spans="1:18" x14ac:dyDescent="0.25">
      <c r="A97" s="7">
        <v>96</v>
      </c>
      <c r="B97" s="8">
        <v>40548</v>
      </c>
      <c r="C97" s="7">
        <v>1</v>
      </c>
      <c r="D97" s="7">
        <v>0</v>
      </c>
      <c r="E97" s="7">
        <v>1</v>
      </c>
      <c r="F97" s="7">
        <v>4</v>
      </c>
      <c r="G97" s="7" t="b">
        <v>0</v>
      </c>
      <c r="H97" s="7">
        <v>3</v>
      </c>
      <c r="I97" s="7">
        <v>1</v>
      </c>
      <c r="J97" s="7">
        <v>0.24</v>
      </c>
      <c r="K97" s="9">
        <v>0.2273</v>
      </c>
      <c r="L97" s="9">
        <v>0.48</v>
      </c>
      <c r="M97" s="9">
        <v>0.22389999999999999</v>
      </c>
      <c r="N97" s="9">
        <v>0</v>
      </c>
      <c r="O97" s="9">
        <v>2</v>
      </c>
      <c r="P97" s="9">
        <v>2</v>
      </c>
      <c r="Q97" s="7" t="str">
        <f t="shared" si="2"/>
        <v>WENESDAY</v>
      </c>
      <c r="R97" t="str">
        <f t="shared" si="3"/>
        <v>Clear</v>
      </c>
    </row>
    <row r="98" spans="1:18" x14ac:dyDescent="0.25">
      <c r="A98" s="7">
        <v>97</v>
      </c>
      <c r="B98" s="8">
        <v>40548</v>
      </c>
      <c r="C98" s="7">
        <v>1</v>
      </c>
      <c r="D98" s="7">
        <v>0</v>
      </c>
      <c r="E98" s="7">
        <v>1</v>
      </c>
      <c r="F98" s="7">
        <v>5</v>
      </c>
      <c r="G98" s="7" t="b">
        <v>0</v>
      </c>
      <c r="H98" s="7">
        <v>3</v>
      </c>
      <c r="I98" s="7">
        <v>1</v>
      </c>
      <c r="J98" s="7">
        <v>0.22</v>
      </c>
      <c r="K98" s="9">
        <v>0.2273</v>
      </c>
      <c r="L98" s="9">
        <v>0.47</v>
      </c>
      <c r="M98" s="9">
        <v>0.16420000000000001</v>
      </c>
      <c r="N98" s="9">
        <v>0</v>
      </c>
      <c r="O98" s="9">
        <v>3</v>
      </c>
      <c r="P98" s="9">
        <v>3</v>
      </c>
      <c r="Q98" s="7" t="str">
        <f t="shared" si="2"/>
        <v>WENESDAY</v>
      </c>
      <c r="R98" t="str">
        <f t="shared" si="3"/>
        <v>Clear</v>
      </c>
    </row>
    <row r="99" spans="1:18" x14ac:dyDescent="0.25">
      <c r="A99" s="7">
        <v>98</v>
      </c>
      <c r="B99" s="8">
        <v>40548</v>
      </c>
      <c r="C99" s="7">
        <v>1</v>
      </c>
      <c r="D99" s="7">
        <v>0</v>
      </c>
      <c r="E99" s="7">
        <v>1</v>
      </c>
      <c r="F99" s="7">
        <v>6</v>
      </c>
      <c r="G99" s="7" t="b">
        <v>0</v>
      </c>
      <c r="H99" s="7">
        <v>3</v>
      </c>
      <c r="I99" s="7">
        <v>1</v>
      </c>
      <c r="J99" s="7">
        <v>0.2</v>
      </c>
      <c r="K99" s="9">
        <v>0.19700000000000001</v>
      </c>
      <c r="L99" s="9">
        <v>0.47</v>
      </c>
      <c r="M99" s="9">
        <v>0.22389999999999999</v>
      </c>
      <c r="N99" s="9">
        <v>0</v>
      </c>
      <c r="O99" s="9">
        <v>33</v>
      </c>
      <c r="P99" s="9">
        <v>33</v>
      </c>
      <c r="Q99" s="7" t="str">
        <f t="shared" si="2"/>
        <v>WENESDAY</v>
      </c>
      <c r="R99" t="str">
        <f t="shared" si="3"/>
        <v>Clear</v>
      </c>
    </row>
    <row r="100" spans="1:18" x14ac:dyDescent="0.25">
      <c r="A100" s="7">
        <v>99</v>
      </c>
      <c r="B100" s="8">
        <v>40548</v>
      </c>
      <c r="C100" s="7">
        <v>1</v>
      </c>
      <c r="D100" s="7">
        <v>0</v>
      </c>
      <c r="E100" s="7">
        <v>1</v>
      </c>
      <c r="F100" s="7">
        <v>7</v>
      </c>
      <c r="G100" s="7" t="b">
        <v>0</v>
      </c>
      <c r="H100" s="7">
        <v>3</v>
      </c>
      <c r="I100" s="7">
        <v>1</v>
      </c>
      <c r="J100" s="7">
        <v>0.18</v>
      </c>
      <c r="K100" s="9">
        <v>0.18179999999999999</v>
      </c>
      <c r="L100" s="9">
        <v>0.43</v>
      </c>
      <c r="M100" s="9">
        <v>0.19400000000000001</v>
      </c>
      <c r="N100" s="9">
        <v>1</v>
      </c>
      <c r="O100" s="9">
        <v>87</v>
      </c>
      <c r="P100" s="9">
        <v>88</v>
      </c>
      <c r="Q100" s="7" t="str">
        <f t="shared" si="2"/>
        <v>WENESDAY</v>
      </c>
      <c r="R100" t="str">
        <f t="shared" si="3"/>
        <v>Clear</v>
      </c>
    </row>
    <row r="101" spans="1:18" x14ac:dyDescent="0.25">
      <c r="A101" s="7">
        <v>100</v>
      </c>
      <c r="B101" s="8">
        <v>40548</v>
      </c>
      <c r="C101" s="7">
        <v>1</v>
      </c>
      <c r="D101" s="7">
        <v>0</v>
      </c>
      <c r="E101" s="7">
        <v>1</v>
      </c>
      <c r="F101" s="7">
        <v>8</v>
      </c>
      <c r="G101" s="7" t="b">
        <v>0</v>
      </c>
      <c r="H101" s="7">
        <v>3</v>
      </c>
      <c r="I101" s="7">
        <v>1</v>
      </c>
      <c r="J101" s="7">
        <v>0.2</v>
      </c>
      <c r="K101" s="9">
        <v>0.18179999999999999</v>
      </c>
      <c r="L101" s="9">
        <v>0.4</v>
      </c>
      <c r="M101" s="9">
        <v>0.29849999999999999</v>
      </c>
      <c r="N101" s="9">
        <v>3</v>
      </c>
      <c r="O101" s="9">
        <v>192</v>
      </c>
      <c r="P101" s="9">
        <v>195</v>
      </c>
      <c r="Q101" s="7" t="str">
        <f t="shared" si="2"/>
        <v>WENESDAY</v>
      </c>
      <c r="R101" t="str">
        <f t="shared" si="3"/>
        <v>Clear</v>
      </c>
    </row>
    <row r="102" spans="1:18" x14ac:dyDescent="0.25">
      <c r="A102" s="7">
        <v>101</v>
      </c>
      <c r="B102" s="8">
        <v>40548</v>
      </c>
      <c r="C102" s="7">
        <v>1</v>
      </c>
      <c r="D102" s="7">
        <v>0</v>
      </c>
      <c r="E102" s="7">
        <v>1</v>
      </c>
      <c r="F102" s="7">
        <v>9</v>
      </c>
      <c r="G102" s="7" t="b">
        <v>0</v>
      </c>
      <c r="H102" s="7">
        <v>3</v>
      </c>
      <c r="I102" s="7">
        <v>1</v>
      </c>
      <c r="J102" s="7">
        <v>0.22</v>
      </c>
      <c r="K102" s="9">
        <v>0.19700000000000001</v>
      </c>
      <c r="L102" s="9">
        <v>0.37</v>
      </c>
      <c r="M102" s="9">
        <v>0.32840000000000003</v>
      </c>
      <c r="N102" s="9">
        <v>6</v>
      </c>
      <c r="O102" s="9">
        <v>109</v>
      </c>
      <c r="P102" s="9">
        <v>115</v>
      </c>
      <c r="Q102" s="7" t="str">
        <f t="shared" si="2"/>
        <v>WENESDAY</v>
      </c>
      <c r="R102" t="str">
        <f t="shared" si="3"/>
        <v>Clear</v>
      </c>
    </row>
    <row r="103" spans="1:18" x14ac:dyDescent="0.25">
      <c r="A103" s="7">
        <v>102</v>
      </c>
      <c r="B103" s="8">
        <v>40548</v>
      </c>
      <c r="C103" s="7">
        <v>1</v>
      </c>
      <c r="D103" s="7">
        <v>0</v>
      </c>
      <c r="E103" s="7">
        <v>1</v>
      </c>
      <c r="F103" s="7">
        <v>10</v>
      </c>
      <c r="G103" s="7" t="b">
        <v>0</v>
      </c>
      <c r="H103" s="7">
        <v>3</v>
      </c>
      <c r="I103" s="7">
        <v>1</v>
      </c>
      <c r="J103" s="7">
        <v>0.22</v>
      </c>
      <c r="K103" s="9">
        <v>0.19700000000000001</v>
      </c>
      <c r="L103" s="9">
        <v>0.37</v>
      </c>
      <c r="M103" s="9">
        <v>0.32840000000000003</v>
      </c>
      <c r="N103" s="9">
        <v>4</v>
      </c>
      <c r="O103" s="9">
        <v>53</v>
      </c>
      <c r="P103" s="9">
        <v>57</v>
      </c>
      <c r="Q103" s="7" t="str">
        <f t="shared" si="2"/>
        <v>WENESDAY</v>
      </c>
      <c r="R103" t="str">
        <f t="shared" si="3"/>
        <v>Clear</v>
      </c>
    </row>
    <row r="104" spans="1:18" x14ac:dyDescent="0.25">
      <c r="A104" s="7">
        <v>103</v>
      </c>
      <c r="B104" s="8">
        <v>40548</v>
      </c>
      <c r="C104" s="7">
        <v>1</v>
      </c>
      <c r="D104" s="7">
        <v>0</v>
      </c>
      <c r="E104" s="7">
        <v>1</v>
      </c>
      <c r="F104" s="7">
        <v>11</v>
      </c>
      <c r="G104" s="7" t="b">
        <v>0</v>
      </c>
      <c r="H104" s="7">
        <v>3</v>
      </c>
      <c r="I104" s="7">
        <v>1</v>
      </c>
      <c r="J104" s="7">
        <v>0.26</v>
      </c>
      <c r="K104" s="9">
        <v>0.2273</v>
      </c>
      <c r="L104" s="9">
        <v>0.33</v>
      </c>
      <c r="M104" s="9">
        <v>0.32840000000000003</v>
      </c>
      <c r="N104" s="9">
        <v>12</v>
      </c>
      <c r="O104" s="9">
        <v>34</v>
      </c>
      <c r="P104" s="9">
        <v>46</v>
      </c>
      <c r="Q104" s="7" t="str">
        <f t="shared" si="2"/>
        <v>WENESDAY</v>
      </c>
      <c r="R104" t="str">
        <f t="shared" si="3"/>
        <v>Clear</v>
      </c>
    </row>
    <row r="105" spans="1:18" x14ac:dyDescent="0.25">
      <c r="A105" s="7">
        <v>104</v>
      </c>
      <c r="B105" s="8">
        <v>40548</v>
      </c>
      <c r="C105" s="7">
        <v>1</v>
      </c>
      <c r="D105" s="7">
        <v>0</v>
      </c>
      <c r="E105" s="7">
        <v>1</v>
      </c>
      <c r="F105" s="7">
        <v>12</v>
      </c>
      <c r="G105" s="7" t="b">
        <v>0</v>
      </c>
      <c r="H105" s="7">
        <v>3</v>
      </c>
      <c r="I105" s="7">
        <v>1</v>
      </c>
      <c r="J105" s="7">
        <v>0.26</v>
      </c>
      <c r="K105" s="9">
        <v>0.2273</v>
      </c>
      <c r="L105" s="9">
        <v>0.33</v>
      </c>
      <c r="M105" s="9">
        <v>0.32840000000000003</v>
      </c>
      <c r="N105" s="9">
        <v>5</v>
      </c>
      <c r="O105" s="9">
        <v>74</v>
      </c>
      <c r="P105" s="9">
        <v>79</v>
      </c>
      <c r="Q105" s="7" t="str">
        <f t="shared" si="2"/>
        <v>WENESDAY</v>
      </c>
      <c r="R105" t="str">
        <f t="shared" si="3"/>
        <v>Clear</v>
      </c>
    </row>
    <row r="106" spans="1:18" x14ac:dyDescent="0.25">
      <c r="A106" s="7">
        <v>105</v>
      </c>
      <c r="B106" s="8">
        <v>40548</v>
      </c>
      <c r="C106" s="7">
        <v>1</v>
      </c>
      <c r="D106" s="7">
        <v>0</v>
      </c>
      <c r="E106" s="7">
        <v>1</v>
      </c>
      <c r="F106" s="7">
        <v>13</v>
      </c>
      <c r="G106" s="7" t="b">
        <v>0</v>
      </c>
      <c r="H106" s="7">
        <v>3</v>
      </c>
      <c r="I106" s="7">
        <v>1</v>
      </c>
      <c r="J106" s="7">
        <v>0.28000000000000003</v>
      </c>
      <c r="K106" s="9">
        <v>0.2576</v>
      </c>
      <c r="L106" s="9">
        <v>0.3</v>
      </c>
      <c r="M106" s="9">
        <v>0.29849999999999999</v>
      </c>
      <c r="N106" s="9">
        <v>6</v>
      </c>
      <c r="O106" s="9">
        <v>65</v>
      </c>
      <c r="P106" s="9">
        <v>71</v>
      </c>
      <c r="Q106" s="7" t="str">
        <f t="shared" si="2"/>
        <v>WENESDAY</v>
      </c>
      <c r="R106" t="str">
        <f t="shared" si="3"/>
        <v>Clear</v>
      </c>
    </row>
    <row r="107" spans="1:18" x14ac:dyDescent="0.25">
      <c r="A107" s="7">
        <v>106</v>
      </c>
      <c r="B107" s="8">
        <v>40548</v>
      </c>
      <c r="C107" s="7">
        <v>1</v>
      </c>
      <c r="D107" s="7">
        <v>0</v>
      </c>
      <c r="E107" s="7">
        <v>1</v>
      </c>
      <c r="F107" s="7">
        <v>14</v>
      </c>
      <c r="G107" s="7" t="b">
        <v>0</v>
      </c>
      <c r="H107" s="7">
        <v>3</v>
      </c>
      <c r="I107" s="7">
        <v>1</v>
      </c>
      <c r="J107" s="7">
        <v>0.3</v>
      </c>
      <c r="K107" s="9">
        <v>0.28789999999999999</v>
      </c>
      <c r="L107" s="9">
        <v>0.28000000000000003</v>
      </c>
      <c r="M107" s="9">
        <v>0.19400000000000001</v>
      </c>
      <c r="N107" s="9">
        <v>10</v>
      </c>
      <c r="O107" s="9">
        <v>52</v>
      </c>
      <c r="P107" s="9">
        <v>62</v>
      </c>
      <c r="Q107" s="7" t="str">
        <f t="shared" si="2"/>
        <v>WENESDAY</v>
      </c>
      <c r="R107" t="str">
        <f t="shared" si="3"/>
        <v>Clear</v>
      </c>
    </row>
    <row r="108" spans="1:18" x14ac:dyDescent="0.25">
      <c r="A108" s="7">
        <v>107</v>
      </c>
      <c r="B108" s="8">
        <v>40548</v>
      </c>
      <c r="C108" s="7">
        <v>1</v>
      </c>
      <c r="D108" s="7">
        <v>0</v>
      </c>
      <c r="E108" s="7">
        <v>1</v>
      </c>
      <c r="F108" s="7">
        <v>15</v>
      </c>
      <c r="G108" s="7" t="b">
        <v>0</v>
      </c>
      <c r="H108" s="7">
        <v>3</v>
      </c>
      <c r="I108" s="7">
        <v>1</v>
      </c>
      <c r="J108" s="7">
        <v>0.3</v>
      </c>
      <c r="K108" s="9">
        <v>0.28789999999999999</v>
      </c>
      <c r="L108" s="9">
        <v>0.28000000000000003</v>
      </c>
      <c r="M108" s="9">
        <v>0.19400000000000001</v>
      </c>
      <c r="N108" s="9">
        <v>7</v>
      </c>
      <c r="O108" s="9">
        <v>55</v>
      </c>
      <c r="P108" s="9">
        <v>62</v>
      </c>
      <c r="Q108" s="7" t="str">
        <f t="shared" si="2"/>
        <v>WENESDAY</v>
      </c>
      <c r="R108" t="str">
        <f t="shared" si="3"/>
        <v>Clear</v>
      </c>
    </row>
    <row r="109" spans="1:18" x14ac:dyDescent="0.25">
      <c r="A109" s="7">
        <v>108</v>
      </c>
      <c r="B109" s="8">
        <v>40548</v>
      </c>
      <c r="C109" s="7">
        <v>1</v>
      </c>
      <c r="D109" s="7">
        <v>0</v>
      </c>
      <c r="E109" s="7">
        <v>1</v>
      </c>
      <c r="F109" s="7">
        <v>16</v>
      </c>
      <c r="G109" s="7" t="b">
        <v>0</v>
      </c>
      <c r="H109" s="7">
        <v>3</v>
      </c>
      <c r="I109" s="7">
        <v>1</v>
      </c>
      <c r="J109" s="7">
        <v>0.3</v>
      </c>
      <c r="K109" s="9">
        <v>0.31819999999999998</v>
      </c>
      <c r="L109" s="9">
        <v>0.28000000000000003</v>
      </c>
      <c r="M109" s="9">
        <v>8.9599999999999999E-2</v>
      </c>
      <c r="N109" s="9">
        <v>4</v>
      </c>
      <c r="O109" s="9">
        <v>85</v>
      </c>
      <c r="P109" s="9">
        <v>89</v>
      </c>
      <c r="Q109" s="7" t="str">
        <f t="shared" si="2"/>
        <v>WENESDAY</v>
      </c>
      <c r="R109" t="str">
        <f t="shared" si="3"/>
        <v>Clear</v>
      </c>
    </row>
    <row r="110" spans="1:18" x14ac:dyDescent="0.25">
      <c r="A110" s="7">
        <v>109</v>
      </c>
      <c r="B110" s="8">
        <v>40548</v>
      </c>
      <c r="C110" s="7">
        <v>1</v>
      </c>
      <c r="D110" s="7">
        <v>0</v>
      </c>
      <c r="E110" s="7">
        <v>1</v>
      </c>
      <c r="F110" s="7">
        <v>17</v>
      </c>
      <c r="G110" s="7" t="b">
        <v>0</v>
      </c>
      <c r="H110" s="7">
        <v>3</v>
      </c>
      <c r="I110" s="7">
        <v>1</v>
      </c>
      <c r="J110" s="7">
        <v>0.24</v>
      </c>
      <c r="K110" s="9">
        <v>0.2273</v>
      </c>
      <c r="L110" s="9">
        <v>0.38</v>
      </c>
      <c r="M110" s="9">
        <v>0.19400000000000001</v>
      </c>
      <c r="N110" s="9">
        <v>4</v>
      </c>
      <c r="O110" s="9">
        <v>186</v>
      </c>
      <c r="P110" s="9">
        <v>190</v>
      </c>
      <c r="Q110" s="7" t="str">
        <f t="shared" si="2"/>
        <v>WENESDAY</v>
      </c>
      <c r="R110" t="str">
        <f t="shared" si="3"/>
        <v>Clear</v>
      </c>
    </row>
    <row r="111" spans="1:18" x14ac:dyDescent="0.25">
      <c r="A111" s="7">
        <v>110</v>
      </c>
      <c r="B111" s="8">
        <v>40548</v>
      </c>
      <c r="C111" s="7">
        <v>1</v>
      </c>
      <c r="D111" s="7">
        <v>0</v>
      </c>
      <c r="E111" s="7">
        <v>1</v>
      </c>
      <c r="F111" s="7">
        <v>18</v>
      </c>
      <c r="G111" s="7" t="b">
        <v>0</v>
      </c>
      <c r="H111" s="7">
        <v>3</v>
      </c>
      <c r="I111" s="7">
        <v>1</v>
      </c>
      <c r="J111" s="7">
        <v>0.24</v>
      </c>
      <c r="K111" s="9">
        <v>0.2424</v>
      </c>
      <c r="L111" s="9">
        <v>0.38</v>
      </c>
      <c r="M111" s="9">
        <v>0.1343</v>
      </c>
      <c r="N111" s="9">
        <v>3</v>
      </c>
      <c r="O111" s="9">
        <v>166</v>
      </c>
      <c r="P111" s="9">
        <v>169</v>
      </c>
      <c r="Q111" s="7" t="str">
        <f t="shared" si="2"/>
        <v>WENESDAY</v>
      </c>
      <c r="R111" t="str">
        <f t="shared" si="3"/>
        <v>Clear</v>
      </c>
    </row>
    <row r="112" spans="1:18" x14ac:dyDescent="0.25">
      <c r="A112" s="7">
        <v>111</v>
      </c>
      <c r="B112" s="8">
        <v>40548</v>
      </c>
      <c r="C112" s="7">
        <v>1</v>
      </c>
      <c r="D112" s="7">
        <v>0</v>
      </c>
      <c r="E112" s="7">
        <v>1</v>
      </c>
      <c r="F112" s="7">
        <v>19</v>
      </c>
      <c r="G112" s="7" t="b">
        <v>0</v>
      </c>
      <c r="H112" s="7">
        <v>3</v>
      </c>
      <c r="I112" s="7">
        <v>1</v>
      </c>
      <c r="J112" s="7">
        <v>0.24</v>
      </c>
      <c r="K112" s="9">
        <v>0.2576</v>
      </c>
      <c r="L112" s="9">
        <v>0.38</v>
      </c>
      <c r="M112" s="9">
        <v>0.1045</v>
      </c>
      <c r="N112" s="9">
        <v>5</v>
      </c>
      <c r="O112" s="9">
        <v>127</v>
      </c>
      <c r="P112" s="9">
        <v>132</v>
      </c>
      <c r="Q112" s="7" t="str">
        <f t="shared" si="2"/>
        <v>WENESDAY</v>
      </c>
      <c r="R112" t="str">
        <f t="shared" si="3"/>
        <v>Clear</v>
      </c>
    </row>
    <row r="113" spans="1:18" x14ac:dyDescent="0.25">
      <c r="A113" s="7">
        <v>112</v>
      </c>
      <c r="B113" s="8">
        <v>40548</v>
      </c>
      <c r="C113" s="7">
        <v>1</v>
      </c>
      <c r="D113" s="7">
        <v>0</v>
      </c>
      <c r="E113" s="7">
        <v>1</v>
      </c>
      <c r="F113" s="7">
        <v>20</v>
      </c>
      <c r="G113" s="7" t="b">
        <v>0</v>
      </c>
      <c r="H113" s="7">
        <v>3</v>
      </c>
      <c r="I113" s="7">
        <v>1</v>
      </c>
      <c r="J113" s="7">
        <v>0.22</v>
      </c>
      <c r="K113" s="9">
        <v>0.2273</v>
      </c>
      <c r="L113" s="9">
        <v>0.47</v>
      </c>
      <c r="M113" s="9">
        <v>0.16420000000000001</v>
      </c>
      <c r="N113" s="9">
        <v>7</v>
      </c>
      <c r="O113" s="9">
        <v>82</v>
      </c>
      <c r="P113" s="9">
        <v>89</v>
      </c>
      <c r="Q113" s="7" t="str">
        <f t="shared" si="2"/>
        <v>WENESDAY</v>
      </c>
      <c r="R113" t="str">
        <f t="shared" si="3"/>
        <v>Clear</v>
      </c>
    </row>
    <row r="114" spans="1:18" x14ac:dyDescent="0.25">
      <c r="A114" s="7">
        <v>113</v>
      </c>
      <c r="B114" s="8">
        <v>40548</v>
      </c>
      <c r="C114" s="7">
        <v>1</v>
      </c>
      <c r="D114" s="7">
        <v>0</v>
      </c>
      <c r="E114" s="7">
        <v>1</v>
      </c>
      <c r="F114" s="7">
        <v>21</v>
      </c>
      <c r="G114" s="7" t="b">
        <v>0</v>
      </c>
      <c r="H114" s="7">
        <v>3</v>
      </c>
      <c r="I114" s="7">
        <v>1</v>
      </c>
      <c r="J114" s="7">
        <v>0.2</v>
      </c>
      <c r="K114" s="9">
        <v>0.19700000000000001</v>
      </c>
      <c r="L114" s="9">
        <v>0.51</v>
      </c>
      <c r="M114" s="9">
        <v>0.19400000000000001</v>
      </c>
      <c r="N114" s="9">
        <v>3</v>
      </c>
      <c r="O114" s="9">
        <v>40</v>
      </c>
      <c r="P114" s="9">
        <v>43</v>
      </c>
      <c r="Q114" s="7" t="str">
        <f t="shared" si="2"/>
        <v>WENESDAY</v>
      </c>
      <c r="R114" t="str">
        <f t="shared" si="3"/>
        <v>Clear</v>
      </c>
    </row>
    <row r="115" spans="1:18" x14ac:dyDescent="0.25">
      <c r="A115" s="7">
        <v>114</v>
      </c>
      <c r="B115" s="8">
        <v>40548</v>
      </c>
      <c r="C115" s="7">
        <v>1</v>
      </c>
      <c r="D115" s="7">
        <v>0</v>
      </c>
      <c r="E115" s="7">
        <v>1</v>
      </c>
      <c r="F115" s="7">
        <v>22</v>
      </c>
      <c r="G115" s="7" t="b">
        <v>0</v>
      </c>
      <c r="H115" s="7">
        <v>3</v>
      </c>
      <c r="I115" s="7">
        <v>1</v>
      </c>
      <c r="J115" s="7">
        <v>0.18</v>
      </c>
      <c r="K115" s="9">
        <v>0.19700000000000001</v>
      </c>
      <c r="L115" s="9">
        <v>0.55000000000000004</v>
      </c>
      <c r="M115" s="9">
        <v>0.1343</v>
      </c>
      <c r="N115" s="9">
        <v>1</v>
      </c>
      <c r="O115" s="9">
        <v>41</v>
      </c>
      <c r="P115" s="9">
        <v>42</v>
      </c>
      <c r="Q115" s="7" t="str">
        <f t="shared" si="2"/>
        <v>WENESDAY</v>
      </c>
      <c r="R115" t="str">
        <f t="shared" si="3"/>
        <v>Clear</v>
      </c>
    </row>
    <row r="116" spans="1:18" x14ac:dyDescent="0.25">
      <c r="A116" s="7">
        <v>115</v>
      </c>
      <c r="B116" s="8">
        <v>40548</v>
      </c>
      <c r="C116" s="7">
        <v>1</v>
      </c>
      <c r="D116" s="7">
        <v>0</v>
      </c>
      <c r="E116" s="7">
        <v>1</v>
      </c>
      <c r="F116" s="7">
        <v>23</v>
      </c>
      <c r="G116" s="7" t="b">
        <v>0</v>
      </c>
      <c r="H116" s="7">
        <v>3</v>
      </c>
      <c r="I116" s="7">
        <v>1</v>
      </c>
      <c r="J116" s="7">
        <v>0.2</v>
      </c>
      <c r="K116" s="9">
        <v>0.2576</v>
      </c>
      <c r="L116" s="9">
        <v>0.47</v>
      </c>
      <c r="M116" s="9">
        <v>0</v>
      </c>
      <c r="N116" s="9">
        <v>1</v>
      </c>
      <c r="O116" s="9">
        <v>18</v>
      </c>
      <c r="P116" s="9">
        <v>19</v>
      </c>
      <c r="Q116" s="7" t="str">
        <f t="shared" si="2"/>
        <v>WENESDAY</v>
      </c>
      <c r="R116" t="str">
        <f t="shared" si="3"/>
        <v>Clear</v>
      </c>
    </row>
    <row r="117" spans="1:18" x14ac:dyDescent="0.25">
      <c r="A117" s="7">
        <v>116</v>
      </c>
      <c r="B117" s="8">
        <v>40549</v>
      </c>
      <c r="C117" s="7">
        <v>1</v>
      </c>
      <c r="D117" s="7">
        <v>0</v>
      </c>
      <c r="E117" s="7">
        <v>1</v>
      </c>
      <c r="F117" s="7">
        <v>0</v>
      </c>
      <c r="G117" s="7" t="b">
        <v>0</v>
      </c>
      <c r="H117" s="7">
        <v>4</v>
      </c>
      <c r="I117" s="7">
        <v>1</v>
      </c>
      <c r="J117" s="7">
        <v>0.18</v>
      </c>
      <c r="K117" s="9">
        <v>0.2424</v>
      </c>
      <c r="L117" s="9">
        <v>0.55000000000000004</v>
      </c>
      <c r="M117" s="9">
        <v>0</v>
      </c>
      <c r="N117" s="9">
        <v>0</v>
      </c>
      <c r="O117" s="9">
        <v>11</v>
      </c>
      <c r="P117" s="9">
        <v>11</v>
      </c>
      <c r="Q117" s="7" t="str">
        <f t="shared" si="2"/>
        <v>THUSDAY</v>
      </c>
      <c r="R117" t="str">
        <f t="shared" si="3"/>
        <v>Clear</v>
      </c>
    </row>
    <row r="118" spans="1:18" x14ac:dyDescent="0.25">
      <c r="A118" s="7">
        <v>117</v>
      </c>
      <c r="B118" s="8">
        <v>40549</v>
      </c>
      <c r="C118" s="7">
        <v>1</v>
      </c>
      <c r="D118" s="7">
        <v>0</v>
      </c>
      <c r="E118" s="7">
        <v>1</v>
      </c>
      <c r="F118" s="7">
        <v>1</v>
      </c>
      <c r="G118" s="7" t="b">
        <v>0</v>
      </c>
      <c r="H118" s="7">
        <v>4</v>
      </c>
      <c r="I118" s="7">
        <v>1</v>
      </c>
      <c r="J118" s="7">
        <v>0.16</v>
      </c>
      <c r="K118" s="9">
        <v>0.2273</v>
      </c>
      <c r="L118" s="9">
        <v>0.64</v>
      </c>
      <c r="M118" s="9">
        <v>0</v>
      </c>
      <c r="N118" s="9">
        <v>0</v>
      </c>
      <c r="O118" s="9">
        <v>4</v>
      </c>
      <c r="P118" s="9">
        <v>4</v>
      </c>
      <c r="Q118" s="7" t="str">
        <f t="shared" si="2"/>
        <v>THUSDAY</v>
      </c>
      <c r="R118" t="str">
        <f t="shared" si="3"/>
        <v>Clear</v>
      </c>
    </row>
    <row r="119" spans="1:18" x14ac:dyDescent="0.25">
      <c r="A119" s="7">
        <v>118</v>
      </c>
      <c r="B119" s="8">
        <v>40549</v>
      </c>
      <c r="C119" s="7">
        <v>1</v>
      </c>
      <c r="D119" s="7">
        <v>0</v>
      </c>
      <c r="E119" s="7">
        <v>1</v>
      </c>
      <c r="F119" s="7">
        <v>2</v>
      </c>
      <c r="G119" s="7" t="b">
        <v>0</v>
      </c>
      <c r="H119" s="7">
        <v>4</v>
      </c>
      <c r="I119" s="7">
        <v>1</v>
      </c>
      <c r="J119" s="7">
        <v>0.16</v>
      </c>
      <c r="K119" s="9">
        <v>0.2273</v>
      </c>
      <c r="L119" s="9">
        <v>0.64</v>
      </c>
      <c r="M119" s="9">
        <v>0</v>
      </c>
      <c r="N119" s="9">
        <v>0</v>
      </c>
      <c r="O119" s="9">
        <v>2</v>
      </c>
      <c r="P119" s="9">
        <v>2</v>
      </c>
      <c r="Q119" s="7" t="str">
        <f t="shared" si="2"/>
        <v>THUSDAY</v>
      </c>
      <c r="R119" t="str">
        <f t="shared" si="3"/>
        <v>Clear</v>
      </c>
    </row>
    <row r="120" spans="1:18" x14ac:dyDescent="0.25">
      <c r="A120" s="7">
        <v>119</v>
      </c>
      <c r="B120" s="8">
        <v>40549</v>
      </c>
      <c r="C120" s="7">
        <v>1</v>
      </c>
      <c r="D120" s="7">
        <v>0</v>
      </c>
      <c r="E120" s="7">
        <v>1</v>
      </c>
      <c r="F120" s="7">
        <v>4</v>
      </c>
      <c r="G120" s="7" t="b">
        <v>0</v>
      </c>
      <c r="H120" s="7">
        <v>4</v>
      </c>
      <c r="I120" s="7">
        <v>2</v>
      </c>
      <c r="J120" s="7">
        <v>0.16</v>
      </c>
      <c r="K120" s="9">
        <v>0.19700000000000001</v>
      </c>
      <c r="L120" s="9">
        <v>0.64</v>
      </c>
      <c r="M120" s="9">
        <v>8.9599999999999999E-2</v>
      </c>
      <c r="N120" s="9">
        <v>0</v>
      </c>
      <c r="O120" s="9">
        <v>1</v>
      </c>
      <c r="P120" s="9">
        <v>1</v>
      </c>
      <c r="Q120" s="7" t="str">
        <f t="shared" si="2"/>
        <v>THUSDAY</v>
      </c>
      <c r="R120" t="str">
        <f t="shared" si="3"/>
        <v>Mist</v>
      </c>
    </row>
    <row r="121" spans="1:18" x14ac:dyDescent="0.25">
      <c r="A121" s="7">
        <v>120</v>
      </c>
      <c r="B121" s="8">
        <v>40549</v>
      </c>
      <c r="C121" s="7">
        <v>1</v>
      </c>
      <c r="D121" s="7">
        <v>0</v>
      </c>
      <c r="E121" s="7">
        <v>1</v>
      </c>
      <c r="F121" s="7">
        <v>5</v>
      </c>
      <c r="G121" s="7" t="b">
        <v>0</v>
      </c>
      <c r="H121" s="7">
        <v>4</v>
      </c>
      <c r="I121" s="7">
        <v>2</v>
      </c>
      <c r="J121" s="7">
        <v>0.14000000000000001</v>
      </c>
      <c r="K121" s="9">
        <v>0.18179999999999999</v>
      </c>
      <c r="L121" s="9">
        <v>0.69</v>
      </c>
      <c r="M121" s="9">
        <v>8.9599999999999999E-2</v>
      </c>
      <c r="N121" s="9">
        <v>0</v>
      </c>
      <c r="O121" s="9">
        <v>4</v>
      </c>
      <c r="P121" s="9">
        <v>4</v>
      </c>
      <c r="Q121" s="7" t="str">
        <f t="shared" si="2"/>
        <v>THUSDAY</v>
      </c>
      <c r="R121" t="str">
        <f t="shared" si="3"/>
        <v>Mist</v>
      </c>
    </row>
    <row r="122" spans="1:18" x14ac:dyDescent="0.25">
      <c r="A122" s="7">
        <v>121</v>
      </c>
      <c r="B122" s="8">
        <v>40549</v>
      </c>
      <c r="C122" s="7">
        <v>1</v>
      </c>
      <c r="D122" s="7">
        <v>0</v>
      </c>
      <c r="E122" s="7">
        <v>1</v>
      </c>
      <c r="F122" s="7">
        <v>6</v>
      </c>
      <c r="G122" s="7" t="b">
        <v>0</v>
      </c>
      <c r="H122" s="7">
        <v>4</v>
      </c>
      <c r="I122" s="7">
        <v>2</v>
      </c>
      <c r="J122" s="7">
        <v>0.14000000000000001</v>
      </c>
      <c r="K122" s="9">
        <v>0.16669999999999999</v>
      </c>
      <c r="L122" s="9">
        <v>0.63</v>
      </c>
      <c r="M122" s="9">
        <v>0.1045</v>
      </c>
      <c r="N122" s="9">
        <v>0</v>
      </c>
      <c r="O122" s="9">
        <v>36</v>
      </c>
      <c r="P122" s="9">
        <v>36</v>
      </c>
      <c r="Q122" s="7" t="str">
        <f t="shared" si="2"/>
        <v>THUSDAY</v>
      </c>
      <c r="R122" t="str">
        <f t="shared" si="3"/>
        <v>Mist</v>
      </c>
    </row>
    <row r="123" spans="1:18" x14ac:dyDescent="0.25">
      <c r="A123" s="7">
        <v>122</v>
      </c>
      <c r="B123" s="8">
        <v>40549</v>
      </c>
      <c r="C123" s="7">
        <v>1</v>
      </c>
      <c r="D123" s="7">
        <v>0</v>
      </c>
      <c r="E123" s="7">
        <v>1</v>
      </c>
      <c r="F123" s="7">
        <v>7</v>
      </c>
      <c r="G123" s="7" t="b">
        <v>0</v>
      </c>
      <c r="H123" s="7">
        <v>4</v>
      </c>
      <c r="I123" s="7">
        <v>2</v>
      </c>
      <c r="J123" s="7">
        <v>0.16</v>
      </c>
      <c r="K123" s="9">
        <v>0.2273</v>
      </c>
      <c r="L123" s="9">
        <v>0.59</v>
      </c>
      <c r="M123" s="9">
        <v>0</v>
      </c>
      <c r="N123" s="9">
        <v>0</v>
      </c>
      <c r="O123" s="9">
        <v>95</v>
      </c>
      <c r="P123" s="9">
        <v>95</v>
      </c>
      <c r="Q123" s="7" t="str">
        <f t="shared" si="2"/>
        <v>THUSDAY</v>
      </c>
      <c r="R123" t="str">
        <f t="shared" si="3"/>
        <v>Mist</v>
      </c>
    </row>
    <row r="124" spans="1:18" x14ac:dyDescent="0.25">
      <c r="A124" s="7">
        <v>123</v>
      </c>
      <c r="B124" s="8">
        <v>40549</v>
      </c>
      <c r="C124" s="7">
        <v>1</v>
      </c>
      <c r="D124" s="7">
        <v>0</v>
      </c>
      <c r="E124" s="7">
        <v>1</v>
      </c>
      <c r="F124" s="7">
        <v>8</v>
      </c>
      <c r="G124" s="7" t="b">
        <v>0</v>
      </c>
      <c r="H124" s="7">
        <v>4</v>
      </c>
      <c r="I124" s="7">
        <v>1</v>
      </c>
      <c r="J124" s="7">
        <v>0.16</v>
      </c>
      <c r="K124" s="9">
        <v>0.2273</v>
      </c>
      <c r="L124" s="9">
        <v>0.59</v>
      </c>
      <c r="M124" s="9">
        <v>0</v>
      </c>
      <c r="N124" s="9">
        <v>3</v>
      </c>
      <c r="O124" s="9">
        <v>216</v>
      </c>
      <c r="P124" s="9">
        <v>219</v>
      </c>
      <c r="Q124" s="7" t="str">
        <f t="shared" si="2"/>
        <v>THUSDAY</v>
      </c>
      <c r="R124" t="str">
        <f t="shared" si="3"/>
        <v>Clear</v>
      </c>
    </row>
    <row r="125" spans="1:18" x14ac:dyDescent="0.25">
      <c r="A125" s="7">
        <v>124</v>
      </c>
      <c r="B125" s="8">
        <v>40549</v>
      </c>
      <c r="C125" s="7">
        <v>1</v>
      </c>
      <c r="D125" s="7">
        <v>0</v>
      </c>
      <c r="E125" s="7">
        <v>1</v>
      </c>
      <c r="F125" s="7">
        <v>9</v>
      </c>
      <c r="G125" s="7" t="b">
        <v>0</v>
      </c>
      <c r="H125" s="7">
        <v>4</v>
      </c>
      <c r="I125" s="7">
        <v>2</v>
      </c>
      <c r="J125" s="7">
        <v>0.18</v>
      </c>
      <c r="K125" s="9">
        <v>0.2424</v>
      </c>
      <c r="L125" s="9">
        <v>0.51</v>
      </c>
      <c r="M125" s="9">
        <v>0</v>
      </c>
      <c r="N125" s="9">
        <v>6</v>
      </c>
      <c r="O125" s="9">
        <v>116</v>
      </c>
      <c r="P125" s="9">
        <v>122</v>
      </c>
      <c r="Q125" s="7" t="str">
        <f t="shared" si="2"/>
        <v>THUSDAY</v>
      </c>
      <c r="R125" t="str">
        <f t="shared" si="3"/>
        <v>Mist</v>
      </c>
    </row>
    <row r="126" spans="1:18" x14ac:dyDescent="0.25">
      <c r="A126" s="7">
        <v>125</v>
      </c>
      <c r="B126" s="8">
        <v>40549</v>
      </c>
      <c r="C126" s="7">
        <v>1</v>
      </c>
      <c r="D126" s="7">
        <v>0</v>
      </c>
      <c r="E126" s="7">
        <v>1</v>
      </c>
      <c r="F126" s="7">
        <v>10</v>
      </c>
      <c r="G126" s="7" t="b">
        <v>0</v>
      </c>
      <c r="H126" s="7">
        <v>4</v>
      </c>
      <c r="I126" s="7">
        <v>1</v>
      </c>
      <c r="J126" s="7">
        <v>0.2</v>
      </c>
      <c r="K126" s="9">
        <v>0.2576</v>
      </c>
      <c r="L126" s="9">
        <v>0.47</v>
      </c>
      <c r="M126" s="9">
        <v>0</v>
      </c>
      <c r="N126" s="9">
        <v>3</v>
      </c>
      <c r="O126" s="9">
        <v>42</v>
      </c>
      <c r="P126" s="9">
        <v>45</v>
      </c>
      <c r="Q126" s="7" t="str">
        <f t="shared" si="2"/>
        <v>THUSDAY</v>
      </c>
      <c r="R126" t="str">
        <f t="shared" si="3"/>
        <v>Clear</v>
      </c>
    </row>
    <row r="127" spans="1:18" x14ac:dyDescent="0.25">
      <c r="A127" s="7">
        <v>126</v>
      </c>
      <c r="B127" s="8">
        <v>40549</v>
      </c>
      <c r="C127" s="7">
        <v>1</v>
      </c>
      <c r="D127" s="7">
        <v>0</v>
      </c>
      <c r="E127" s="7">
        <v>1</v>
      </c>
      <c r="F127" s="7">
        <v>11</v>
      </c>
      <c r="G127" s="7" t="b">
        <v>0</v>
      </c>
      <c r="H127" s="7">
        <v>4</v>
      </c>
      <c r="I127" s="7">
        <v>1</v>
      </c>
      <c r="J127" s="7">
        <v>0.22</v>
      </c>
      <c r="K127" s="9">
        <v>0.2576</v>
      </c>
      <c r="L127" s="9">
        <v>0.44</v>
      </c>
      <c r="M127" s="9">
        <v>8.9599999999999999E-2</v>
      </c>
      <c r="N127" s="9">
        <v>2</v>
      </c>
      <c r="O127" s="9">
        <v>57</v>
      </c>
      <c r="P127" s="9">
        <v>59</v>
      </c>
      <c r="Q127" s="7" t="str">
        <f t="shared" si="2"/>
        <v>THUSDAY</v>
      </c>
      <c r="R127" t="str">
        <f t="shared" si="3"/>
        <v>Clear</v>
      </c>
    </row>
    <row r="128" spans="1:18" x14ac:dyDescent="0.25">
      <c r="A128" s="7">
        <v>127</v>
      </c>
      <c r="B128" s="8">
        <v>40549</v>
      </c>
      <c r="C128" s="7">
        <v>1</v>
      </c>
      <c r="D128" s="7">
        <v>0</v>
      </c>
      <c r="E128" s="7">
        <v>1</v>
      </c>
      <c r="F128" s="7">
        <v>12</v>
      </c>
      <c r="G128" s="7" t="b">
        <v>0</v>
      </c>
      <c r="H128" s="7">
        <v>4</v>
      </c>
      <c r="I128" s="7">
        <v>1</v>
      </c>
      <c r="J128" s="7">
        <v>0.26</v>
      </c>
      <c r="K128" s="9">
        <v>0.28789999999999999</v>
      </c>
      <c r="L128" s="9">
        <v>0.35</v>
      </c>
      <c r="M128" s="9">
        <v>0</v>
      </c>
      <c r="N128" s="9">
        <v>6</v>
      </c>
      <c r="O128" s="9">
        <v>78</v>
      </c>
      <c r="P128" s="9">
        <v>84</v>
      </c>
      <c r="Q128" s="7" t="str">
        <f t="shared" si="2"/>
        <v>THUSDAY</v>
      </c>
      <c r="R128" t="str">
        <f t="shared" si="3"/>
        <v>Clear</v>
      </c>
    </row>
    <row r="129" spans="1:18" x14ac:dyDescent="0.25">
      <c r="A129" s="7">
        <v>128</v>
      </c>
      <c r="B129" s="8">
        <v>40549</v>
      </c>
      <c r="C129" s="7">
        <v>1</v>
      </c>
      <c r="D129" s="7">
        <v>0</v>
      </c>
      <c r="E129" s="7">
        <v>1</v>
      </c>
      <c r="F129" s="7">
        <v>13</v>
      </c>
      <c r="G129" s="7" t="b">
        <v>0</v>
      </c>
      <c r="H129" s="7">
        <v>4</v>
      </c>
      <c r="I129" s="7">
        <v>1</v>
      </c>
      <c r="J129" s="7">
        <v>0.26</v>
      </c>
      <c r="K129" s="9">
        <v>0.2727</v>
      </c>
      <c r="L129" s="9">
        <v>0.35</v>
      </c>
      <c r="M129" s="9">
        <v>0.1045</v>
      </c>
      <c r="N129" s="9">
        <v>12</v>
      </c>
      <c r="O129" s="9">
        <v>55</v>
      </c>
      <c r="P129" s="9">
        <v>67</v>
      </c>
      <c r="Q129" s="7" t="str">
        <f t="shared" si="2"/>
        <v>THUSDAY</v>
      </c>
      <c r="R129" t="str">
        <f t="shared" si="3"/>
        <v>Clear</v>
      </c>
    </row>
    <row r="130" spans="1:18" x14ac:dyDescent="0.25">
      <c r="A130" s="7">
        <v>129</v>
      </c>
      <c r="B130" s="8">
        <v>40549</v>
      </c>
      <c r="C130" s="7">
        <v>1</v>
      </c>
      <c r="D130" s="7">
        <v>0</v>
      </c>
      <c r="E130" s="7">
        <v>1</v>
      </c>
      <c r="F130" s="7">
        <v>14</v>
      </c>
      <c r="G130" s="7" t="b">
        <v>0</v>
      </c>
      <c r="H130" s="7">
        <v>4</v>
      </c>
      <c r="I130" s="7">
        <v>1</v>
      </c>
      <c r="J130" s="7">
        <v>0.28000000000000003</v>
      </c>
      <c r="K130" s="9">
        <v>0.2727</v>
      </c>
      <c r="L130" s="9">
        <v>0.36</v>
      </c>
      <c r="M130" s="9">
        <v>0.16420000000000001</v>
      </c>
      <c r="N130" s="9">
        <v>11</v>
      </c>
      <c r="O130" s="9">
        <v>59</v>
      </c>
      <c r="P130" s="9">
        <v>70</v>
      </c>
      <c r="Q130" s="7" t="str">
        <f t="shared" ref="Q130:Q193" si="4">CHOOSE(H130+1, "SUNDAY", "MONDAY","TUESDAY", "WENESDAY","THUSDAY", "FRIDAY", "SATARDAY")</f>
        <v>THUSDAY</v>
      </c>
      <c r="R130" t="str">
        <f t="shared" ref="R130:R193" si="5">IF(I130=1,"Clear",IF(I130=2,"Mist",IF(I130=3,"Light Rain/Snow","Heavy Rain")))</f>
        <v>Clear</v>
      </c>
    </row>
    <row r="131" spans="1:18" x14ac:dyDescent="0.25">
      <c r="A131" s="7">
        <v>130</v>
      </c>
      <c r="B131" s="8">
        <v>40549</v>
      </c>
      <c r="C131" s="7">
        <v>1</v>
      </c>
      <c r="D131" s="7">
        <v>0</v>
      </c>
      <c r="E131" s="7">
        <v>1</v>
      </c>
      <c r="F131" s="7">
        <v>15</v>
      </c>
      <c r="G131" s="7" t="b">
        <v>0</v>
      </c>
      <c r="H131" s="7">
        <v>4</v>
      </c>
      <c r="I131" s="7">
        <v>1</v>
      </c>
      <c r="J131" s="7">
        <v>0.28000000000000003</v>
      </c>
      <c r="K131" s="9">
        <v>0.2727</v>
      </c>
      <c r="L131" s="9">
        <v>0.36</v>
      </c>
      <c r="M131" s="9">
        <v>0</v>
      </c>
      <c r="N131" s="9">
        <v>8</v>
      </c>
      <c r="O131" s="9">
        <v>54</v>
      </c>
      <c r="P131" s="9">
        <v>62</v>
      </c>
      <c r="Q131" s="7" t="str">
        <f t="shared" si="4"/>
        <v>THUSDAY</v>
      </c>
      <c r="R131" t="str">
        <f t="shared" si="5"/>
        <v>Clear</v>
      </c>
    </row>
    <row r="132" spans="1:18" x14ac:dyDescent="0.25">
      <c r="A132" s="7">
        <v>131</v>
      </c>
      <c r="B132" s="8">
        <v>40549</v>
      </c>
      <c r="C132" s="7">
        <v>1</v>
      </c>
      <c r="D132" s="7">
        <v>0</v>
      </c>
      <c r="E132" s="7">
        <v>1</v>
      </c>
      <c r="F132" s="7">
        <v>16</v>
      </c>
      <c r="G132" s="7" t="b">
        <v>0</v>
      </c>
      <c r="H132" s="7">
        <v>4</v>
      </c>
      <c r="I132" s="7">
        <v>1</v>
      </c>
      <c r="J132" s="7">
        <v>0.26</v>
      </c>
      <c r="K132" s="9">
        <v>0.2576</v>
      </c>
      <c r="L132" s="9">
        <v>0.38</v>
      </c>
      <c r="M132" s="9">
        <v>0.16420000000000001</v>
      </c>
      <c r="N132" s="9">
        <v>12</v>
      </c>
      <c r="O132" s="9">
        <v>74</v>
      </c>
      <c r="P132" s="9">
        <v>86</v>
      </c>
      <c r="Q132" s="7" t="str">
        <f t="shared" si="4"/>
        <v>THUSDAY</v>
      </c>
      <c r="R132" t="str">
        <f t="shared" si="5"/>
        <v>Clear</v>
      </c>
    </row>
    <row r="133" spans="1:18" x14ac:dyDescent="0.25">
      <c r="A133" s="7">
        <v>132</v>
      </c>
      <c r="B133" s="8">
        <v>40549</v>
      </c>
      <c r="C133" s="7">
        <v>1</v>
      </c>
      <c r="D133" s="7">
        <v>0</v>
      </c>
      <c r="E133" s="7">
        <v>1</v>
      </c>
      <c r="F133" s="7">
        <v>17</v>
      </c>
      <c r="G133" s="7" t="b">
        <v>0</v>
      </c>
      <c r="H133" s="7">
        <v>4</v>
      </c>
      <c r="I133" s="7">
        <v>1</v>
      </c>
      <c r="J133" s="7">
        <v>0.22</v>
      </c>
      <c r="K133" s="9">
        <v>0.2273</v>
      </c>
      <c r="L133" s="9">
        <v>0.51</v>
      </c>
      <c r="M133" s="9">
        <v>0.16420000000000001</v>
      </c>
      <c r="N133" s="9">
        <v>9</v>
      </c>
      <c r="O133" s="9">
        <v>163</v>
      </c>
      <c r="P133" s="9">
        <v>172</v>
      </c>
      <c r="Q133" s="7" t="str">
        <f t="shared" si="4"/>
        <v>THUSDAY</v>
      </c>
      <c r="R133" t="str">
        <f t="shared" si="5"/>
        <v>Clear</v>
      </c>
    </row>
    <row r="134" spans="1:18" x14ac:dyDescent="0.25">
      <c r="A134" s="7">
        <v>133</v>
      </c>
      <c r="B134" s="8">
        <v>40549</v>
      </c>
      <c r="C134" s="7">
        <v>1</v>
      </c>
      <c r="D134" s="7">
        <v>0</v>
      </c>
      <c r="E134" s="7">
        <v>1</v>
      </c>
      <c r="F134" s="7">
        <v>18</v>
      </c>
      <c r="G134" s="7" t="b">
        <v>0</v>
      </c>
      <c r="H134" s="7">
        <v>4</v>
      </c>
      <c r="I134" s="7">
        <v>1</v>
      </c>
      <c r="J134" s="7">
        <v>0.22</v>
      </c>
      <c r="K134" s="9">
        <v>0.2273</v>
      </c>
      <c r="L134" s="9">
        <v>0.51</v>
      </c>
      <c r="M134" s="9">
        <v>0.1343</v>
      </c>
      <c r="N134" s="9">
        <v>5</v>
      </c>
      <c r="O134" s="9">
        <v>158</v>
      </c>
      <c r="P134" s="9">
        <v>163</v>
      </c>
      <c r="Q134" s="7" t="str">
        <f t="shared" si="4"/>
        <v>THUSDAY</v>
      </c>
      <c r="R134" t="str">
        <f t="shared" si="5"/>
        <v>Clear</v>
      </c>
    </row>
    <row r="135" spans="1:18" x14ac:dyDescent="0.25">
      <c r="A135" s="7">
        <v>134</v>
      </c>
      <c r="B135" s="8">
        <v>40549</v>
      </c>
      <c r="C135" s="7">
        <v>1</v>
      </c>
      <c r="D135" s="7">
        <v>0</v>
      </c>
      <c r="E135" s="7">
        <v>1</v>
      </c>
      <c r="F135" s="7">
        <v>19</v>
      </c>
      <c r="G135" s="7" t="b">
        <v>0</v>
      </c>
      <c r="H135" s="7">
        <v>4</v>
      </c>
      <c r="I135" s="7">
        <v>1</v>
      </c>
      <c r="J135" s="7">
        <v>0.22</v>
      </c>
      <c r="K135" s="9">
        <v>0.2576</v>
      </c>
      <c r="L135" s="9">
        <v>0.55000000000000004</v>
      </c>
      <c r="M135" s="9">
        <v>8.9599999999999999E-2</v>
      </c>
      <c r="N135" s="9">
        <v>3</v>
      </c>
      <c r="O135" s="9">
        <v>109</v>
      </c>
      <c r="P135" s="9">
        <v>112</v>
      </c>
      <c r="Q135" s="7" t="str">
        <f t="shared" si="4"/>
        <v>THUSDAY</v>
      </c>
      <c r="R135" t="str">
        <f t="shared" si="5"/>
        <v>Clear</v>
      </c>
    </row>
    <row r="136" spans="1:18" x14ac:dyDescent="0.25">
      <c r="A136" s="7">
        <v>135</v>
      </c>
      <c r="B136" s="8">
        <v>40549</v>
      </c>
      <c r="C136" s="7">
        <v>1</v>
      </c>
      <c r="D136" s="7">
        <v>0</v>
      </c>
      <c r="E136" s="7">
        <v>1</v>
      </c>
      <c r="F136" s="7">
        <v>20</v>
      </c>
      <c r="G136" s="7" t="b">
        <v>0</v>
      </c>
      <c r="H136" s="7">
        <v>4</v>
      </c>
      <c r="I136" s="7">
        <v>1</v>
      </c>
      <c r="J136" s="7">
        <v>0.2</v>
      </c>
      <c r="K136" s="9">
        <v>0.21210000000000001</v>
      </c>
      <c r="L136" s="9">
        <v>0.51</v>
      </c>
      <c r="M136" s="9">
        <v>0.16420000000000001</v>
      </c>
      <c r="N136" s="9">
        <v>3</v>
      </c>
      <c r="O136" s="9">
        <v>66</v>
      </c>
      <c r="P136" s="9">
        <v>69</v>
      </c>
      <c r="Q136" s="7" t="str">
        <f t="shared" si="4"/>
        <v>THUSDAY</v>
      </c>
      <c r="R136" t="str">
        <f t="shared" si="5"/>
        <v>Clear</v>
      </c>
    </row>
    <row r="137" spans="1:18" x14ac:dyDescent="0.25">
      <c r="A137" s="7">
        <v>136</v>
      </c>
      <c r="B137" s="8">
        <v>40549</v>
      </c>
      <c r="C137" s="7">
        <v>1</v>
      </c>
      <c r="D137" s="7">
        <v>0</v>
      </c>
      <c r="E137" s="7">
        <v>1</v>
      </c>
      <c r="F137" s="7">
        <v>21</v>
      </c>
      <c r="G137" s="7" t="b">
        <v>0</v>
      </c>
      <c r="H137" s="7">
        <v>4</v>
      </c>
      <c r="I137" s="7">
        <v>2</v>
      </c>
      <c r="J137" s="7">
        <v>0.22</v>
      </c>
      <c r="K137" s="9">
        <v>0.21210000000000001</v>
      </c>
      <c r="L137" s="9">
        <v>0.55000000000000004</v>
      </c>
      <c r="M137" s="9">
        <v>0.22389999999999999</v>
      </c>
      <c r="N137" s="9">
        <v>0</v>
      </c>
      <c r="O137" s="9">
        <v>48</v>
      </c>
      <c r="P137" s="9">
        <v>48</v>
      </c>
      <c r="Q137" s="7" t="str">
        <f t="shared" si="4"/>
        <v>THUSDAY</v>
      </c>
      <c r="R137" t="str">
        <f t="shared" si="5"/>
        <v>Mist</v>
      </c>
    </row>
    <row r="138" spans="1:18" x14ac:dyDescent="0.25">
      <c r="A138" s="7">
        <v>137</v>
      </c>
      <c r="B138" s="8">
        <v>40549</v>
      </c>
      <c r="C138" s="7">
        <v>1</v>
      </c>
      <c r="D138" s="7">
        <v>0</v>
      </c>
      <c r="E138" s="7">
        <v>1</v>
      </c>
      <c r="F138" s="7">
        <v>22</v>
      </c>
      <c r="G138" s="7" t="b">
        <v>0</v>
      </c>
      <c r="H138" s="7">
        <v>4</v>
      </c>
      <c r="I138" s="7">
        <v>2</v>
      </c>
      <c r="J138" s="7">
        <v>0.22</v>
      </c>
      <c r="K138" s="9">
        <v>0.21210000000000001</v>
      </c>
      <c r="L138" s="9">
        <v>0.51</v>
      </c>
      <c r="M138" s="9">
        <v>0.28360000000000002</v>
      </c>
      <c r="N138" s="9">
        <v>1</v>
      </c>
      <c r="O138" s="9">
        <v>51</v>
      </c>
      <c r="P138" s="9">
        <v>52</v>
      </c>
      <c r="Q138" s="7" t="str">
        <f t="shared" si="4"/>
        <v>THUSDAY</v>
      </c>
      <c r="R138" t="str">
        <f t="shared" si="5"/>
        <v>Mist</v>
      </c>
    </row>
    <row r="139" spans="1:18" x14ac:dyDescent="0.25">
      <c r="A139" s="7">
        <v>138</v>
      </c>
      <c r="B139" s="8">
        <v>40549</v>
      </c>
      <c r="C139" s="7">
        <v>1</v>
      </c>
      <c r="D139" s="7">
        <v>0</v>
      </c>
      <c r="E139" s="7">
        <v>1</v>
      </c>
      <c r="F139" s="7">
        <v>23</v>
      </c>
      <c r="G139" s="7" t="b">
        <v>0</v>
      </c>
      <c r="H139" s="7">
        <v>4</v>
      </c>
      <c r="I139" s="7">
        <v>2</v>
      </c>
      <c r="J139" s="7">
        <v>0.2</v>
      </c>
      <c r="K139" s="9">
        <v>0.19700000000000001</v>
      </c>
      <c r="L139" s="9">
        <v>0.59</v>
      </c>
      <c r="M139" s="9">
        <v>0.19400000000000001</v>
      </c>
      <c r="N139" s="9">
        <v>4</v>
      </c>
      <c r="O139" s="9">
        <v>19</v>
      </c>
      <c r="P139" s="9">
        <v>23</v>
      </c>
      <c r="Q139" s="7" t="str">
        <f t="shared" si="4"/>
        <v>THUSDAY</v>
      </c>
      <c r="R139" t="str">
        <f t="shared" si="5"/>
        <v>Mist</v>
      </c>
    </row>
    <row r="140" spans="1:18" x14ac:dyDescent="0.25">
      <c r="A140" s="7">
        <v>139</v>
      </c>
      <c r="B140" s="8">
        <v>40550</v>
      </c>
      <c r="C140" s="7">
        <v>1</v>
      </c>
      <c r="D140" s="7">
        <v>0</v>
      </c>
      <c r="E140" s="7">
        <v>1</v>
      </c>
      <c r="F140" s="7">
        <v>0</v>
      </c>
      <c r="G140" s="7" t="b">
        <v>0</v>
      </c>
      <c r="H140" s="7">
        <v>5</v>
      </c>
      <c r="I140" s="7">
        <v>2</v>
      </c>
      <c r="J140" s="7">
        <v>0.2</v>
      </c>
      <c r="K140" s="9">
        <v>0.19700000000000001</v>
      </c>
      <c r="L140" s="9">
        <v>0.64</v>
      </c>
      <c r="M140" s="9">
        <v>0.19400000000000001</v>
      </c>
      <c r="N140" s="9">
        <v>4</v>
      </c>
      <c r="O140" s="9">
        <v>13</v>
      </c>
      <c r="P140" s="9">
        <v>17</v>
      </c>
      <c r="Q140" s="7" t="str">
        <f t="shared" si="4"/>
        <v>FRIDAY</v>
      </c>
      <c r="R140" t="str">
        <f t="shared" si="5"/>
        <v>Mist</v>
      </c>
    </row>
    <row r="141" spans="1:18" x14ac:dyDescent="0.25">
      <c r="A141" s="7">
        <v>140</v>
      </c>
      <c r="B141" s="8">
        <v>40550</v>
      </c>
      <c r="C141" s="7">
        <v>1</v>
      </c>
      <c r="D141" s="7">
        <v>0</v>
      </c>
      <c r="E141" s="7">
        <v>1</v>
      </c>
      <c r="F141" s="7">
        <v>1</v>
      </c>
      <c r="G141" s="7" t="b">
        <v>0</v>
      </c>
      <c r="H141" s="7">
        <v>5</v>
      </c>
      <c r="I141" s="7">
        <v>2</v>
      </c>
      <c r="J141" s="7">
        <v>0.2</v>
      </c>
      <c r="K141" s="9">
        <v>0.19700000000000001</v>
      </c>
      <c r="L141" s="9">
        <v>0.69</v>
      </c>
      <c r="M141" s="9">
        <v>0.22389999999999999</v>
      </c>
      <c r="N141" s="9">
        <v>2</v>
      </c>
      <c r="O141" s="9">
        <v>5</v>
      </c>
      <c r="P141" s="9">
        <v>7</v>
      </c>
      <c r="Q141" s="7" t="str">
        <f t="shared" si="4"/>
        <v>FRIDAY</v>
      </c>
      <c r="R141" t="str">
        <f t="shared" si="5"/>
        <v>Mist</v>
      </c>
    </row>
    <row r="142" spans="1:18" x14ac:dyDescent="0.25">
      <c r="A142" s="7">
        <v>141</v>
      </c>
      <c r="B142" s="8">
        <v>40550</v>
      </c>
      <c r="C142" s="7">
        <v>1</v>
      </c>
      <c r="D142" s="7">
        <v>0</v>
      </c>
      <c r="E142" s="7">
        <v>1</v>
      </c>
      <c r="F142" s="7">
        <v>2</v>
      </c>
      <c r="G142" s="7" t="b">
        <v>0</v>
      </c>
      <c r="H142" s="7">
        <v>5</v>
      </c>
      <c r="I142" s="7">
        <v>2</v>
      </c>
      <c r="J142" s="7">
        <v>0.2</v>
      </c>
      <c r="K142" s="9">
        <v>0.19700000000000001</v>
      </c>
      <c r="L142" s="9">
        <v>0.69</v>
      </c>
      <c r="M142" s="9">
        <v>0.22389999999999999</v>
      </c>
      <c r="N142" s="9">
        <v>0</v>
      </c>
      <c r="O142" s="9">
        <v>1</v>
      </c>
      <c r="P142" s="9">
        <v>1</v>
      </c>
      <c r="Q142" s="7" t="str">
        <f t="shared" si="4"/>
        <v>FRIDAY</v>
      </c>
      <c r="R142" t="str">
        <f t="shared" si="5"/>
        <v>Mist</v>
      </c>
    </row>
    <row r="143" spans="1:18" x14ac:dyDescent="0.25">
      <c r="A143" s="7">
        <v>142</v>
      </c>
      <c r="B143" s="8">
        <v>40550</v>
      </c>
      <c r="C143" s="7">
        <v>1</v>
      </c>
      <c r="D143" s="7">
        <v>0</v>
      </c>
      <c r="E143" s="7">
        <v>1</v>
      </c>
      <c r="F143" s="7">
        <v>4</v>
      </c>
      <c r="G143" s="7" t="b">
        <v>0</v>
      </c>
      <c r="H143" s="7">
        <v>5</v>
      </c>
      <c r="I143" s="7">
        <v>2</v>
      </c>
      <c r="J143" s="7">
        <v>0.2</v>
      </c>
      <c r="K143" s="9">
        <v>0.21210000000000001</v>
      </c>
      <c r="L143" s="9">
        <v>0.69</v>
      </c>
      <c r="M143" s="9">
        <v>0.1343</v>
      </c>
      <c r="N143" s="9">
        <v>0</v>
      </c>
      <c r="O143" s="9">
        <v>1</v>
      </c>
      <c r="P143" s="9">
        <v>1</v>
      </c>
      <c r="Q143" s="7" t="str">
        <f t="shared" si="4"/>
        <v>FRIDAY</v>
      </c>
      <c r="R143" t="str">
        <f t="shared" si="5"/>
        <v>Mist</v>
      </c>
    </row>
    <row r="144" spans="1:18" x14ac:dyDescent="0.25">
      <c r="A144" s="7">
        <v>143</v>
      </c>
      <c r="B144" s="8">
        <v>40550</v>
      </c>
      <c r="C144" s="7">
        <v>1</v>
      </c>
      <c r="D144" s="7">
        <v>0</v>
      </c>
      <c r="E144" s="7">
        <v>1</v>
      </c>
      <c r="F144" s="7">
        <v>5</v>
      </c>
      <c r="G144" s="7" t="b">
        <v>0</v>
      </c>
      <c r="H144" s="7">
        <v>5</v>
      </c>
      <c r="I144" s="7">
        <v>3</v>
      </c>
      <c r="J144" s="7">
        <v>0.22</v>
      </c>
      <c r="K144" s="9">
        <v>0.2727</v>
      </c>
      <c r="L144" s="9">
        <v>0.55000000000000004</v>
      </c>
      <c r="M144" s="9">
        <v>0</v>
      </c>
      <c r="N144" s="9">
        <v>0</v>
      </c>
      <c r="O144" s="9">
        <v>5</v>
      </c>
      <c r="P144" s="9">
        <v>5</v>
      </c>
      <c r="Q144" s="7" t="str">
        <f t="shared" si="4"/>
        <v>FRIDAY</v>
      </c>
      <c r="R144" t="str">
        <f t="shared" si="5"/>
        <v>Light Rain/Snow</v>
      </c>
    </row>
    <row r="145" spans="1:18" x14ac:dyDescent="0.25">
      <c r="A145" s="7">
        <v>144</v>
      </c>
      <c r="B145" s="8">
        <v>40550</v>
      </c>
      <c r="C145" s="7">
        <v>1</v>
      </c>
      <c r="D145" s="7">
        <v>0</v>
      </c>
      <c r="E145" s="7">
        <v>1</v>
      </c>
      <c r="F145" s="7">
        <v>6</v>
      </c>
      <c r="G145" s="7" t="b">
        <v>0</v>
      </c>
      <c r="H145" s="7">
        <v>5</v>
      </c>
      <c r="I145" s="7">
        <v>2</v>
      </c>
      <c r="J145" s="7">
        <v>0.2</v>
      </c>
      <c r="K145" s="9">
        <v>0.2576</v>
      </c>
      <c r="L145" s="9">
        <v>0.69</v>
      </c>
      <c r="M145" s="9">
        <v>0</v>
      </c>
      <c r="N145" s="9">
        <v>8</v>
      </c>
      <c r="O145" s="9">
        <v>26</v>
      </c>
      <c r="P145" s="9">
        <v>34</v>
      </c>
      <c r="Q145" s="7" t="str">
        <f t="shared" si="4"/>
        <v>FRIDAY</v>
      </c>
      <c r="R145" t="str">
        <f t="shared" si="5"/>
        <v>Mist</v>
      </c>
    </row>
    <row r="146" spans="1:18" x14ac:dyDescent="0.25">
      <c r="A146" s="7">
        <v>145</v>
      </c>
      <c r="B146" s="8">
        <v>40550</v>
      </c>
      <c r="C146" s="7">
        <v>1</v>
      </c>
      <c r="D146" s="7">
        <v>0</v>
      </c>
      <c r="E146" s="7">
        <v>1</v>
      </c>
      <c r="F146" s="7">
        <v>7</v>
      </c>
      <c r="G146" s="7" t="b">
        <v>0</v>
      </c>
      <c r="H146" s="7">
        <v>5</v>
      </c>
      <c r="I146" s="7">
        <v>1</v>
      </c>
      <c r="J146" s="7">
        <v>0.2</v>
      </c>
      <c r="K146" s="9">
        <v>0.21210000000000001</v>
      </c>
      <c r="L146" s="9">
        <v>0.69</v>
      </c>
      <c r="M146" s="9">
        <v>0.1343</v>
      </c>
      <c r="N146" s="9">
        <v>8</v>
      </c>
      <c r="O146" s="9">
        <v>76</v>
      </c>
      <c r="P146" s="9">
        <v>84</v>
      </c>
      <c r="Q146" s="7" t="str">
        <f t="shared" si="4"/>
        <v>FRIDAY</v>
      </c>
      <c r="R146" t="str">
        <f t="shared" si="5"/>
        <v>Clear</v>
      </c>
    </row>
    <row r="147" spans="1:18" x14ac:dyDescent="0.25">
      <c r="A147" s="7">
        <v>146</v>
      </c>
      <c r="B147" s="8">
        <v>40550</v>
      </c>
      <c r="C147" s="7">
        <v>1</v>
      </c>
      <c r="D147" s="7">
        <v>0</v>
      </c>
      <c r="E147" s="7">
        <v>1</v>
      </c>
      <c r="F147" s="7">
        <v>8</v>
      </c>
      <c r="G147" s="7" t="b">
        <v>0</v>
      </c>
      <c r="H147" s="7">
        <v>5</v>
      </c>
      <c r="I147" s="7">
        <v>1</v>
      </c>
      <c r="J147" s="7">
        <v>0.2</v>
      </c>
      <c r="K147" s="9">
        <v>0.19700000000000001</v>
      </c>
      <c r="L147" s="9">
        <v>0.51</v>
      </c>
      <c r="M147" s="9">
        <v>0.25369999999999998</v>
      </c>
      <c r="N147" s="9">
        <v>20</v>
      </c>
      <c r="O147" s="9">
        <v>190</v>
      </c>
      <c r="P147" s="9">
        <v>210</v>
      </c>
      <c r="Q147" s="7" t="str">
        <f t="shared" si="4"/>
        <v>FRIDAY</v>
      </c>
      <c r="R147" t="str">
        <f t="shared" si="5"/>
        <v>Clear</v>
      </c>
    </row>
    <row r="148" spans="1:18" x14ac:dyDescent="0.25">
      <c r="A148" s="7">
        <v>147</v>
      </c>
      <c r="B148" s="8">
        <v>40550</v>
      </c>
      <c r="C148" s="7">
        <v>1</v>
      </c>
      <c r="D148" s="7">
        <v>0</v>
      </c>
      <c r="E148" s="7">
        <v>1</v>
      </c>
      <c r="F148" s="7">
        <v>9</v>
      </c>
      <c r="G148" s="7" t="b">
        <v>0</v>
      </c>
      <c r="H148" s="7">
        <v>5</v>
      </c>
      <c r="I148" s="7">
        <v>1</v>
      </c>
      <c r="J148" s="7">
        <v>0.2</v>
      </c>
      <c r="K148" s="9">
        <v>0.18179999999999999</v>
      </c>
      <c r="L148" s="9">
        <v>0.47</v>
      </c>
      <c r="M148" s="9">
        <v>0.29849999999999999</v>
      </c>
      <c r="N148" s="9">
        <v>9</v>
      </c>
      <c r="O148" s="9">
        <v>125</v>
      </c>
      <c r="P148" s="9">
        <v>134</v>
      </c>
      <c r="Q148" s="7" t="str">
        <f t="shared" si="4"/>
        <v>FRIDAY</v>
      </c>
      <c r="R148" t="str">
        <f t="shared" si="5"/>
        <v>Clear</v>
      </c>
    </row>
    <row r="149" spans="1:18" x14ac:dyDescent="0.25">
      <c r="A149" s="7">
        <v>148</v>
      </c>
      <c r="B149" s="8">
        <v>40550</v>
      </c>
      <c r="C149" s="7">
        <v>1</v>
      </c>
      <c r="D149" s="7">
        <v>0</v>
      </c>
      <c r="E149" s="7">
        <v>1</v>
      </c>
      <c r="F149" s="7">
        <v>10</v>
      </c>
      <c r="G149" s="7" t="b">
        <v>0</v>
      </c>
      <c r="H149" s="7">
        <v>5</v>
      </c>
      <c r="I149" s="7">
        <v>1</v>
      </c>
      <c r="J149" s="7">
        <v>0.22</v>
      </c>
      <c r="K149" s="9">
        <v>0.19700000000000001</v>
      </c>
      <c r="L149" s="9">
        <v>0.37</v>
      </c>
      <c r="M149" s="9">
        <v>0.32840000000000003</v>
      </c>
      <c r="N149" s="9">
        <v>16</v>
      </c>
      <c r="O149" s="9">
        <v>47</v>
      </c>
      <c r="P149" s="9">
        <v>63</v>
      </c>
      <c r="Q149" s="7" t="str">
        <f t="shared" si="4"/>
        <v>FRIDAY</v>
      </c>
      <c r="R149" t="str">
        <f t="shared" si="5"/>
        <v>Clear</v>
      </c>
    </row>
    <row r="150" spans="1:18" x14ac:dyDescent="0.25">
      <c r="A150" s="7">
        <v>149</v>
      </c>
      <c r="B150" s="8">
        <v>40550</v>
      </c>
      <c r="C150" s="7">
        <v>1</v>
      </c>
      <c r="D150" s="7">
        <v>0</v>
      </c>
      <c r="E150" s="7">
        <v>1</v>
      </c>
      <c r="F150" s="7">
        <v>11</v>
      </c>
      <c r="G150" s="7" t="b">
        <v>0</v>
      </c>
      <c r="H150" s="7">
        <v>5</v>
      </c>
      <c r="I150" s="7">
        <v>2</v>
      </c>
      <c r="J150" s="7">
        <v>0.2</v>
      </c>
      <c r="K150" s="9">
        <v>0.19700000000000001</v>
      </c>
      <c r="L150" s="9">
        <v>0.4</v>
      </c>
      <c r="M150" s="9">
        <v>0.22389999999999999</v>
      </c>
      <c r="N150" s="9">
        <v>19</v>
      </c>
      <c r="O150" s="9">
        <v>48</v>
      </c>
      <c r="P150" s="9">
        <v>67</v>
      </c>
      <c r="Q150" s="7" t="str">
        <f t="shared" si="4"/>
        <v>FRIDAY</v>
      </c>
      <c r="R150" t="str">
        <f t="shared" si="5"/>
        <v>Mist</v>
      </c>
    </row>
    <row r="151" spans="1:18" x14ac:dyDescent="0.25">
      <c r="A151" s="7">
        <v>150</v>
      </c>
      <c r="B151" s="8">
        <v>40550</v>
      </c>
      <c r="C151" s="7">
        <v>1</v>
      </c>
      <c r="D151" s="7">
        <v>0</v>
      </c>
      <c r="E151" s="7">
        <v>1</v>
      </c>
      <c r="F151" s="7">
        <v>12</v>
      </c>
      <c r="G151" s="7" t="b">
        <v>0</v>
      </c>
      <c r="H151" s="7">
        <v>5</v>
      </c>
      <c r="I151" s="7">
        <v>2</v>
      </c>
      <c r="J151" s="7">
        <v>0.2</v>
      </c>
      <c r="K151" s="9">
        <v>0.19700000000000001</v>
      </c>
      <c r="L151" s="9">
        <v>0.37</v>
      </c>
      <c r="M151" s="9">
        <v>0.25369999999999998</v>
      </c>
      <c r="N151" s="9">
        <v>9</v>
      </c>
      <c r="O151" s="9">
        <v>50</v>
      </c>
      <c r="P151" s="9">
        <v>59</v>
      </c>
      <c r="Q151" s="7" t="str">
        <f t="shared" si="4"/>
        <v>FRIDAY</v>
      </c>
      <c r="R151" t="str">
        <f t="shared" si="5"/>
        <v>Mist</v>
      </c>
    </row>
    <row r="152" spans="1:18" x14ac:dyDescent="0.25">
      <c r="A152" s="7">
        <v>151</v>
      </c>
      <c r="B152" s="8">
        <v>40550</v>
      </c>
      <c r="C152" s="7">
        <v>1</v>
      </c>
      <c r="D152" s="7">
        <v>0</v>
      </c>
      <c r="E152" s="7">
        <v>1</v>
      </c>
      <c r="F152" s="7">
        <v>13</v>
      </c>
      <c r="G152" s="7" t="b">
        <v>0</v>
      </c>
      <c r="H152" s="7">
        <v>5</v>
      </c>
      <c r="I152" s="7">
        <v>2</v>
      </c>
      <c r="J152" s="7">
        <v>0.2</v>
      </c>
      <c r="K152" s="9">
        <v>0.18179999999999999</v>
      </c>
      <c r="L152" s="9">
        <v>0.37</v>
      </c>
      <c r="M152" s="9">
        <v>0.28360000000000002</v>
      </c>
      <c r="N152" s="9">
        <v>9</v>
      </c>
      <c r="O152" s="9">
        <v>64</v>
      </c>
      <c r="P152" s="9">
        <v>73</v>
      </c>
      <c r="Q152" s="7" t="str">
        <f t="shared" si="4"/>
        <v>FRIDAY</v>
      </c>
      <c r="R152" t="str">
        <f t="shared" si="5"/>
        <v>Mist</v>
      </c>
    </row>
    <row r="153" spans="1:18" x14ac:dyDescent="0.25">
      <c r="A153" s="7">
        <v>152</v>
      </c>
      <c r="B153" s="8">
        <v>40550</v>
      </c>
      <c r="C153" s="7">
        <v>1</v>
      </c>
      <c r="D153" s="7">
        <v>0</v>
      </c>
      <c r="E153" s="7">
        <v>1</v>
      </c>
      <c r="F153" s="7">
        <v>14</v>
      </c>
      <c r="G153" s="7" t="b">
        <v>0</v>
      </c>
      <c r="H153" s="7">
        <v>5</v>
      </c>
      <c r="I153" s="7">
        <v>2</v>
      </c>
      <c r="J153" s="7">
        <v>0.2</v>
      </c>
      <c r="K153" s="9">
        <v>0.19700000000000001</v>
      </c>
      <c r="L153" s="9">
        <v>0.4</v>
      </c>
      <c r="M153" s="9">
        <v>0.25369999999999998</v>
      </c>
      <c r="N153" s="9">
        <v>7</v>
      </c>
      <c r="O153" s="9">
        <v>43</v>
      </c>
      <c r="P153" s="9">
        <v>50</v>
      </c>
      <c r="Q153" s="7" t="str">
        <f t="shared" si="4"/>
        <v>FRIDAY</v>
      </c>
      <c r="R153" t="str">
        <f t="shared" si="5"/>
        <v>Mist</v>
      </c>
    </row>
    <row r="154" spans="1:18" x14ac:dyDescent="0.25">
      <c r="A154" s="7">
        <v>153</v>
      </c>
      <c r="B154" s="8">
        <v>40550</v>
      </c>
      <c r="C154" s="7">
        <v>1</v>
      </c>
      <c r="D154" s="7">
        <v>0</v>
      </c>
      <c r="E154" s="7">
        <v>1</v>
      </c>
      <c r="F154" s="7">
        <v>15</v>
      </c>
      <c r="G154" s="7" t="b">
        <v>0</v>
      </c>
      <c r="H154" s="7">
        <v>5</v>
      </c>
      <c r="I154" s="7">
        <v>2</v>
      </c>
      <c r="J154" s="7">
        <v>0.2</v>
      </c>
      <c r="K154" s="9">
        <v>0.21210000000000001</v>
      </c>
      <c r="L154" s="9">
        <v>0.37</v>
      </c>
      <c r="M154" s="9">
        <v>0.16420000000000001</v>
      </c>
      <c r="N154" s="9">
        <v>9</v>
      </c>
      <c r="O154" s="9">
        <v>63</v>
      </c>
      <c r="P154" s="9">
        <v>72</v>
      </c>
      <c r="Q154" s="7" t="str">
        <f t="shared" si="4"/>
        <v>FRIDAY</v>
      </c>
      <c r="R154" t="str">
        <f t="shared" si="5"/>
        <v>Mist</v>
      </c>
    </row>
    <row r="155" spans="1:18" x14ac:dyDescent="0.25">
      <c r="A155" s="7">
        <v>154</v>
      </c>
      <c r="B155" s="8">
        <v>40550</v>
      </c>
      <c r="C155" s="7">
        <v>1</v>
      </c>
      <c r="D155" s="7">
        <v>0</v>
      </c>
      <c r="E155" s="7">
        <v>1</v>
      </c>
      <c r="F155" s="7">
        <v>16</v>
      </c>
      <c r="G155" s="7" t="b">
        <v>0</v>
      </c>
      <c r="H155" s="7">
        <v>5</v>
      </c>
      <c r="I155" s="7">
        <v>2</v>
      </c>
      <c r="J155" s="7">
        <v>0.2</v>
      </c>
      <c r="K155" s="9">
        <v>0.21210000000000001</v>
      </c>
      <c r="L155" s="9">
        <v>0.37</v>
      </c>
      <c r="M155" s="9">
        <v>0.16420000000000001</v>
      </c>
      <c r="N155" s="9">
        <v>5</v>
      </c>
      <c r="O155" s="9">
        <v>82</v>
      </c>
      <c r="P155" s="9">
        <v>87</v>
      </c>
      <c r="Q155" s="7" t="str">
        <f t="shared" si="4"/>
        <v>FRIDAY</v>
      </c>
      <c r="R155" t="str">
        <f t="shared" si="5"/>
        <v>Mist</v>
      </c>
    </row>
    <row r="156" spans="1:18" x14ac:dyDescent="0.25">
      <c r="A156" s="7">
        <v>155</v>
      </c>
      <c r="B156" s="8">
        <v>40550</v>
      </c>
      <c r="C156" s="7">
        <v>1</v>
      </c>
      <c r="D156" s="7">
        <v>0</v>
      </c>
      <c r="E156" s="7">
        <v>1</v>
      </c>
      <c r="F156" s="7">
        <v>17</v>
      </c>
      <c r="G156" s="7" t="b">
        <v>0</v>
      </c>
      <c r="H156" s="7">
        <v>5</v>
      </c>
      <c r="I156" s="7">
        <v>2</v>
      </c>
      <c r="J156" s="7">
        <v>0.2</v>
      </c>
      <c r="K156" s="9">
        <v>0.2576</v>
      </c>
      <c r="L156" s="9">
        <v>0.37</v>
      </c>
      <c r="M156" s="9">
        <v>0</v>
      </c>
      <c r="N156" s="9">
        <v>9</v>
      </c>
      <c r="O156" s="9">
        <v>178</v>
      </c>
      <c r="P156" s="9">
        <v>187</v>
      </c>
      <c r="Q156" s="7" t="str">
        <f t="shared" si="4"/>
        <v>FRIDAY</v>
      </c>
      <c r="R156" t="str">
        <f t="shared" si="5"/>
        <v>Mist</v>
      </c>
    </row>
    <row r="157" spans="1:18" x14ac:dyDescent="0.25">
      <c r="A157" s="7">
        <v>156</v>
      </c>
      <c r="B157" s="8">
        <v>40550</v>
      </c>
      <c r="C157" s="7">
        <v>1</v>
      </c>
      <c r="D157" s="7">
        <v>0</v>
      </c>
      <c r="E157" s="7">
        <v>1</v>
      </c>
      <c r="F157" s="7">
        <v>18</v>
      </c>
      <c r="G157" s="7" t="b">
        <v>0</v>
      </c>
      <c r="H157" s="7">
        <v>5</v>
      </c>
      <c r="I157" s="7">
        <v>1</v>
      </c>
      <c r="J157" s="7">
        <v>0.2</v>
      </c>
      <c r="K157" s="9">
        <v>0.2273</v>
      </c>
      <c r="L157" s="9">
        <v>0.4</v>
      </c>
      <c r="M157" s="9">
        <v>8.9599999999999999E-2</v>
      </c>
      <c r="N157" s="9">
        <v>7</v>
      </c>
      <c r="O157" s="9">
        <v>116</v>
      </c>
      <c r="P157" s="9">
        <v>123</v>
      </c>
      <c r="Q157" s="7" t="str">
        <f t="shared" si="4"/>
        <v>FRIDAY</v>
      </c>
      <c r="R157" t="str">
        <f t="shared" si="5"/>
        <v>Clear</v>
      </c>
    </row>
    <row r="158" spans="1:18" x14ac:dyDescent="0.25">
      <c r="A158" s="7">
        <v>157</v>
      </c>
      <c r="B158" s="8">
        <v>40550</v>
      </c>
      <c r="C158" s="7">
        <v>1</v>
      </c>
      <c r="D158" s="7">
        <v>0</v>
      </c>
      <c r="E158" s="7">
        <v>1</v>
      </c>
      <c r="F158" s="7">
        <v>19</v>
      </c>
      <c r="G158" s="7" t="b">
        <v>0</v>
      </c>
      <c r="H158" s="7">
        <v>5</v>
      </c>
      <c r="I158" s="7">
        <v>1</v>
      </c>
      <c r="J158" s="7">
        <v>0.16</v>
      </c>
      <c r="K158" s="9">
        <v>0.19700000000000001</v>
      </c>
      <c r="L158" s="9">
        <v>0.55000000000000004</v>
      </c>
      <c r="M158" s="9">
        <v>8.9599999999999999E-2</v>
      </c>
      <c r="N158" s="9">
        <v>3</v>
      </c>
      <c r="O158" s="9">
        <v>92</v>
      </c>
      <c r="P158" s="9">
        <v>95</v>
      </c>
      <c r="Q158" s="7" t="str">
        <f t="shared" si="4"/>
        <v>FRIDAY</v>
      </c>
      <c r="R158" t="str">
        <f t="shared" si="5"/>
        <v>Clear</v>
      </c>
    </row>
    <row r="159" spans="1:18" x14ac:dyDescent="0.25">
      <c r="A159" s="7">
        <v>158</v>
      </c>
      <c r="B159" s="8">
        <v>40550</v>
      </c>
      <c r="C159" s="7">
        <v>1</v>
      </c>
      <c r="D159" s="7">
        <v>0</v>
      </c>
      <c r="E159" s="7">
        <v>1</v>
      </c>
      <c r="F159" s="7">
        <v>20</v>
      </c>
      <c r="G159" s="7" t="b">
        <v>0</v>
      </c>
      <c r="H159" s="7">
        <v>5</v>
      </c>
      <c r="I159" s="7">
        <v>1</v>
      </c>
      <c r="J159" s="7">
        <v>0.18</v>
      </c>
      <c r="K159" s="9">
        <v>0.21210000000000001</v>
      </c>
      <c r="L159" s="9">
        <v>0.47</v>
      </c>
      <c r="M159" s="9">
        <v>0.1045</v>
      </c>
      <c r="N159" s="9">
        <v>1</v>
      </c>
      <c r="O159" s="9">
        <v>50</v>
      </c>
      <c r="P159" s="9">
        <v>51</v>
      </c>
      <c r="Q159" s="7" t="str">
        <f t="shared" si="4"/>
        <v>FRIDAY</v>
      </c>
      <c r="R159" t="str">
        <f t="shared" si="5"/>
        <v>Clear</v>
      </c>
    </row>
    <row r="160" spans="1:18" x14ac:dyDescent="0.25">
      <c r="A160" s="7">
        <v>159</v>
      </c>
      <c r="B160" s="8">
        <v>40550</v>
      </c>
      <c r="C160" s="7">
        <v>1</v>
      </c>
      <c r="D160" s="7">
        <v>0</v>
      </c>
      <c r="E160" s="7">
        <v>1</v>
      </c>
      <c r="F160" s="7">
        <v>21</v>
      </c>
      <c r="G160" s="7" t="b">
        <v>0</v>
      </c>
      <c r="H160" s="7">
        <v>5</v>
      </c>
      <c r="I160" s="7">
        <v>1</v>
      </c>
      <c r="J160" s="7">
        <v>0.18</v>
      </c>
      <c r="K160" s="9">
        <v>0.19700000000000001</v>
      </c>
      <c r="L160" s="9">
        <v>0.47</v>
      </c>
      <c r="M160" s="9">
        <v>0.1343</v>
      </c>
      <c r="N160" s="9">
        <v>0</v>
      </c>
      <c r="O160" s="9">
        <v>39</v>
      </c>
      <c r="P160" s="9">
        <v>39</v>
      </c>
      <c r="Q160" s="7" t="str">
        <f t="shared" si="4"/>
        <v>FRIDAY</v>
      </c>
      <c r="R160" t="str">
        <f t="shared" si="5"/>
        <v>Clear</v>
      </c>
    </row>
    <row r="161" spans="1:18" x14ac:dyDescent="0.25">
      <c r="A161" s="7">
        <v>160</v>
      </c>
      <c r="B161" s="8">
        <v>40550</v>
      </c>
      <c r="C161" s="7">
        <v>1</v>
      </c>
      <c r="D161" s="7">
        <v>0</v>
      </c>
      <c r="E161" s="7">
        <v>1</v>
      </c>
      <c r="F161" s="7">
        <v>22</v>
      </c>
      <c r="G161" s="7" t="b">
        <v>0</v>
      </c>
      <c r="H161" s="7">
        <v>5</v>
      </c>
      <c r="I161" s="7">
        <v>2</v>
      </c>
      <c r="J161" s="7">
        <v>0.18</v>
      </c>
      <c r="K161" s="9">
        <v>0.19700000000000001</v>
      </c>
      <c r="L161" s="9">
        <v>0.43</v>
      </c>
      <c r="M161" s="9">
        <v>0.16420000000000001</v>
      </c>
      <c r="N161" s="9">
        <v>2</v>
      </c>
      <c r="O161" s="9">
        <v>34</v>
      </c>
      <c r="P161" s="9">
        <v>36</v>
      </c>
      <c r="Q161" s="7" t="str">
        <f t="shared" si="4"/>
        <v>FRIDAY</v>
      </c>
      <c r="R161" t="str">
        <f t="shared" si="5"/>
        <v>Mist</v>
      </c>
    </row>
    <row r="162" spans="1:18" x14ac:dyDescent="0.25">
      <c r="A162" s="7">
        <v>161</v>
      </c>
      <c r="B162" s="8">
        <v>40550</v>
      </c>
      <c r="C162" s="7">
        <v>1</v>
      </c>
      <c r="D162" s="7">
        <v>0</v>
      </c>
      <c r="E162" s="7">
        <v>1</v>
      </c>
      <c r="F162" s="7">
        <v>23</v>
      </c>
      <c r="G162" s="7" t="b">
        <v>0</v>
      </c>
      <c r="H162" s="7">
        <v>5</v>
      </c>
      <c r="I162" s="7">
        <v>2</v>
      </c>
      <c r="J162" s="7">
        <v>0.18</v>
      </c>
      <c r="K162" s="9">
        <v>0.19700000000000001</v>
      </c>
      <c r="L162" s="9">
        <v>0.51</v>
      </c>
      <c r="M162" s="9">
        <v>0.16420000000000001</v>
      </c>
      <c r="N162" s="9">
        <v>1</v>
      </c>
      <c r="O162" s="9">
        <v>14</v>
      </c>
      <c r="P162" s="9">
        <v>15</v>
      </c>
      <c r="Q162" s="7" t="str">
        <f t="shared" si="4"/>
        <v>FRIDAY</v>
      </c>
      <c r="R162" t="str">
        <f t="shared" si="5"/>
        <v>Mist</v>
      </c>
    </row>
    <row r="163" spans="1:18" x14ac:dyDescent="0.25">
      <c r="A163" s="7">
        <v>162</v>
      </c>
      <c r="B163" s="8">
        <v>40551</v>
      </c>
      <c r="C163" s="7">
        <v>1</v>
      </c>
      <c r="D163" s="7">
        <v>0</v>
      </c>
      <c r="E163" s="7">
        <v>1</v>
      </c>
      <c r="F163" s="7">
        <v>0</v>
      </c>
      <c r="G163" s="7" t="b">
        <v>0</v>
      </c>
      <c r="H163" s="7">
        <v>6</v>
      </c>
      <c r="I163" s="7">
        <v>2</v>
      </c>
      <c r="J163" s="7">
        <v>0.18</v>
      </c>
      <c r="K163" s="9">
        <v>0.19700000000000001</v>
      </c>
      <c r="L163" s="9">
        <v>0.51</v>
      </c>
      <c r="M163" s="9">
        <v>0.16420000000000001</v>
      </c>
      <c r="N163" s="9">
        <v>1</v>
      </c>
      <c r="O163" s="9">
        <v>24</v>
      </c>
      <c r="P163" s="9">
        <v>25</v>
      </c>
      <c r="Q163" s="7" t="str">
        <f t="shared" si="4"/>
        <v>SATARDAY</v>
      </c>
      <c r="R163" t="str">
        <f t="shared" si="5"/>
        <v>Mist</v>
      </c>
    </row>
    <row r="164" spans="1:18" x14ac:dyDescent="0.25">
      <c r="A164" s="7">
        <v>163</v>
      </c>
      <c r="B164" s="8">
        <v>40551</v>
      </c>
      <c r="C164" s="7">
        <v>1</v>
      </c>
      <c r="D164" s="7">
        <v>0</v>
      </c>
      <c r="E164" s="7">
        <v>1</v>
      </c>
      <c r="F164" s="7">
        <v>1</v>
      </c>
      <c r="G164" s="7" t="b">
        <v>0</v>
      </c>
      <c r="H164" s="7">
        <v>6</v>
      </c>
      <c r="I164" s="7">
        <v>2</v>
      </c>
      <c r="J164" s="7">
        <v>0.18</v>
      </c>
      <c r="K164" s="9">
        <v>0.21210000000000001</v>
      </c>
      <c r="L164" s="9">
        <v>0.55000000000000004</v>
      </c>
      <c r="M164" s="9">
        <v>8.9599999999999999E-2</v>
      </c>
      <c r="N164" s="9">
        <v>1</v>
      </c>
      <c r="O164" s="9">
        <v>15</v>
      </c>
      <c r="P164" s="9">
        <v>16</v>
      </c>
      <c r="Q164" s="7" t="str">
        <f t="shared" si="4"/>
        <v>SATARDAY</v>
      </c>
      <c r="R164" t="str">
        <f t="shared" si="5"/>
        <v>Mist</v>
      </c>
    </row>
    <row r="165" spans="1:18" x14ac:dyDescent="0.25">
      <c r="A165" s="7">
        <v>164</v>
      </c>
      <c r="B165" s="8">
        <v>40551</v>
      </c>
      <c r="C165" s="7">
        <v>1</v>
      </c>
      <c r="D165" s="7">
        <v>0</v>
      </c>
      <c r="E165" s="7">
        <v>1</v>
      </c>
      <c r="F165" s="7">
        <v>2</v>
      </c>
      <c r="G165" s="7" t="b">
        <v>0</v>
      </c>
      <c r="H165" s="7">
        <v>6</v>
      </c>
      <c r="I165" s="7">
        <v>2</v>
      </c>
      <c r="J165" s="7">
        <v>0.18</v>
      </c>
      <c r="K165" s="9">
        <v>0.2424</v>
      </c>
      <c r="L165" s="9">
        <v>0.55000000000000004</v>
      </c>
      <c r="M165" s="9">
        <v>0</v>
      </c>
      <c r="N165" s="9">
        <v>3</v>
      </c>
      <c r="O165" s="9">
        <v>13</v>
      </c>
      <c r="P165" s="9">
        <v>16</v>
      </c>
      <c r="Q165" s="7" t="str">
        <f t="shared" si="4"/>
        <v>SATARDAY</v>
      </c>
      <c r="R165" t="str">
        <f t="shared" si="5"/>
        <v>Mist</v>
      </c>
    </row>
    <row r="166" spans="1:18" x14ac:dyDescent="0.25">
      <c r="A166" s="7">
        <v>165</v>
      </c>
      <c r="B166" s="8">
        <v>40551</v>
      </c>
      <c r="C166" s="7">
        <v>1</v>
      </c>
      <c r="D166" s="7">
        <v>0</v>
      </c>
      <c r="E166" s="7">
        <v>1</v>
      </c>
      <c r="F166" s="7">
        <v>3</v>
      </c>
      <c r="G166" s="7" t="b">
        <v>0</v>
      </c>
      <c r="H166" s="7">
        <v>6</v>
      </c>
      <c r="I166" s="7">
        <v>3</v>
      </c>
      <c r="J166" s="7">
        <v>0.18</v>
      </c>
      <c r="K166" s="9">
        <v>0.19700000000000001</v>
      </c>
      <c r="L166" s="9">
        <v>0.55000000000000004</v>
      </c>
      <c r="M166" s="9">
        <v>0.16420000000000001</v>
      </c>
      <c r="N166" s="9">
        <v>0</v>
      </c>
      <c r="O166" s="9">
        <v>7</v>
      </c>
      <c r="P166" s="9">
        <v>7</v>
      </c>
      <c r="Q166" s="7" t="str">
        <f t="shared" si="4"/>
        <v>SATARDAY</v>
      </c>
      <c r="R166" t="str">
        <f t="shared" si="5"/>
        <v>Light Rain/Snow</v>
      </c>
    </row>
    <row r="167" spans="1:18" x14ac:dyDescent="0.25">
      <c r="A167" s="7">
        <v>166</v>
      </c>
      <c r="B167" s="8">
        <v>40551</v>
      </c>
      <c r="C167" s="7">
        <v>1</v>
      </c>
      <c r="D167" s="7">
        <v>0</v>
      </c>
      <c r="E167" s="7">
        <v>1</v>
      </c>
      <c r="F167" s="7">
        <v>4</v>
      </c>
      <c r="G167" s="7" t="b">
        <v>0</v>
      </c>
      <c r="H167" s="7">
        <v>6</v>
      </c>
      <c r="I167" s="7">
        <v>3</v>
      </c>
      <c r="J167" s="7">
        <v>0.18</v>
      </c>
      <c r="K167" s="9">
        <v>0.19700000000000001</v>
      </c>
      <c r="L167" s="9">
        <v>0.55000000000000004</v>
      </c>
      <c r="M167" s="9">
        <v>0.16420000000000001</v>
      </c>
      <c r="N167" s="9">
        <v>0</v>
      </c>
      <c r="O167" s="9">
        <v>1</v>
      </c>
      <c r="P167" s="9">
        <v>1</v>
      </c>
      <c r="Q167" s="7" t="str">
        <f t="shared" si="4"/>
        <v>SATARDAY</v>
      </c>
      <c r="R167" t="str">
        <f t="shared" si="5"/>
        <v>Light Rain/Snow</v>
      </c>
    </row>
    <row r="168" spans="1:18" x14ac:dyDescent="0.25">
      <c r="A168" s="7">
        <v>167</v>
      </c>
      <c r="B168" s="8">
        <v>40551</v>
      </c>
      <c r="C168" s="7">
        <v>1</v>
      </c>
      <c r="D168" s="7">
        <v>0</v>
      </c>
      <c r="E168" s="7">
        <v>1</v>
      </c>
      <c r="F168" s="7">
        <v>5</v>
      </c>
      <c r="G168" s="7" t="b">
        <v>0</v>
      </c>
      <c r="H168" s="7">
        <v>6</v>
      </c>
      <c r="I168" s="7">
        <v>2</v>
      </c>
      <c r="J168" s="7">
        <v>0.16</v>
      </c>
      <c r="K168" s="9">
        <v>0.16669999999999999</v>
      </c>
      <c r="L168" s="9">
        <v>0.74</v>
      </c>
      <c r="M168" s="9">
        <v>0.16420000000000001</v>
      </c>
      <c r="N168" s="9">
        <v>0</v>
      </c>
      <c r="O168" s="9">
        <v>5</v>
      </c>
      <c r="P168" s="9">
        <v>5</v>
      </c>
      <c r="Q168" s="7" t="str">
        <f t="shared" si="4"/>
        <v>SATARDAY</v>
      </c>
      <c r="R168" t="str">
        <f t="shared" si="5"/>
        <v>Mist</v>
      </c>
    </row>
    <row r="169" spans="1:18" x14ac:dyDescent="0.25">
      <c r="A169" s="7">
        <v>168</v>
      </c>
      <c r="B169" s="8">
        <v>40551</v>
      </c>
      <c r="C169" s="7">
        <v>1</v>
      </c>
      <c r="D169" s="7">
        <v>0</v>
      </c>
      <c r="E169" s="7">
        <v>1</v>
      </c>
      <c r="F169" s="7">
        <v>6</v>
      </c>
      <c r="G169" s="7" t="b">
        <v>0</v>
      </c>
      <c r="H169" s="7">
        <v>6</v>
      </c>
      <c r="I169" s="7">
        <v>2</v>
      </c>
      <c r="J169" s="7">
        <v>0.16</v>
      </c>
      <c r="K169" s="9">
        <v>0.16669999999999999</v>
      </c>
      <c r="L169" s="9">
        <v>0.74</v>
      </c>
      <c r="M169" s="9">
        <v>0.16420000000000001</v>
      </c>
      <c r="N169" s="9">
        <v>0</v>
      </c>
      <c r="O169" s="9">
        <v>2</v>
      </c>
      <c r="P169" s="9">
        <v>2</v>
      </c>
      <c r="Q169" s="7" t="str">
        <f t="shared" si="4"/>
        <v>SATARDAY</v>
      </c>
      <c r="R169" t="str">
        <f t="shared" si="5"/>
        <v>Mist</v>
      </c>
    </row>
    <row r="170" spans="1:18" x14ac:dyDescent="0.25">
      <c r="A170" s="7">
        <v>169</v>
      </c>
      <c r="B170" s="8">
        <v>40551</v>
      </c>
      <c r="C170" s="7">
        <v>1</v>
      </c>
      <c r="D170" s="7">
        <v>0</v>
      </c>
      <c r="E170" s="7">
        <v>1</v>
      </c>
      <c r="F170" s="7">
        <v>7</v>
      </c>
      <c r="G170" s="7" t="b">
        <v>0</v>
      </c>
      <c r="H170" s="7">
        <v>6</v>
      </c>
      <c r="I170" s="7">
        <v>2</v>
      </c>
      <c r="J170" s="7">
        <v>0.16</v>
      </c>
      <c r="K170" s="9">
        <v>0.18179999999999999</v>
      </c>
      <c r="L170" s="9">
        <v>0.74</v>
      </c>
      <c r="M170" s="9">
        <v>0.1045</v>
      </c>
      <c r="N170" s="9">
        <v>1</v>
      </c>
      <c r="O170" s="9">
        <v>8</v>
      </c>
      <c r="P170" s="9">
        <v>9</v>
      </c>
      <c r="Q170" s="7" t="str">
        <f t="shared" si="4"/>
        <v>SATARDAY</v>
      </c>
      <c r="R170" t="str">
        <f t="shared" si="5"/>
        <v>Mist</v>
      </c>
    </row>
    <row r="171" spans="1:18" x14ac:dyDescent="0.25">
      <c r="A171" s="7">
        <v>170</v>
      </c>
      <c r="B171" s="8">
        <v>40551</v>
      </c>
      <c r="C171" s="7">
        <v>1</v>
      </c>
      <c r="D171" s="7">
        <v>0</v>
      </c>
      <c r="E171" s="7">
        <v>1</v>
      </c>
      <c r="F171" s="7">
        <v>8</v>
      </c>
      <c r="G171" s="7" t="b">
        <v>0</v>
      </c>
      <c r="H171" s="7">
        <v>6</v>
      </c>
      <c r="I171" s="7">
        <v>3</v>
      </c>
      <c r="J171" s="7">
        <v>0.16</v>
      </c>
      <c r="K171" s="9">
        <v>0.18179999999999999</v>
      </c>
      <c r="L171" s="9">
        <v>0.93</v>
      </c>
      <c r="M171" s="9">
        <v>0.1045</v>
      </c>
      <c r="N171" s="9">
        <v>0</v>
      </c>
      <c r="O171" s="9">
        <v>15</v>
      </c>
      <c r="P171" s="9">
        <v>15</v>
      </c>
      <c r="Q171" s="7" t="str">
        <f t="shared" si="4"/>
        <v>SATARDAY</v>
      </c>
      <c r="R171" t="str">
        <f t="shared" si="5"/>
        <v>Light Rain/Snow</v>
      </c>
    </row>
    <row r="172" spans="1:18" x14ac:dyDescent="0.25">
      <c r="A172" s="7">
        <v>171</v>
      </c>
      <c r="B172" s="8">
        <v>40551</v>
      </c>
      <c r="C172" s="7">
        <v>1</v>
      </c>
      <c r="D172" s="7">
        <v>0</v>
      </c>
      <c r="E172" s="7">
        <v>1</v>
      </c>
      <c r="F172" s="7">
        <v>9</v>
      </c>
      <c r="G172" s="7" t="b">
        <v>0</v>
      </c>
      <c r="H172" s="7">
        <v>6</v>
      </c>
      <c r="I172" s="7">
        <v>3</v>
      </c>
      <c r="J172" s="7">
        <v>0.16</v>
      </c>
      <c r="K172" s="9">
        <v>0.18179999999999999</v>
      </c>
      <c r="L172" s="9">
        <v>0.93</v>
      </c>
      <c r="M172" s="9">
        <v>0.1045</v>
      </c>
      <c r="N172" s="9">
        <v>0</v>
      </c>
      <c r="O172" s="9">
        <v>20</v>
      </c>
      <c r="P172" s="9">
        <v>20</v>
      </c>
      <c r="Q172" s="7" t="str">
        <f t="shared" si="4"/>
        <v>SATARDAY</v>
      </c>
      <c r="R172" t="str">
        <f t="shared" si="5"/>
        <v>Light Rain/Snow</v>
      </c>
    </row>
    <row r="173" spans="1:18" x14ac:dyDescent="0.25">
      <c r="A173" s="7">
        <v>172</v>
      </c>
      <c r="B173" s="8">
        <v>40551</v>
      </c>
      <c r="C173" s="7">
        <v>1</v>
      </c>
      <c r="D173" s="7">
        <v>0</v>
      </c>
      <c r="E173" s="7">
        <v>1</v>
      </c>
      <c r="F173" s="7">
        <v>10</v>
      </c>
      <c r="G173" s="7" t="b">
        <v>0</v>
      </c>
      <c r="H173" s="7">
        <v>6</v>
      </c>
      <c r="I173" s="7">
        <v>2</v>
      </c>
      <c r="J173" s="7">
        <v>0.18</v>
      </c>
      <c r="K173" s="9">
        <v>0.19700000000000001</v>
      </c>
      <c r="L173" s="9">
        <v>0.8</v>
      </c>
      <c r="M173" s="9">
        <v>0.16420000000000001</v>
      </c>
      <c r="N173" s="9">
        <v>5</v>
      </c>
      <c r="O173" s="9">
        <v>56</v>
      </c>
      <c r="P173" s="9">
        <v>61</v>
      </c>
      <c r="Q173" s="7" t="str">
        <f t="shared" si="4"/>
        <v>SATARDAY</v>
      </c>
      <c r="R173" t="str">
        <f t="shared" si="5"/>
        <v>Mist</v>
      </c>
    </row>
    <row r="174" spans="1:18" x14ac:dyDescent="0.25">
      <c r="A174" s="7">
        <v>173</v>
      </c>
      <c r="B174" s="8">
        <v>40551</v>
      </c>
      <c r="C174" s="7">
        <v>1</v>
      </c>
      <c r="D174" s="7">
        <v>0</v>
      </c>
      <c r="E174" s="7">
        <v>1</v>
      </c>
      <c r="F174" s="7">
        <v>11</v>
      </c>
      <c r="G174" s="7" t="b">
        <v>0</v>
      </c>
      <c r="H174" s="7">
        <v>6</v>
      </c>
      <c r="I174" s="7">
        <v>2</v>
      </c>
      <c r="J174" s="7">
        <v>0.2</v>
      </c>
      <c r="K174" s="9">
        <v>0.18179999999999999</v>
      </c>
      <c r="L174" s="9">
        <v>0.69</v>
      </c>
      <c r="M174" s="9">
        <v>0.3881</v>
      </c>
      <c r="N174" s="9">
        <v>2</v>
      </c>
      <c r="O174" s="9">
        <v>60</v>
      </c>
      <c r="P174" s="9">
        <v>62</v>
      </c>
      <c r="Q174" s="7" t="str">
        <f t="shared" si="4"/>
        <v>SATARDAY</v>
      </c>
      <c r="R174" t="str">
        <f t="shared" si="5"/>
        <v>Mist</v>
      </c>
    </row>
    <row r="175" spans="1:18" x14ac:dyDescent="0.25">
      <c r="A175" s="7">
        <v>174</v>
      </c>
      <c r="B175" s="8">
        <v>40551</v>
      </c>
      <c r="C175" s="7">
        <v>1</v>
      </c>
      <c r="D175" s="7">
        <v>0</v>
      </c>
      <c r="E175" s="7">
        <v>1</v>
      </c>
      <c r="F175" s="7">
        <v>12</v>
      </c>
      <c r="G175" s="7" t="b">
        <v>0</v>
      </c>
      <c r="H175" s="7">
        <v>6</v>
      </c>
      <c r="I175" s="7">
        <v>2</v>
      </c>
      <c r="J175" s="7">
        <v>0.2</v>
      </c>
      <c r="K175" s="9">
        <v>0.18179999999999999</v>
      </c>
      <c r="L175" s="9">
        <v>0.59</v>
      </c>
      <c r="M175" s="9">
        <v>0.35820000000000002</v>
      </c>
      <c r="N175" s="9">
        <v>8</v>
      </c>
      <c r="O175" s="9">
        <v>90</v>
      </c>
      <c r="P175" s="9">
        <v>98</v>
      </c>
      <c r="Q175" s="7" t="str">
        <f t="shared" si="4"/>
        <v>SATARDAY</v>
      </c>
      <c r="R175" t="str">
        <f t="shared" si="5"/>
        <v>Mist</v>
      </c>
    </row>
    <row r="176" spans="1:18" x14ac:dyDescent="0.25">
      <c r="A176" s="7">
        <v>175</v>
      </c>
      <c r="B176" s="8">
        <v>40551</v>
      </c>
      <c r="C176" s="7">
        <v>1</v>
      </c>
      <c r="D176" s="7">
        <v>0</v>
      </c>
      <c r="E176" s="7">
        <v>1</v>
      </c>
      <c r="F176" s="7">
        <v>13</v>
      </c>
      <c r="G176" s="7" t="b">
        <v>0</v>
      </c>
      <c r="H176" s="7">
        <v>6</v>
      </c>
      <c r="I176" s="7">
        <v>1</v>
      </c>
      <c r="J176" s="7">
        <v>0.2</v>
      </c>
      <c r="K176" s="9">
        <v>0.18179999999999999</v>
      </c>
      <c r="L176" s="9">
        <v>0.44</v>
      </c>
      <c r="M176" s="9">
        <v>0.32840000000000003</v>
      </c>
      <c r="N176" s="9">
        <v>7</v>
      </c>
      <c r="O176" s="9">
        <v>95</v>
      </c>
      <c r="P176" s="9">
        <v>102</v>
      </c>
      <c r="Q176" s="7" t="str">
        <f t="shared" si="4"/>
        <v>SATARDAY</v>
      </c>
      <c r="R176" t="str">
        <f t="shared" si="5"/>
        <v>Clear</v>
      </c>
    </row>
    <row r="177" spans="1:18" x14ac:dyDescent="0.25">
      <c r="A177" s="7">
        <v>176</v>
      </c>
      <c r="B177" s="8">
        <v>40551</v>
      </c>
      <c r="C177" s="7">
        <v>1</v>
      </c>
      <c r="D177" s="7">
        <v>0</v>
      </c>
      <c r="E177" s="7">
        <v>1</v>
      </c>
      <c r="F177" s="7">
        <v>14</v>
      </c>
      <c r="G177" s="7" t="b">
        <v>0</v>
      </c>
      <c r="H177" s="7">
        <v>6</v>
      </c>
      <c r="I177" s="7">
        <v>1</v>
      </c>
      <c r="J177" s="7">
        <v>0.2</v>
      </c>
      <c r="K177" s="9">
        <v>0.16669999999999999</v>
      </c>
      <c r="L177" s="9">
        <v>0.32</v>
      </c>
      <c r="M177" s="9">
        <v>0.49249999999999999</v>
      </c>
      <c r="N177" s="9">
        <v>12</v>
      </c>
      <c r="O177" s="9">
        <v>83</v>
      </c>
      <c r="P177" s="9">
        <v>95</v>
      </c>
      <c r="Q177" s="7" t="str">
        <f t="shared" si="4"/>
        <v>SATARDAY</v>
      </c>
      <c r="R177" t="str">
        <f t="shared" si="5"/>
        <v>Clear</v>
      </c>
    </row>
    <row r="178" spans="1:18" x14ac:dyDescent="0.25">
      <c r="A178" s="7">
        <v>177</v>
      </c>
      <c r="B178" s="8">
        <v>40551</v>
      </c>
      <c r="C178" s="7">
        <v>1</v>
      </c>
      <c r="D178" s="7">
        <v>0</v>
      </c>
      <c r="E178" s="7">
        <v>1</v>
      </c>
      <c r="F178" s="7">
        <v>15</v>
      </c>
      <c r="G178" s="7" t="b">
        <v>0</v>
      </c>
      <c r="H178" s="7">
        <v>6</v>
      </c>
      <c r="I178" s="7">
        <v>1</v>
      </c>
      <c r="J178" s="7">
        <v>0.2</v>
      </c>
      <c r="K178" s="9">
        <v>0.16669999999999999</v>
      </c>
      <c r="L178" s="9">
        <v>0.32</v>
      </c>
      <c r="M178" s="9">
        <v>0.44779999999999998</v>
      </c>
      <c r="N178" s="9">
        <v>5</v>
      </c>
      <c r="O178" s="9">
        <v>69</v>
      </c>
      <c r="P178" s="9">
        <v>74</v>
      </c>
      <c r="Q178" s="7" t="str">
        <f t="shared" si="4"/>
        <v>SATARDAY</v>
      </c>
      <c r="R178" t="str">
        <f t="shared" si="5"/>
        <v>Clear</v>
      </c>
    </row>
    <row r="179" spans="1:18" x14ac:dyDescent="0.25">
      <c r="A179" s="7">
        <v>178</v>
      </c>
      <c r="B179" s="8">
        <v>40551</v>
      </c>
      <c r="C179" s="7">
        <v>1</v>
      </c>
      <c r="D179" s="7">
        <v>0</v>
      </c>
      <c r="E179" s="7">
        <v>1</v>
      </c>
      <c r="F179" s="7">
        <v>16</v>
      </c>
      <c r="G179" s="7" t="b">
        <v>0</v>
      </c>
      <c r="H179" s="7">
        <v>6</v>
      </c>
      <c r="I179" s="7">
        <v>1</v>
      </c>
      <c r="J179" s="7">
        <v>0.18</v>
      </c>
      <c r="K179" s="9">
        <v>0.13639999999999999</v>
      </c>
      <c r="L179" s="9">
        <v>0.28999999999999998</v>
      </c>
      <c r="M179" s="9">
        <v>0.44779999999999998</v>
      </c>
      <c r="N179" s="9">
        <v>8</v>
      </c>
      <c r="O179" s="9">
        <v>68</v>
      </c>
      <c r="P179" s="9">
        <v>76</v>
      </c>
      <c r="Q179" s="7" t="str">
        <f t="shared" si="4"/>
        <v>SATARDAY</v>
      </c>
      <c r="R179" t="str">
        <f t="shared" si="5"/>
        <v>Clear</v>
      </c>
    </row>
    <row r="180" spans="1:18" x14ac:dyDescent="0.25">
      <c r="A180" s="7">
        <v>179</v>
      </c>
      <c r="B180" s="8">
        <v>40551</v>
      </c>
      <c r="C180" s="7">
        <v>1</v>
      </c>
      <c r="D180" s="7">
        <v>0</v>
      </c>
      <c r="E180" s="7">
        <v>1</v>
      </c>
      <c r="F180" s="7">
        <v>17</v>
      </c>
      <c r="G180" s="7" t="b">
        <v>0</v>
      </c>
      <c r="H180" s="7">
        <v>6</v>
      </c>
      <c r="I180" s="7">
        <v>1</v>
      </c>
      <c r="J180" s="7">
        <v>0.16</v>
      </c>
      <c r="K180" s="9">
        <v>0.1212</v>
      </c>
      <c r="L180" s="9">
        <v>0.37</v>
      </c>
      <c r="M180" s="9">
        <v>0.55220000000000002</v>
      </c>
      <c r="N180" s="9">
        <v>5</v>
      </c>
      <c r="O180" s="9">
        <v>64</v>
      </c>
      <c r="P180" s="9">
        <v>69</v>
      </c>
      <c r="Q180" s="7" t="str">
        <f t="shared" si="4"/>
        <v>SATARDAY</v>
      </c>
      <c r="R180" t="str">
        <f t="shared" si="5"/>
        <v>Clear</v>
      </c>
    </row>
    <row r="181" spans="1:18" x14ac:dyDescent="0.25">
      <c r="A181" s="7">
        <v>180</v>
      </c>
      <c r="B181" s="8">
        <v>40551</v>
      </c>
      <c r="C181" s="7">
        <v>1</v>
      </c>
      <c r="D181" s="7">
        <v>0</v>
      </c>
      <c r="E181" s="7">
        <v>1</v>
      </c>
      <c r="F181" s="7">
        <v>18</v>
      </c>
      <c r="G181" s="7" t="b">
        <v>0</v>
      </c>
      <c r="H181" s="7">
        <v>6</v>
      </c>
      <c r="I181" s="7">
        <v>1</v>
      </c>
      <c r="J181" s="7">
        <v>0.14000000000000001</v>
      </c>
      <c r="K181" s="9">
        <v>0.1212</v>
      </c>
      <c r="L181" s="9">
        <v>0.39</v>
      </c>
      <c r="M181" s="9">
        <v>0.29849999999999999</v>
      </c>
      <c r="N181" s="9">
        <v>3</v>
      </c>
      <c r="O181" s="9">
        <v>52</v>
      </c>
      <c r="P181" s="9">
        <v>55</v>
      </c>
      <c r="Q181" s="7" t="str">
        <f t="shared" si="4"/>
        <v>SATARDAY</v>
      </c>
      <c r="R181" t="str">
        <f t="shared" si="5"/>
        <v>Clear</v>
      </c>
    </row>
    <row r="182" spans="1:18" x14ac:dyDescent="0.25">
      <c r="A182" s="7">
        <v>181</v>
      </c>
      <c r="B182" s="8">
        <v>40551</v>
      </c>
      <c r="C182" s="7">
        <v>1</v>
      </c>
      <c r="D182" s="7">
        <v>0</v>
      </c>
      <c r="E182" s="7">
        <v>1</v>
      </c>
      <c r="F182" s="7">
        <v>19</v>
      </c>
      <c r="G182" s="7" t="b">
        <v>0</v>
      </c>
      <c r="H182" s="7">
        <v>6</v>
      </c>
      <c r="I182" s="7">
        <v>1</v>
      </c>
      <c r="J182" s="7">
        <v>0.14000000000000001</v>
      </c>
      <c r="K182" s="9">
        <v>0.1212</v>
      </c>
      <c r="L182" s="9">
        <v>0.36</v>
      </c>
      <c r="M182" s="9">
        <v>0.25369999999999998</v>
      </c>
      <c r="N182" s="9">
        <v>4</v>
      </c>
      <c r="O182" s="9">
        <v>26</v>
      </c>
      <c r="P182" s="9">
        <v>30</v>
      </c>
      <c r="Q182" s="7" t="str">
        <f t="shared" si="4"/>
        <v>SATARDAY</v>
      </c>
      <c r="R182" t="str">
        <f t="shared" si="5"/>
        <v>Clear</v>
      </c>
    </row>
    <row r="183" spans="1:18" x14ac:dyDescent="0.25">
      <c r="A183" s="7">
        <v>182</v>
      </c>
      <c r="B183" s="8">
        <v>40551</v>
      </c>
      <c r="C183" s="7">
        <v>1</v>
      </c>
      <c r="D183" s="7">
        <v>0</v>
      </c>
      <c r="E183" s="7">
        <v>1</v>
      </c>
      <c r="F183" s="7">
        <v>20</v>
      </c>
      <c r="G183" s="7" t="b">
        <v>0</v>
      </c>
      <c r="H183" s="7">
        <v>6</v>
      </c>
      <c r="I183" s="7">
        <v>1</v>
      </c>
      <c r="J183" s="7">
        <v>0.12</v>
      </c>
      <c r="K183" s="9">
        <v>0.1212</v>
      </c>
      <c r="L183" s="9">
        <v>0.36</v>
      </c>
      <c r="M183" s="9">
        <v>0.25369999999999998</v>
      </c>
      <c r="N183" s="9">
        <v>0</v>
      </c>
      <c r="O183" s="9">
        <v>28</v>
      </c>
      <c r="P183" s="9">
        <v>28</v>
      </c>
      <c r="Q183" s="7" t="str">
        <f t="shared" si="4"/>
        <v>SATARDAY</v>
      </c>
      <c r="R183" t="str">
        <f t="shared" si="5"/>
        <v>Clear</v>
      </c>
    </row>
    <row r="184" spans="1:18" x14ac:dyDescent="0.25">
      <c r="A184" s="7">
        <v>183</v>
      </c>
      <c r="B184" s="8">
        <v>40551</v>
      </c>
      <c r="C184" s="7">
        <v>1</v>
      </c>
      <c r="D184" s="7">
        <v>0</v>
      </c>
      <c r="E184" s="7">
        <v>1</v>
      </c>
      <c r="F184" s="7">
        <v>21</v>
      </c>
      <c r="G184" s="7" t="b">
        <v>0</v>
      </c>
      <c r="H184" s="7">
        <v>6</v>
      </c>
      <c r="I184" s="7">
        <v>1</v>
      </c>
      <c r="J184" s="7">
        <v>0.12</v>
      </c>
      <c r="K184" s="9">
        <v>0.1061</v>
      </c>
      <c r="L184" s="9">
        <v>0.39</v>
      </c>
      <c r="M184" s="9">
        <v>0.35820000000000002</v>
      </c>
      <c r="N184" s="9">
        <v>2</v>
      </c>
      <c r="O184" s="9">
        <v>35</v>
      </c>
      <c r="P184" s="9">
        <v>37</v>
      </c>
      <c r="Q184" s="7" t="str">
        <f t="shared" si="4"/>
        <v>SATARDAY</v>
      </c>
      <c r="R184" t="str">
        <f t="shared" si="5"/>
        <v>Clear</v>
      </c>
    </row>
    <row r="185" spans="1:18" x14ac:dyDescent="0.25">
      <c r="A185" s="7">
        <v>184</v>
      </c>
      <c r="B185" s="8">
        <v>40551</v>
      </c>
      <c r="C185" s="7">
        <v>1</v>
      </c>
      <c r="D185" s="7">
        <v>0</v>
      </c>
      <c r="E185" s="7">
        <v>1</v>
      </c>
      <c r="F185" s="7">
        <v>22</v>
      </c>
      <c r="G185" s="7" t="b">
        <v>0</v>
      </c>
      <c r="H185" s="7">
        <v>6</v>
      </c>
      <c r="I185" s="7">
        <v>1</v>
      </c>
      <c r="J185" s="7">
        <v>0.12</v>
      </c>
      <c r="K185" s="9">
        <v>0.1061</v>
      </c>
      <c r="L185" s="9">
        <v>0.36</v>
      </c>
      <c r="M185" s="9">
        <v>0.3881</v>
      </c>
      <c r="N185" s="9">
        <v>1</v>
      </c>
      <c r="O185" s="9">
        <v>33</v>
      </c>
      <c r="P185" s="9">
        <v>34</v>
      </c>
      <c r="Q185" s="7" t="str">
        <f t="shared" si="4"/>
        <v>SATARDAY</v>
      </c>
      <c r="R185" t="str">
        <f t="shared" si="5"/>
        <v>Clear</v>
      </c>
    </row>
    <row r="186" spans="1:18" x14ac:dyDescent="0.25">
      <c r="A186" s="7">
        <v>185</v>
      </c>
      <c r="B186" s="8">
        <v>40551</v>
      </c>
      <c r="C186" s="7">
        <v>1</v>
      </c>
      <c r="D186" s="7">
        <v>0</v>
      </c>
      <c r="E186" s="7">
        <v>1</v>
      </c>
      <c r="F186" s="7">
        <v>23</v>
      </c>
      <c r="G186" s="7" t="b">
        <v>0</v>
      </c>
      <c r="H186" s="7">
        <v>6</v>
      </c>
      <c r="I186" s="7">
        <v>1</v>
      </c>
      <c r="J186" s="7">
        <v>0.1</v>
      </c>
      <c r="K186" s="9">
        <v>6.0600000000000001E-2</v>
      </c>
      <c r="L186" s="9">
        <v>0.39</v>
      </c>
      <c r="M186" s="9">
        <v>0.44779999999999998</v>
      </c>
      <c r="N186" s="9">
        <v>0</v>
      </c>
      <c r="O186" s="9">
        <v>22</v>
      </c>
      <c r="P186" s="9">
        <v>22</v>
      </c>
      <c r="Q186" s="7" t="str">
        <f t="shared" si="4"/>
        <v>SATARDAY</v>
      </c>
      <c r="R186" t="str">
        <f t="shared" si="5"/>
        <v>Clear</v>
      </c>
    </row>
    <row r="187" spans="1:18" x14ac:dyDescent="0.25">
      <c r="A187" s="7">
        <v>186</v>
      </c>
      <c r="B187" s="8">
        <v>40552</v>
      </c>
      <c r="C187" s="7">
        <v>1</v>
      </c>
      <c r="D187" s="7">
        <v>0</v>
      </c>
      <c r="E187" s="7">
        <v>1</v>
      </c>
      <c r="F187" s="7">
        <v>0</v>
      </c>
      <c r="G187" s="7" t="b">
        <v>0</v>
      </c>
      <c r="H187" s="7">
        <v>0</v>
      </c>
      <c r="I187" s="7">
        <v>1</v>
      </c>
      <c r="J187" s="7">
        <v>0.1</v>
      </c>
      <c r="K187" s="9">
        <v>7.5800000000000006E-2</v>
      </c>
      <c r="L187" s="9">
        <v>0.42</v>
      </c>
      <c r="M187" s="9">
        <v>0.3881</v>
      </c>
      <c r="N187" s="9">
        <v>1</v>
      </c>
      <c r="O187" s="9">
        <v>24</v>
      </c>
      <c r="P187" s="9">
        <v>25</v>
      </c>
      <c r="Q187" s="7" t="str">
        <f t="shared" si="4"/>
        <v>SUNDAY</v>
      </c>
      <c r="R187" t="str">
        <f t="shared" si="5"/>
        <v>Clear</v>
      </c>
    </row>
    <row r="188" spans="1:18" x14ac:dyDescent="0.25">
      <c r="A188" s="7">
        <v>187</v>
      </c>
      <c r="B188" s="8">
        <v>40552</v>
      </c>
      <c r="C188" s="7">
        <v>1</v>
      </c>
      <c r="D188" s="7">
        <v>0</v>
      </c>
      <c r="E188" s="7">
        <v>1</v>
      </c>
      <c r="F188" s="7">
        <v>1</v>
      </c>
      <c r="G188" s="7" t="b">
        <v>0</v>
      </c>
      <c r="H188" s="7">
        <v>0</v>
      </c>
      <c r="I188" s="7">
        <v>1</v>
      </c>
      <c r="J188" s="7">
        <v>0.1</v>
      </c>
      <c r="K188" s="9">
        <v>6.0600000000000001E-2</v>
      </c>
      <c r="L188" s="9">
        <v>0.42</v>
      </c>
      <c r="M188" s="9">
        <v>0.4627</v>
      </c>
      <c r="N188" s="9">
        <v>0</v>
      </c>
      <c r="O188" s="9">
        <v>12</v>
      </c>
      <c r="P188" s="9">
        <v>12</v>
      </c>
      <c r="Q188" s="7" t="str">
        <f t="shared" si="4"/>
        <v>SUNDAY</v>
      </c>
      <c r="R188" t="str">
        <f t="shared" si="5"/>
        <v>Clear</v>
      </c>
    </row>
    <row r="189" spans="1:18" x14ac:dyDescent="0.25">
      <c r="A189" s="7">
        <v>188</v>
      </c>
      <c r="B189" s="8">
        <v>40552</v>
      </c>
      <c r="C189" s="7">
        <v>1</v>
      </c>
      <c r="D189" s="7">
        <v>0</v>
      </c>
      <c r="E189" s="7">
        <v>1</v>
      </c>
      <c r="F189" s="7">
        <v>2</v>
      </c>
      <c r="G189" s="7" t="b">
        <v>0</v>
      </c>
      <c r="H189" s="7">
        <v>0</v>
      </c>
      <c r="I189" s="7">
        <v>1</v>
      </c>
      <c r="J189" s="7">
        <v>0.1</v>
      </c>
      <c r="K189" s="9">
        <v>6.0600000000000001E-2</v>
      </c>
      <c r="L189" s="9">
        <v>0.46</v>
      </c>
      <c r="M189" s="9">
        <v>0.4627</v>
      </c>
      <c r="N189" s="9">
        <v>0</v>
      </c>
      <c r="O189" s="9">
        <v>11</v>
      </c>
      <c r="P189" s="9">
        <v>11</v>
      </c>
      <c r="Q189" s="7" t="str">
        <f t="shared" si="4"/>
        <v>SUNDAY</v>
      </c>
      <c r="R189" t="str">
        <f t="shared" si="5"/>
        <v>Clear</v>
      </c>
    </row>
    <row r="190" spans="1:18" x14ac:dyDescent="0.25">
      <c r="A190" s="7">
        <v>189</v>
      </c>
      <c r="B190" s="8">
        <v>40552</v>
      </c>
      <c r="C190" s="7">
        <v>1</v>
      </c>
      <c r="D190" s="7">
        <v>0</v>
      </c>
      <c r="E190" s="7">
        <v>1</v>
      </c>
      <c r="F190" s="7">
        <v>3</v>
      </c>
      <c r="G190" s="7" t="b">
        <v>0</v>
      </c>
      <c r="H190" s="7">
        <v>0</v>
      </c>
      <c r="I190" s="7">
        <v>1</v>
      </c>
      <c r="J190" s="7">
        <v>0.1</v>
      </c>
      <c r="K190" s="9">
        <v>7.5800000000000006E-2</v>
      </c>
      <c r="L190" s="9">
        <v>0.46</v>
      </c>
      <c r="M190" s="9">
        <v>0.41789999999999999</v>
      </c>
      <c r="N190" s="9">
        <v>0</v>
      </c>
      <c r="O190" s="9">
        <v>4</v>
      </c>
      <c r="P190" s="9">
        <v>4</v>
      </c>
      <c r="Q190" s="7" t="str">
        <f t="shared" si="4"/>
        <v>SUNDAY</v>
      </c>
      <c r="R190" t="str">
        <f t="shared" si="5"/>
        <v>Clear</v>
      </c>
    </row>
    <row r="191" spans="1:18" x14ac:dyDescent="0.25">
      <c r="A191" s="7">
        <v>190</v>
      </c>
      <c r="B191" s="8">
        <v>40552</v>
      </c>
      <c r="C191" s="7">
        <v>1</v>
      </c>
      <c r="D191" s="7">
        <v>0</v>
      </c>
      <c r="E191" s="7">
        <v>1</v>
      </c>
      <c r="F191" s="7">
        <v>4</v>
      </c>
      <c r="G191" s="7" t="b">
        <v>0</v>
      </c>
      <c r="H191" s="7">
        <v>0</v>
      </c>
      <c r="I191" s="7">
        <v>1</v>
      </c>
      <c r="J191" s="7">
        <v>0.08</v>
      </c>
      <c r="K191" s="9">
        <v>9.0899999999999995E-2</v>
      </c>
      <c r="L191" s="9">
        <v>0.53</v>
      </c>
      <c r="M191" s="9">
        <v>0.19400000000000001</v>
      </c>
      <c r="N191" s="9">
        <v>0</v>
      </c>
      <c r="O191" s="9">
        <v>1</v>
      </c>
      <c r="P191" s="9">
        <v>1</v>
      </c>
      <c r="Q191" s="7" t="str">
        <f t="shared" si="4"/>
        <v>SUNDAY</v>
      </c>
      <c r="R191" t="str">
        <f t="shared" si="5"/>
        <v>Clear</v>
      </c>
    </row>
    <row r="192" spans="1:18" x14ac:dyDescent="0.25">
      <c r="A192" s="7">
        <v>191</v>
      </c>
      <c r="B192" s="8">
        <v>40552</v>
      </c>
      <c r="C192" s="7">
        <v>1</v>
      </c>
      <c r="D192" s="7">
        <v>0</v>
      </c>
      <c r="E192" s="7">
        <v>1</v>
      </c>
      <c r="F192" s="7">
        <v>5</v>
      </c>
      <c r="G192" s="7" t="b">
        <v>0</v>
      </c>
      <c r="H192" s="7">
        <v>0</v>
      </c>
      <c r="I192" s="7">
        <v>1</v>
      </c>
      <c r="J192" s="7">
        <v>0.08</v>
      </c>
      <c r="K192" s="9">
        <v>9.0899999999999995E-2</v>
      </c>
      <c r="L192" s="9">
        <v>0.53</v>
      </c>
      <c r="M192" s="9">
        <v>0.19400000000000001</v>
      </c>
      <c r="N192" s="9">
        <v>0</v>
      </c>
      <c r="O192" s="9">
        <v>1</v>
      </c>
      <c r="P192" s="9">
        <v>1</v>
      </c>
      <c r="Q192" s="7" t="str">
        <f t="shared" si="4"/>
        <v>SUNDAY</v>
      </c>
      <c r="R192" t="str">
        <f t="shared" si="5"/>
        <v>Clear</v>
      </c>
    </row>
    <row r="193" spans="1:18" x14ac:dyDescent="0.25">
      <c r="A193" s="7">
        <v>192</v>
      </c>
      <c r="B193" s="8">
        <v>40552</v>
      </c>
      <c r="C193" s="7">
        <v>1</v>
      </c>
      <c r="D193" s="7">
        <v>0</v>
      </c>
      <c r="E193" s="7">
        <v>1</v>
      </c>
      <c r="F193" s="7">
        <v>6</v>
      </c>
      <c r="G193" s="7" t="b">
        <v>0</v>
      </c>
      <c r="H193" s="7">
        <v>0</v>
      </c>
      <c r="I193" s="7">
        <v>1</v>
      </c>
      <c r="J193" s="7">
        <v>0.1</v>
      </c>
      <c r="K193" s="9">
        <v>9.0899999999999995E-2</v>
      </c>
      <c r="L193" s="9">
        <v>0.49</v>
      </c>
      <c r="M193" s="9">
        <v>0.28360000000000002</v>
      </c>
      <c r="N193" s="9">
        <v>0</v>
      </c>
      <c r="O193" s="9">
        <v>1</v>
      </c>
      <c r="P193" s="9">
        <v>1</v>
      </c>
      <c r="Q193" s="7" t="str">
        <f t="shared" si="4"/>
        <v>SUNDAY</v>
      </c>
      <c r="R193" t="str">
        <f t="shared" si="5"/>
        <v>Clear</v>
      </c>
    </row>
    <row r="194" spans="1:18" x14ac:dyDescent="0.25">
      <c r="A194" s="7">
        <v>193</v>
      </c>
      <c r="B194" s="8">
        <v>40552</v>
      </c>
      <c r="C194" s="7">
        <v>1</v>
      </c>
      <c r="D194" s="7">
        <v>0</v>
      </c>
      <c r="E194" s="7">
        <v>1</v>
      </c>
      <c r="F194" s="7">
        <v>7</v>
      </c>
      <c r="G194" s="7" t="b">
        <v>0</v>
      </c>
      <c r="H194" s="7">
        <v>0</v>
      </c>
      <c r="I194" s="7">
        <v>1</v>
      </c>
      <c r="J194" s="7">
        <v>0.08</v>
      </c>
      <c r="K194" s="9">
        <v>9.0899999999999995E-2</v>
      </c>
      <c r="L194" s="9">
        <v>0.53</v>
      </c>
      <c r="M194" s="9">
        <v>0.19400000000000001</v>
      </c>
      <c r="N194" s="9">
        <v>1</v>
      </c>
      <c r="O194" s="9">
        <v>5</v>
      </c>
      <c r="P194" s="9">
        <v>6</v>
      </c>
      <c r="Q194" s="7" t="str">
        <f t="shared" ref="Q194:Q257" si="6">CHOOSE(H194+1, "SUNDAY", "MONDAY","TUESDAY", "WENESDAY","THUSDAY", "FRIDAY", "SATARDAY")</f>
        <v>SUNDAY</v>
      </c>
      <c r="R194" t="str">
        <f t="shared" ref="R194:R257" si="7">IF(I194=1,"Clear",IF(I194=2,"Mist",IF(I194=3,"Light Rain/Snow","Heavy Rain")))</f>
        <v>Clear</v>
      </c>
    </row>
    <row r="195" spans="1:18" x14ac:dyDescent="0.25">
      <c r="A195" s="7">
        <v>194</v>
      </c>
      <c r="B195" s="8">
        <v>40552</v>
      </c>
      <c r="C195" s="7">
        <v>1</v>
      </c>
      <c r="D195" s="7">
        <v>0</v>
      </c>
      <c r="E195" s="7">
        <v>1</v>
      </c>
      <c r="F195" s="7">
        <v>8</v>
      </c>
      <c r="G195" s="7" t="b">
        <v>0</v>
      </c>
      <c r="H195" s="7">
        <v>0</v>
      </c>
      <c r="I195" s="7">
        <v>1</v>
      </c>
      <c r="J195" s="7">
        <v>0.1</v>
      </c>
      <c r="K195" s="9">
        <v>9.0899999999999995E-2</v>
      </c>
      <c r="L195" s="9">
        <v>0.49</v>
      </c>
      <c r="M195" s="9">
        <v>0.28360000000000002</v>
      </c>
      <c r="N195" s="9">
        <v>0</v>
      </c>
      <c r="O195" s="9">
        <v>10</v>
      </c>
      <c r="P195" s="9">
        <v>10</v>
      </c>
      <c r="Q195" s="7" t="str">
        <f t="shared" si="6"/>
        <v>SUNDAY</v>
      </c>
      <c r="R195" t="str">
        <f t="shared" si="7"/>
        <v>Clear</v>
      </c>
    </row>
    <row r="196" spans="1:18" x14ac:dyDescent="0.25">
      <c r="A196" s="7">
        <v>195</v>
      </c>
      <c r="B196" s="8">
        <v>40552</v>
      </c>
      <c r="C196" s="7">
        <v>1</v>
      </c>
      <c r="D196" s="7">
        <v>0</v>
      </c>
      <c r="E196" s="7">
        <v>1</v>
      </c>
      <c r="F196" s="7">
        <v>9</v>
      </c>
      <c r="G196" s="7" t="b">
        <v>0</v>
      </c>
      <c r="H196" s="7">
        <v>0</v>
      </c>
      <c r="I196" s="7">
        <v>1</v>
      </c>
      <c r="J196" s="7">
        <v>0.12</v>
      </c>
      <c r="K196" s="9">
        <v>7.5800000000000006E-2</v>
      </c>
      <c r="L196" s="9">
        <v>0.46</v>
      </c>
      <c r="M196" s="9">
        <v>0.52239999999999998</v>
      </c>
      <c r="N196" s="9">
        <v>0</v>
      </c>
      <c r="O196" s="9">
        <v>19</v>
      </c>
      <c r="P196" s="9">
        <v>19</v>
      </c>
      <c r="Q196" s="7" t="str">
        <f t="shared" si="6"/>
        <v>SUNDAY</v>
      </c>
      <c r="R196" t="str">
        <f t="shared" si="7"/>
        <v>Clear</v>
      </c>
    </row>
    <row r="197" spans="1:18" x14ac:dyDescent="0.25">
      <c r="A197" s="7">
        <v>196</v>
      </c>
      <c r="B197" s="8">
        <v>40552</v>
      </c>
      <c r="C197" s="7">
        <v>1</v>
      </c>
      <c r="D197" s="7">
        <v>0</v>
      </c>
      <c r="E197" s="7">
        <v>1</v>
      </c>
      <c r="F197" s="7">
        <v>10</v>
      </c>
      <c r="G197" s="7" t="b">
        <v>0</v>
      </c>
      <c r="H197" s="7">
        <v>0</v>
      </c>
      <c r="I197" s="7">
        <v>1</v>
      </c>
      <c r="J197" s="7">
        <v>0.14000000000000001</v>
      </c>
      <c r="K197" s="9">
        <v>0.1061</v>
      </c>
      <c r="L197" s="9">
        <v>0.43</v>
      </c>
      <c r="M197" s="9">
        <v>0.3881</v>
      </c>
      <c r="N197" s="9">
        <v>0</v>
      </c>
      <c r="O197" s="9">
        <v>49</v>
      </c>
      <c r="P197" s="9">
        <v>49</v>
      </c>
      <c r="Q197" s="7" t="str">
        <f t="shared" si="6"/>
        <v>SUNDAY</v>
      </c>
      <c r="R197" t="str">
        <f t="shared" si="7"/>
        <v>Clear</v>
      </c>
    </row>
    <row r="198" spans="1:18" x14ac:dyDescent="0.25">
      <c r="A198" s="7">
        <v>197</v>
      </c>
      <c r="B198" s="8">
        <v>40552</v>
      </c>
      <c r="C198" s="7">
        <v>1</v>
      </c>
      <c r="D198" s="7">
        <v>0</v>
      </c>
      <c r="E198" s="7">
        <v>1</v>
      </c>
      <c r="F198" s="7">
        <v>11</v>
      </c>
      <c r="G198" s="7" t="b">
        <v>0</v>
      </c>
      <c r="H198" s="7">
        <v>0</v>
      </c>
      <c r="I198" s="7">
        <v>1</v>
      </c>
      <c r="J198" s="7">
        <v>0.16</v>
      </c>
      <c r="K198" s="9">
        <v>0.1212</v>
      </c>
      <c r="L198" s="9">
        <v>0.4</v>
      </c>
      <c r="M198" s="9">
        <v>0.52239999999999998</v>
      </c>
      <c r="N198" s="9">
        <v>2</v>
      </c>
      <c r="O198" s="9">
        <v>47</v>
      </c>
      <c r="P198" s="9">
        <v>49</v>
      </c>
      <c r="Q198" s="7" t="str">
        <f t="shared" si="6"/>
        <v>SUNDAY</v>
      </c>
      <c r="R198" t="str">
        <f t="shared" si="7"/>
        <v>Clear</v>
      </c>
    </row>
    <row r="199" spans="1:18" x14ac:dyDescent="0.25">
      <c r="A199" s="7">
        <v>198</v>
      </c>
      <c r="B199" s="8">
        <v>40552</v>
      </c>
      <c r="C199" s="7">
        <v>1</v>
      </c>
      <c r="D199" s="7">
        <v>0</v>
      </c>
      <c r="E199" s="7">
        <v>1</v>
      </c>
      <c r="F199" s="7">
        <v>12</v>
      </c>
      <c r="G199" s="7" t="b">
        <v>0</v>
      </c>
      <c r="H199" s="7">
        <v>0</v>
      </c>
      <c r="I199" s="7">
        <v>1</v>
      </c>
      <c r="J199" s="7">
        <v>0.18</v>
      </c>
      <c r="K199" s="9">
        <v>0.13639999999999999</v>
      </c>
      <c r="L199" s="9">
        <v>0.37</v>
      </c>
      <c r="M199" s="9">
        <v>0.44779999999999998</v>
      </c>
      <c r="N199" s="9">
        <v>4</v>
      </c>
      <c r="O199" s="9">
        <v>79</v>
      </c>
      <c r="P199" s="9">
        <v>83</v>
      </c>
      <c r="Q199" s="7" t="str">
        <f t="shared" si="6"/>
        <v>SUNDAY</v>
      </c>
      <c r="R199" t="str">
        <f t="shared" si="7"/>
        <v>Clear</v>
      </c>
    </row>
    <row r="200" spans="1:18" x14ac:dyDescent="0.25">
      <c r="A200" s="7">
        <v>199</v>
      </c>
      <c r="B200" s="8">
        <v>40552</v>
      </c>
      <c r="C200" s="7">
        <v>1</v>
      </c>
      <c r="D200" s="7">
        <v>0</v>
      </c>
      <c r="E200" s="7">
        <v>1</v>
      </c>
      <c r="F200" s="7">
        <v>13</v>
      </c>
      <c r="G200" s="7" t="b">
        <v>0</v>
      </c>
      <c r="H200" s="7">
        <v>0</v>
      </c>
      <c r="I200" s="7">
        <v>1</v>
      </c>
      <c r="J200" s="7">
        <v>0.2</v>
      </c>
      <c r="K200" s="9">
        <v>0.16669999999999999</v>
      </c>
      <c r="L200" s="9">
        <v>0.34</v>
      </c>
      <c r="M200" s="9">
        <v>0.44779999999999998</v>
      </c>
      <c r="N200" s="9">
        <v>6</v>
      </c>
      <c r="O200" s="9">
        <v>69</v>
      </c>
      <c r="P200" s="9">
        <v>75</v>
      </c>
      <c r="Q200" s="7" t="str">
        <f t="shared" si="6"/>
        <v>SUNDAY</v>
      </c>
      <c r="R200" t="str">
        <f t="shared" si="7"/>
        <v>Clear</v>
      </c>
    </row>
    <row r="201" spans="1:18" x14ac:dyDescent="0.25">
      <c r="A201" s="7">
        <v>200</v>
      </c>
      <c r="B201" s="8">
        <v>40552</v>
      </c>
      <c r="C201" s="7">
        <v>1</v>
      </c>
      <c r="D201" s="7">
        <v>0</v>
      </c>
      <c r="E201" s="7">
        <v>1</v>
      </c>
      <c r="F201" s="7">
        <v>14</v>
      </c>
      <c r="G201" s="7" t="b">
        <v>0</v>
      </c>
      <c r="H201" s="7">
        <v>0</v>
      </c>
      <c r="I201" s="7">
        <v>1</v>
      </c>
      <c r="J201" s="7">
        <v>0.22</v>
      </c>
      <c r="K201" s="9">
        <v>0.18179999999999999</v>
      </c>
      <c r="L201" s="9">
        <v>0.32</v>
      </c>
      <c r="M201" s="9">
        <v>0.4627</v>
      </c>
      <c r="N201" s="9">
        <v>8</v>
      </c>
      <c r="O201" s="9">
        <v>64</v>
      </c>
      <c r="P201" s="9">
        <v>72</v>
      </c>
      <c r="Q201" s="7" t="str">
        <f t="shared" si="6"/>
        <v>SUNDAY</v>
      </c>
      <c r="R201" t="str">
        <f t="shared" si="7"/>
        <v>Clear</v>
      </c>
    </row>
    <row r="202" spans="1:18" x14ac:dyDescent="0.25">
      <c r="A202" s="7">
        <v>201</v>
      </c>
      <c r="B202" s="8">
        <v>40552</v>
      </c>
      <c r="C202" s="7">
        <v>1</v>
      </c>
      <c r="D202" s="7">
        <v>0</v>
      </c>
      <c r="E202" s="7">
        <v>1</v>
      </c>
      <c r="F202" s="7">
        <v>15</v>
      </c>
      <c r="G202" s="7" t="b">
        <v>0</v>
      </c>
      <c r="H202" s="7">
        <v>0</v>
      </c>
      <c r="I202" s="7">
        <v>1</v>
      </c>
      <c r="J202" s="7">
        <v>0.22</v>
      </c>
      <c r="K202" s="9">
        <v>0.19700000000000001</v>
      </c>
      <c r="L202" s="9">
        <v>0.35</v>
      </c>
      <c r="M202" s="9">
        <v>0.35820000000000002</v>
      </c>
      <c r="N202" s="9">
        <v>5</v>
      </c>
      <c r="O202" s="9">
        <v>77</v>
      </c>
      <c r="P202" s="9">
        <v>82</v>
      </c>
      <c r="Q202" s="7" t="str">
        <f t="shared" si="6"/>
        <v>SUNDAY</v>
      </c>
      <c r="R202" t="str">
        <f t="shared" si="7"/>
        <v>Clear</v>
      </c>
    </row>
    <row r="203" spans="1:18" x14ac:dyDescent="0.25">
      <c r="A203" s="7">
        <v>202</v>
      </c>
      <c r="B203" s="8">
        <v>40552</v>
      </c>
      <c r="C203" s="7">
        <v>1</v>
      </c>
      <c r="D203" s="7">
        <v>0</v>
      </c>
      <c r="E203" s="7">
        <v>1</v>
      </c>
      <c r="F203" s="7">
        <v>16</v>
      </c>
      <c r="G203" s="7" t="b">
        <v>0</v>
      </c>
      <c r="H203" s="7">
        <v>0</v>
      </c>
      <c r="I203" s="7">
        <v>1</v>
      </c>
      <c r="J203" s="7">
        <v>0.2</v>
      </c>
      <c r="K203" s="9">
        <v>0.16669999999999999</v>
      </c>
      <c r="L203" s="9">
        <v>0.34</v>
      </c>
      <c r="M203" s="9">
        <v>0.44779999999999998</v>
      </c>
      <c r="N203" s="9">
        <v>13</v>
      </c>
      <c r="O203" s="9">
        <v>79</v>
      </c>
      <c r="P203" s="9">
        <v>92</v>
      </c>
      <c r="Q203" s="7" t="str">
        <f t="shared" si="6"/>
        <v>SUNDAY</v>
      </c>
      <c r="R203" t="str">
        <f t="shared" si="7"/>
        <v>Clear</v>
      </c>
    </row>
    <row r="204" spans="1:18" x14ac:dyDescent="0.25">
      <c r="A204" s="7">
        <v>203</v>
      </c>
      <c r="B204" s="8">
        <v>40552</v>
      </c>
      <c r="C204" s="7">
        <v>1</v>
      </c>
      <c r="D204" s="7">
        <v>0</v>
      </c>
      <c r="E204" s="7">
        <v>1</v>
      </c>
      <c r="F204" s="7">
        <v>17</v>
      </c>
      <c r="G204" s="7" t="b">
        <v>0</v>
      </c>
      <c r="H204" s="7">
        <v>0</v>
      </c>
      <c r="I204" s="7">
        <v>1</v>
      </c>
      <c r="J204" s="7">
        <v>0.18</v>
      </c>
      <c r="K204" s="9">
        <v>0.1515</v>
      </c>
      <c r="L204" s="9">
        <v>0.37</v>
      </c>
      <c r="M204" s="9">
        <v>0.3881</v>
      </c>
      <c r="N204" s="9">
        <v>3</v>
      </c>
      <c r="O204" s="9">
        <v>59</v>
      </c>
      <c r="P204" s="9">
        <v>62</v>
      </c>
      <c r="Q204" s="7" t="str">
        <f t="shared" si="6"/>
        <v>SUNDAY</v>
      </c>
      <c r="R204" t="str">
        <f t="shared" si="7"/>
        <v>Clear</v>
      </c>
    </row>
    <row r="205" spans="1:18" x14ac:dyDescent="0.25">
      <c r="A205" s="7">
        <v>204</v>
      </c>
      <c r="B205" s="8">
        <v>40552</v>
      </c>
      <c r="C205" s="7">
        <v>1</v>
      </c>
      <c r="D205" s="7">
        <v>0</v>
      </c>
      <c r="E205" s="7">
        <v>1</v>
      </c>
      <c r="F205" s="7">
        <v>18</v>
      </c>
      <c r="G205" s="7" t="b">
        <v>0</v>
      </c>
      <c r="H205" s="7">
        <v>0</v>
      </c>
      <c r="I205" s="7">
        <v>1</v>
      </c>
      <c r="J205" s="7">
        <v>0.16</v>
      </c>
      <c r="K205" s="9">
        <v>0.13639999999999999</v>
      </c>
      <c r="L205" s="9">
        <v>0.4</v>
      </c>
      <c r="M205" s="9">
        <v>0.32840000000000003</v>
      </c>
      <c r="N205" s="9">
        <v>4</v>
      </c>
      <c r="O205" s="9">
        <v>44</v>
      </c>
      <c r="P205" s="9">
        <v>48</v>
      </c>
      <c r="Q205" s="7" t="str">
        <f t="shared" si="6"/>
        <v>SUNDAY</v>
      </c>
      <c r="R205" t="str">
        <f t="shared" si="7"/>
        <v>Clear</v>
      </c>
    </row>
    <row r="206" spans="1:18" x14ac:dyDescent="0.25">
      <c r="A206" s="7">
        <v>205</v>
      </c>
      <c r="B206" s="8">
        <v>40552</v>
      </c>
      <c r="C206" s="7">
        <v>1</v>
      </c>
      <c r="D206" s="7">
        <v>0</v>
      </c>
      <c r="E206" s="7">
        <v>1</v>
      </c>
      <c r="F206" s="7">
        <v>19</v>
      </c>
      <c r="G206" s="7" t="b">
        <v>0</v>
      </c>
      <c r="H206" s="7">
        <v>0</v>
      </c>
      <c r="I206" s="7">
        <v>1</v>
      </c>
      <c r="J206" s="7">
        <v>0.16</v>
      </c>
      <c r="K206" s="9">
        <v>0.13639999999999999</v>
      </c>
      <c r="L206" s="9">
        <v>0.43</v>
      </c>
      <c r="M206" s="9">
        <v>0.32840000000000003</v>
      </c>
      <c r="N206" s="9">
        <v>1</v>
      </c>
      <c r="O206" s="9">
        <v>40</v>
      </c>
      <c r="P206" s="9">
        <v>41</v>
      </c>
      <c r="Q206" s="7" t="str">
        <f t="shared" si="6"/>
        <v>SUNDAY</v>
      </c>
      <c r="R206" t="str">
        <f t="shared" si="7"/>
        <v>Clear</v>
      </c>
    </row>
    <row r="207" spans="1:18" x14ac:dyDescent="0.25">
      <c r="A207" s="7">
        <v>206</v>
      </c>
      <c r="B207" s="8">
        <v>40552</v>
      </c>
      <c r="C207" s="7">
        <v>1</v>
      </c>
      <c r="D207" s="7">
        <v>0</v>
      </c>
      <c r="E207" s="7">
        <v>1</v>
      </c>
      <c r="F207" s="7">
        <v>20</v>
      </c>
      <c r="G207" s="7" t="b">
        <v>0</v>
      </c>
      <c r="H207" s="7">
        <v>0</v>
      </c>
      <c r="I207" s="7">
        <v>1</v>
      </c>
      <c r="J207" s="7">
        <v>0.14000000000000001</v>
      </c>
      <c r="K207" s="9">
        <v>0.1212</v>
      </c>
      <c r="L207" s="9">
        <v>0.46</v>
      </c>
      <c r="M207" s="9">
        <v>0.25369999999999998</v>
      </c>
      <c r="N207" s="9">
        <v>0</v>
      </c>
      <c r="O207" s="9">
        <v>38</v>
      </c>
      <c r="P207" s="9">
        <v>38</v>
      </c>
      <c r="Q207" s="7" t="str">
        <f t="shared" si="6"/>
        <v>SUNDAY</v>
      </c>
      <c r="R207" t="str">
        <f t="shared" si="7"/>
        <v>Clear</v>
      </c>
    </row>
    <row r="208" spans="1:18" x14ac:dyDescent="0.25">
      <c r="A208" s="7">
        <v>207</v>
      </c>
      <c r="B208" s="8">
        <v>40552</v>
      </c>
      <c r="C208" s="7">
        <v>1</v>
      </c>
      <c r="D208" s="7">
        <v>0</v>
      </c>
      <c r="E208" s="7">
        <v>1</v>
      </c>
      <c r="F208" s="7">
        <v>21</v>
      </c>
      <c r="G208" s="7" t="b">
        <v>0</v>
      </c>
      <c r="H208" s="7">
        <v>0</v>
      </c>
      <c r="I208" s="7">
        <v>1</v>
      </c>
      <c r="J208" s="7">
        <v>0.14000000000000001</v>
      </c>
      <c r="K208" s="9">
        <v>0.1061</v>
      </c>
      <c r="L208" s="9">
        <v>0.46</v>
      </c>
      <c r="M208" s="9">
        <v>0.41789999999999999</v>
      </c>
      <c r="N208" s="9">
        <v>1</v>
      </c>
      <c r="O208" s="9">
        <v>19</v>
      </c>
      <c r="P208" s="9">
        <v>20</v>
      </c>
      <c r="Q208" s="7" t="str">
        <f t="shared" si="6"/>
        <v>SUNDAY</v>
      </c>
      <c r="R208" t="str">
        <f t="shared" si="7"/>
        <v>Clear</v>
      </c>
    </row>
    <row r="209" spans="1:18" x14ac:dyDescent="0.25">
      <c r="A209" s="7">
        <v>208</v>
      </c>
      <c r="B209" s="8">
        <v>40552</v>
      </c>
      <c r="C209" s="7">
        <v>1</v>
      </c>
      <c r="D209" s="7">
        <v>0</v>
      </c>
      <c r="E209" s="7">
        <v>1</v>
      </c>
      <c r="F209" s="7">
        <v>22</v>
      </c>
      <c r="G209" s="7" t="b">
        <v>0</v>
      </c>
      <c r="H209" s="7">
        <v>0</v>
      </c>
      <c r="I209" s="7">
        <v>1</v>
      </c>
      <c r="J209" s="7">
        <v>0.14000000000000001</v>
      </c>
      <c r="K209" s="9">
        <v>0.1212</v>
      </c>
      <c r="L209" s="9">
        <v>0.46</v>
      </c>
      <c r="M209" s="9">
        <v>0.29849999999999999</v>
      </c>
      <c r="N209" s="9">
        <v>5</v>
      </c>
      <c r="O209" s="9">
        <v>10</v>
      </c>
      <c r="P209" s="9">
        <v>15</v>
      </c>
      <c r="Q209" s="7" t="str">
        <f t="shared" si="6"/>
        <v>SUNDAY</v>
      </c>
      <c r="R209" t="str">
        <f t="shared" si="7"/>
        <v>Clear</v>
      </c>
    </row>
    <row r="210" spans="1:18" x14ac:dyDescent="0.25">
      <c r="A210" s="7">
        <v>209</v>
      </c>
      <c r="B210" s="8">
        <v>40552</v>
      </c>
      <c r="C210" s="7">
        <v>1</v>
      </c>
      <c r="D210" s="7">
        <v>0</v>
      </c>
      <c r="E210" s="7">
        <v>1</v>
      </c>
      <c r="F210" s="7">
        <v>23</v>
      </c>
      <c r="G210" s="7" t="b">
        <v>0</v>
      </c>
      <c r="H210" s="7">
        <v>0</v>
      </c>
      <c r="I210" s="7">
        <v>1</v>
      </c>
      <c r="J210" s="7">
        <v>0.12</v>
      </c>
      <c r="K210" s="9">
        <v>0.13639999999999999</v>
      </c>
      <c r="L210" s="9">
        <v>0.5</v>
      </c>
      <c r="M210" s="9">
        <v>0.19400000000000001</v>
      </c>
      <c r="N210" s="9">
        <v>0</v>
      </c>
      <c r="O210" s="9">
        <v>6</v>
      </c>
      <c r="P210" s="9">
        <v>6</v>
      </c>
      <c r="Q210" s="7" t="str">
        <f t="shared" si="6"/>
        <v>SUNDAY</v>
      </c>
      <c r="R210" t="str">
        <f t="shared" si="7"/>
        <v>Clear</v>
      </c>
    </row>
    <row r="211" spans="1:18" x14ac:dyDescent="0.25">
      <c r="A211" s="7">
        <v>210</v>
      </c>
      <c r="B211" s="8">
        <v>40553</v>
      </c>
      <c r="C211" s="7">
        <v>1</v>
      </c>
      <c r="D211" s="7">
        <v>0</v>
      </c>
      <c r="E211" s="7">
        <v>1</v>
      </c>
      <c r="F211" s="7">
        <v>0</v>
      </c>
      <c r="G211" s="7" t="b">
        <v>0</v>
      </c>
      <c r="H211" s="7">
        <v>1</v>
      </c>
      <c r="I211" s="7">
        <v>1</v>
      </c>
      <c r="J211" s="7">
        <v>0.12</v>
      </c>
      <c r="K211" s="9">
        <v>0.1212</v>
      </c>
      <c r="L211" s="9">
        <v>0.5</v>
      </c>
      <c r="M211" s="9">
        <v>0.28360000000000002</v>
      </c>
      <c r="N211" s="9">
        <v>2</v>
      </c>
      <c r="O211" s="9">
        <v>3</v>
      </c>
      <c r="P211" s="9">
        <v>5</v>
      </c>
      <c r="Q211" s="7" t="str">
        <f t="shared" si="6"/>
        <v>MONDAY</v>
      </c>
      <c r="R211" t="str">
        <f t="shared" si="7"/>
        <v>Clear</v>
      </c>
    </row>
    <row r="212" spans="1:18" x14ac:dyDescent="0.25">
      <c r="A212" s="7">
        <v>211</v>
      </c>
      <c r="B212" s="8">
        <v>40553</v>
      </c>
      <c r="C212" s="7">
        <v>1</v>
      </c>
      <c r="D212" s="7">
        <v>0</v>
      </c>
      <c r="E212" s="7">
        <v>1</v>
      </c>
      <c r="F212" s="7">
        <v>1</v>
      </c>
      <c r="G212" s="7" t="b">
        <v>0</v>
      </c>
      <c r="H212" s="7">
        <v>1</v>
      </c>
      <c r="I212" s="7">
        <v>1</v>
      </c>
      <c r="J212" s="7">
        <v>0.12</v>
      </c>
      <c r="K212" s="9">
        <v>0.1212</v>
      </c>
      <c r="L212" s="9">
        <v>0.5</v>
      </c>
      <c r="M212" s="9">
        <v>0.28360000000000002</v>
      </c>
      <c r="N212" s="9">
        <v>1</v>
      </c>
      <c r="O212" s="9">
        <v>0</v>
      </c>
      <c r="P212" s="9">
        <v>1</v>
      </c>
      <c r="Q212" s="7" t="str">
        <f t="shared" si="6"/>
        <v>MONDAY</v>
      </c>
      <c r="R212" t="str">
        <f t="shared" si="7"/>
        <v>Clear</v>
      </c>
    </row>
    <row r="213" spans="1:18" x14ac:dyDescent="0.25">
      <c r="A213" s="7">
        <v>212</v>
      </c>
      <c r="B213" s="8">
        <v>40553</v>
      </c>
      <c r="C213" s="7">
        <v>1</v>
      </c>
      <c r="D213" s="7">
        <v>0</v>
      </c>
      <c r="E213" s="7">
        <v>1</v>
      </c>
      <c r="F213" s="7">
        <v>2</v>
      </c>
      <c r="G213" s="7" t="b">
        <v>0</v>
      </c>
      <c r="H213" s="7">
        <v>1</v>
      </c>
      <c r="I213" s="7">
        <v>1</v>
      </c>
      <c r="J213" s="7">
        <v>0.12</v>
      </c>
      <c r="K213" s="9">
        <v>0.1212</v>
      </c>
      <c r="L213" s="9">
        <v>0.5</v>
      </c>
      <c r="M213" s="9">
        <v>0.22389999999999999</v>
      </c>
      <c r="N213" s="9">
        <v>0</v>
      </c>
      <c r="O213" s="9">
        <v>3</v>
      </c>
      <c r="P213" s="9">
        <v>3</v>
      </c>
      <c r="Q213" s="7" t="str">
        <f t="shared" si="6"/>
        <v>MONDAY</v>
      </c>
      <c r="R213" t="str">
        <f t="shared" si="7"/>
        <v>Clear</v>
      </c>
    </row>
    <row r="214" spans="1:18" x14ac:dyDescent="0.25">
      <c r="A214" s="7">
        <v>213</v>
      </c>
      <c r="B214" s="8">
        <v>40553</v>
      </c>
      <c r="C214" s="7">
        <v>1</v>
      </c>
      <c r="D214" s="7">
        <v>0</v>
      </c>
      <c r="E214" s="7">
        <v>1</v>
      </c>
      <c r="F214" s="7">
        <v>3</v>
      </c>
      <c r="G214" s="7" t="b">
        <v>0</v>
      </c>
      <c r="H214" s="7">
        <v>1</v>
      </c>
      <c r="I214" s="7">
        <v>1</v>
      </c>
      <c r="J214" s="7">
        <v>0.12</v>
      </c>
      <c r="K214" s="9">
        <v>0.1212</v>
      </c>
      <c r="L214" s="9">
        <v>0.5</v>
      </c>
      <c r="M214" s="9">
        <v>0.22389999999999999</v>
      </c>
      <c r="N214" s="9">
        <v>0</v>
      </c>
      <c r="O214" s="9">
        <v>1</v>
      </c>
      <c r="P214" s="9">
        <v>1</v>
      </c>
      <c r="Q214" s="7" t="str">
        <f t="shared" si="6"/>
        <v>MONDAY</v>
      </c>
      <c r="R214" t="str">
        <f t="shared" si="7"/>
        <v>Clear</v>
      </c>
    </row>
    <row r="215" spans="1:18" x14ac:dyDescent="0.25">
      <c r="A215" s="7">
        <v>214</v>
      </c>
      <c r="B215" s="8">
        <v>40553</v>
      </c>
      <c r="C215" s="7">
        <v>1</v>
      </c>
      <c r="D215" s="7">
        <v>0</v>
      </c>
      <c r="E215" s="7">
        <v>1</v>
      </c>
      <c r="F215" s="7">
        <v>4</v>
      </c>
      <c r="G215" s="7" t="b">
        <v>0</v>
      </c>
      <c r="H215" s="7">
        <v>1</v>
      </c>
      <c r="I215" s="7">
        <v>1</v>
      </c>
      <c r="J215" s="7">
        <v>0.1</v>
      </c>
      <c r="K215" s="9">
        <v>0.1212</v>
      </c>
      <c r="L215" s="9">
        <v>0.54</v>
      </c>
      <c r="M215" s="9">
        <v>0.1343</v>
      </c>
      <c r="N215" s="9">
        <v>1</v>
      </c>
      <c r="O215" s="9">
        <v>2</v>
      </c>
      <c r="P215" s="9">
        <v>3</v>
      </c>
      <c r="Q215" s="7" t="str">
        <f t="shared" si="6"/>
        <v>MONDAY</v>
      </c>
      <c r="R215" t="str">
        <f t="shared" si="7"/>
        <v>Clear</v>
      </c>
    </row>
    <row r="216" spans="1:18" x14ac:dyDescent="0.25">
      <c r="A216" s="7">
        <v>215</v>
      </c>
      <c r="B216" s="8">
        <v>40553</v>
      </c>
      <c r="C216" s="7">
        <v>1</v>
      </c>
      <c r="D216" s="7">
        <v>0</v>
      </c>
      <c r="E216" s="7">
        <v>1</v>
      </c>
      <c r="F216" s="7">
        <v>5</v>
      </c>
      <c r="G216" s="7" t="b">
        <v>0</v>
      </c>
      <c r="H216" s="7">
        <v>1</v>
      </c>
      <c r="I216" s="7">
        <v>1</v>
      </c>
      <c r="J216" s="7">
        <v>0.1</v>
      </c>
      <c r="K216" s="9">
        <v>0.1061</v>
      </c>
      <c r="L216" s="9">
        <v>0.54</v>
      </c>
      <c r="M216" s="9">
        <v>0.25369999999999998</v>
      </c>
      <c r="N216" s="9">
        <v>0</v>
      </c>
      <c r="O216" s="9">
        <v>3</v>
      </c>
      <c r="P216" s="9">
        <v>3</v>
      </c>
      <c r="Q216" s="7" t="str">
        <f t="shared" si="6"/>
        <v>MONDAY</v>
      </c>
      <c r="R216" t="str">
        <f t="shared" si="7"/>
        <v>Clear</v>
      </c>
    </row>
    <row r="217" spans="1:18" x14ac:dyDescent="0.25">
      <c r="A217" s="7">
        <v>216</v>
      </c>
      <c r="B217" s="8">
        <v>40553</v>
      </c>
      <c r="C217" s="7">
        <v>1</v>
      </c>
      <c r="D217" s="7">
        <v>0</v>
      </c>
      <c r="E217" s="7">
        <v>1</v>
      </c>
      <c r="F217" s="7">
        <v>6</v>
      </c>
      <c r="G217" s="7" t="b">
        <v>0</v>
      </c>
      <c r="H217" s="7">
        <v>1</v>
      </c>
      <c r="I217" s="7">
        <v>1</v>
      </c>
      <c r="J217" s="7">
        <v>0.12</v>
      </c>
      <c r="K217" s="9">
        <v>0.1212</v>
      </c>
      <c r="L217" s="9">
        <v>0.5</v>
      </c>
      <c r="M217" s="9">
        <v>0.28360000000000002</v>
      </c>
      <c r="N217" s="9">
        <v>0</v>
      </c>
      <c r="O217" s="9">
        <v>31</v>
      </c>
      <c r="P217" s="9">
        <v>31</v>
      </c>
      <c r="Q217" s="7" t="str">
        <f t="shared" si="6"/>
        <v>MONDAY</v>
      </c>
      <c r="R217" t="str">
        <f t="shared" si="7"/>
        <v>Clear</v>
      </c>
    </row>
    <row r="218" spans="1:18" x14ac:dyDescent="0.25">
      <c r="A218" s="7">
        <v>217</v>
      </c>
      <c r="B218" s="8">
        <v>40553</v>
      </c>
      <c r="C218" s="7">
        <v>1</v>
      </c>
      <c r="D218" s="7">
        <v>0</v>
      </c>
      <c r="E218" s="7">
        <v>1</v>
      </c>
      <c r="F218" s="7">
        <v>7</v>
      </c>
      <c r="G218" s="7" t="b">
        <v>0</v>
      </c>
      <c r="H218" s="7">
        <v>1</v>
      </c>
      <c r="I218" s="7">
        <v>1</v>
      </c>
      <c r="J218" s="7">
        <v>0.12</v>
      </c>
      <c r="K218" s="9">
        <v>0.1212</v>
      </c>
      <c r="L218" s="9">
        <v>0.5</v>
      </c>
      <c r="M218" s="9">
        <v>0.22389999999999999</v>
      </c>
      <c r="N218" s="9">
        <v>2</v>
      </c>
      <c r="O218" s="9">
        <v>75</v>
      </c>
      <c r="P218" s="9">
        <v>77</v>
      </c>
      <c r="Q218" s="7" t="str">
        <f t="shared" si="6"/>
        <v>MONDAY</v>
      </c>
      <c r="R218" t="str">
        <f t="shared" si="7"/>
        <v>Clear</v>
      </c>
    </row>
    <row r="219" spans="1:18" x14ac:dyDescent="0.25">
      <c r="A219" s="7">
        <v>218</v>
      </c>
      <c r="B219" s="8">
        <v>40553</v>
      </c>
      <c r="C219" s="7">
        <v>1</v>
      </c>
      <c r="D219" s="7">
        <v>0</v>
      </c>
      <c r="E219" s="7">
        <v>1</v>
      </c>
      <c r="F219" s="7">
        <v>8</v>
      </c>
      <c r="G219" s="7" t="b">
        <v>0</v>
      </c>
      <c r="H219" s="7">
        <v>1</v>
      </c>
      <c r="I219" s="7">
        <v>2</v>
      </c>
      <c r="J219" s="7">
        <v>0.12</v>
      </c>
      <c r="K219" s="9">
        <v>0.1212</v>
      </c>
      <c r="L219" s="9">
        <v>0.5</v>
      </c>
      <c r="M219" s="9">
        <v>0.28360000000000002</v>
      </c>
      <c r="N219" s="9">
        <v>4</v>
      </c>
      <c r="O219" s="9">
        <v>184</v>
      </c>
      <c r="P219" s="9">
        <v>188</v>
      </c>
      <c r="Q219" s="7" t="str">
        <f t="shared" si="6"/>
        <v>MONDAY</v>
      </c>
      <c r="R219" t="str">
        <f t="shared" si="7"/>
        <v>Mist</v>
      </c>
    </row>
    <row r="220" spans="1:18" x14ac:dyDescent="0.25">
      <c r="A220" s="7">
        <v>219</v>
      </c>
      <c r="B220" s="8">
        <v>40553</v>
      </c>
      <c r="C220" s="7">
        <v>1</v>
      </c>
      <c r="D220" s="7">
        <v>0</v>
      </c>
      <c r="E220" s="7">
        <v>1</v>
      </c>
      <c r="F220" s="7">
        <v>9</v>
      </c>
      <c r="G220" s="7" t="b">
        <v>0</v>
      </c>
      <c r="H220" s="7">
        <v>1</v>
      </c>
      <c r="I220" s="7">
        <v>2</v>
      </c>
      <c r="J220" s="7">
        <v>0.14000000000000001</v>
      </c>
      <c r="K220" s="9">
        <v>0.1212</v>
      </c>
      <c r="L220" s="9">
        <v>0.5</v>
      </c>
      <c r="M220" s="9">
        <v>0.25369999999999998</v>
      </c>
      <c r="N220" s="9">
        <v>2</v>
      </c>
      <c r="O220" s="9">
        <v>92</v>
      </c>
      <c r="P220" s="9">
        <v>94</v>
      </c>
      <c r="Q220" s="7" t="str">
        <f t="shared" si="6"/>
        <v>MONDAY</v>
      </c>
      <c r="R220" t="str">
        <f t="shared" si="7"/>
        <v>Mist</v>
      </c>
    </row>
    <row r="221" spans="1:18" x14ac:dyDescent="0.25">
      <c r="A221" s="7">
        <v>220</v>
      </c>
      <c r="B221" s="8">
        <v>40553</v>
      </c>
      <c r="C221" s="7">
        <v>1</v>
      </c>
      <c r="D221" s="7">
        <v>0</v>
      </c>
      <c r="E221" s="7">
        <v>1</v>
      </c>
      <c r="F221" s="7">
        <v>10</v>
      </c>
      <c r="G221" s="7" t="b">
        <v>0</v>
      </c>
      <c r="H221" s="7">
        <v>1</v>
      </c>
      <c r="I221" s="7">
        <v>2</v>
      </c>
      <c r="J221" s="7">
        <v>0.14000000000000001</v>
      </c>
      <c r="K221" s="9">
        <v>0.1212</v>
      </c>
      <c r="L221" s="9">
        <v>0.5</v>
      </c>
      <c r="M221" s="9">
        <v>0.29849999999999999</v>
      </c>
      <c r="N221" s="9">
        <v>0</v>
      </c>
      <c r="O221" s="9">
        <v>31</v>
      </c>
      <c r="P221" s="9">
        <v>31</v>
      </c>
      <c r="Q221" s="7" t="str">
        <f t="shared" si="6"/>
        <v>MONDAY</v>
      </c>
      <c r="R221" t="str">
        <f t="shared" si="7"/>
        <v>Mist</v>
      </c>
    </row>
    <row r="222" spans="1:18" x14ac:dyDescent="0.25">
      <c r="A222" s="7">
        <v>221</v>
      </c>
      <c r="B222" s="8">
        <v>40553</v>
      </c>
      <c r="C222" s="7">
        <v>1</v>
      </c>
      <c r="D222" s="7">
        <v>0</v>
      </c>
      <c r="E222" s="7">
        <v>1</v>
      </c>
      <c r="F222" s="7">
        <v>11</v>
      </c>
      <c r="G222" s="7" t="b">
        <v>0</v>
      </c>
      <c r="H222" s="7">
        <v>1</v>
      </c>
      <c r="I222" s="7">
        <v>2</v>
      </c>
      <c r="J222" s="7">
        <v>0.16</v>
      </c>
      <c r="K222" s="9">
        <v>0.13639999999999999</v>
      </c>
      <c r="L222" s="9">
        <v>0.47</v>
      </c>
      <c r="M222" s="9">
        <v>0.28360000000000002</v>
      </c>
      <c r="N222" s="9">
        <v>2</v>
      </c>
      <c r="O222" s="9">
        <v>28</v>
      </c>
      <c r="P222" s="9">
        <v>30</v>
      </c>
      <c r="Q222" s="7" t="str">
        <f t="shared" si="6"/>
        <v>MONDAY</v>
      </c>
      <c r="R222" t="str">
        <f t="shared" si="7"/>
        <v>Mist</v>
      </c>
    </row>
    <row r="223" spans="1:18" x14ac:dyDescent="0.25">
      <c r="A223" s="7">
        <v>222</v>
      </c>
      <c r="B223" s="8">
        <v>40553</v>
      </c>
      <c r="C223" s="7">
        <v>1</v>
      </c>
      <c r="D223" s="7">
        <v>0</v>
      </c>
      <c r="E223" s="7">
        <v>1</v>
      </c>
      <c r="F223" s="7">
        <v>12</v>
      </c>
      <c r="G223" s="7" t="b">
        <v>0</v>
      </c>
      <c r="H223" s="7">
        <v>1</v>
      </c>
      <c r="I223" s="7">
        <v>2</v>
      </c>
      <c r="J223" s="7">
        <v>0.2</v>
      </c>
      <c r="K223" s="9">
        <v>0.18179999999999999</v>
      </c>
      <c r="L223" s="9">
        <v>0.4</v>
      </c>
      <c r="M223" s="9">
        <v>0.28360000000000002</v>
      </c>
      <c r="N223" s="9">
        <v>5</v>
      </c>
      <c r="O223" s="9">
        <v>47</v>
      </c>
      <c r="P223" s="9">
        <v>52</v>
      </c>
      <c r="Q223" s="7" t="str">
        <f t="shared" si="6"/>
        <v>MONDAY</v>
      </c>
      <c r="R223" t="str">
        <f t="shared" si="7"/>
        <v>Mist</v>
      </c>
    </row>
    <row r="224" spans="1:18" x14ac:dyDescent="0.25">
      <c r="A224" s="7">
        <v>223</v>
      </c>
      <c r="B224" s="8">
        <v>40553</v>
      </c>
      <c r="C224" s="7">
        <v>1</v>
      </c>
      <c r="D224" s="7">
        <v>0</v>
      </c>
      <c r="E224" s="7">
        <v>1</v>
      </c>
      <c r="F224" s="7">
        <v>13</v>
      </c>
      <c r="G224" s="7" t="b">
        <v>0</v>
      </c>
      <c r="H224" s="7">
        <v>1</v>
      </c>
      <c r="I224" s="7">
        <v>2</v>
      </c>
      <c r="J224" s="7">
        <v>0.2</v>
      </c>
      <c r="K224" s="9">
        <v>0.18179999999999999</v>
      </c>
      <c r="L224" s="9">
        <v>0.4</v>
      </c>
      <c r="M224" s="9">
        <v>0.28360000000000002</v>
      </c>
      <c r="N224" s="9">
        <v>4</v>
      </c>
      <c r="O224" s="9">
        <v>50</v>
      </c>
      <c r="P224" s="9">
        <v>54</v>
      </c>
      <c r="Q224" s="7" t="str">
        <f t="shared" si="6"/>
        <v>MONDAY</v>
      </c>
      <c r="R224" t="str">
        <f t="shared" si="7"/>
        <v>Mist</v>
      </c>
    </row>
    <row r="225" spans="1:18" x14ac:dyDescent="0.25">
      <c r="A225" s="7">
        <v>224</v>
      </c>
      <c r="B225" s="8">
        <v>40553</v>
      </c>
      <c r="C225" s="7">
        <v>1</v>
      </c>
      <c r="D225" s="7">
        <v>0</v>
      </c>
      <c r="E225" s="7">
        <v>1</v>
      </c>
      <c r="F225" s="7">
        <v>14</v>
      </c>
      <c r="G225" s="7" t="b">
        <v>0</v>
      </c>
      <c r="H225" s="7">
        <v>1</v>
      </c>
      <c r="I225" s="7">
        <v>2</v>
      </c>
      <c r="J225" s="7">
        <v>0.2</v>
      </c>
      <c r="K225" s="9">
        <v>0.19700000000000001</v>
      </c>
      <c r="L225" s="9">
        <v>0.4</v>
      </c>
      <c r="M225" s="9">
        <v>0.22389999999999999</v>
      </c>
      <c r="N225" s="9">
        <v>0</v>
      </c>
      <c r="O225" s="9">
        <v>47</v>
      </c>
      <c r="P225" s="9">
        <v>47</v>
      </c>
      <c r="Q225" s="7" t="str">
        <f t="shared" si="6"/>
        <v>MONDAY</v>
      </c>
      <c r="R225" t="str">
        <f t="shared" si="7"/>
        <v>Mist</v>
      </c>
    </row>
    <row r="226" spans="1:18" x14ac:dyDescent="0.25">
      <c r="A226" s="7">
        <v>225</v>
      </c>
      <c r="B226" s="8">
        <v>40553</v>
      </c>
      <c r="C226" s="7">
        <v>1</v>
      </c>
      <c r="D226" s="7">
        <v>0</v>
      </c>
      <c r="E226" s="7">
        <v>1</v>
      </c>
      <c r="F226" s="7">
        <v>15</v>
      </c>
      <c r="G226" s="7" t="b">
        <v>0</v>
      </c>
      <c r="H226" s="7">
        <v>1</v>
      </c>
      <c r="I226" s="7">
        <v>2</v>
      </c>
      <c r="J226" s="7">
        <v>0.2</v>
      </c>
      <c r="K226" s="9">
        <v>0.19700000000000001</v>
      </c>
      <c r="L226" s="9">
        <v>0.4</v>
      </c>
      <c r="M226" s="9">
        <v>0.22389999999999999</v>
      </c>
      <c r="N226" s="9">
        <v>2</v>
      </c>
      <c r="O226" s="9">
        <v>43</v>
      </c>
      <c r="P226" s="9">
        <v>45</v>
      </c>
      <c r="Q226" s="7" t="str">
        <f t="shared" si="6"/>
        <v>MONDAY</v>
      </c>
      <c r="R226" t="str">
        <f t="shared" si="7"/>
        <v>Mist</v>
      </c>
    </row>
    <row r="227" spans="1:18" x14ac:dyDescent="0.25">
      <c r="A227" s="7">
        <v>226</v>
      </c>
      <c r="B227" s="8">
        <v>40553</v>
      </c>
      <c r="C227" s="7">
        <v>1</v>
      </c>
      <c r="D227" s="7">
        <v>0</v>
      </c>
      <c r="E227" s="7">
        <v>1</v>
      </c>
      <c r="F227" s="7">
        <v>16</v>
      </c>
      <c r="G227" s="7" t="b">
        <v>0</v>
      </c>
      <c r="H227" s="7">
        <v>1</v>
      </c>
      <c r="I227" s="7">
        <v>1</v>
      </c>
      <c r="J227" s="7">
        <v>0.2</v>
      </c>
      <c r="K227" s="9">
        <v>0.21210000000000001</v>
      </c>
      <c r="L227" s="9">
        <v>0.4</v>
      </c>
      <c r="M227" s="9">
        <v>0.1343</v>
      </c>
      <c r="N227" s="9">
        <v>4</v>
      </c>
      <c r="O227" s="9">
        <v>70</v>
      </c>
      <c r="P227" s="9">
        <v>74</v>
      </c>
      <c r="Q227" s="7" t="str">
        <f t="shared" si="6"/>
        <v>MONDAY</v>
      </c>
      <c r="R227" t="str">
        <f t="shared" si="7"/>
        <v>Clear</v>
      </c>
    </row>
    <row r="228" spans="1:18" x14ac:dyDescent="0.25">
      <c r="A228" s="7">
        <v>227</v>
      </c>
      <c r="B228" s="8">
        <v>40553</v>
      </c>
      <c r="C228" s="7">
        <v>1</v>
      </c>
      <c r="D228" s="7">
        <v>0</v>
      </c>
      <c r="E228" s="7">
        <v>1</v>
      </c>
      <c r="F228" s="7">
        <v>17</v>
      </c>
      <c r="G228" s="7" t="b">
        <v>0</v>
      </c>
      <c r="H228" s="7">
        <v>1</v>
      </c>
      <c r="I228" s="7">
        <v>1</v>
      </c>
      <c r="J228" s="7">
        <v>0.2</v>
      </c>
      <c r="K228" s="9">
        <v>0.2273</v>
      </c>
      <c r="L228" s="9">
        <v>0.4</v>
      </c>
      <c r="M228" s="9">
        <v>0.1045</v>
      </c>
      <c r="N228" s="9">
        <v>4</v>
      </c>
      <c r="O228" s="9">
        <v>174</v>
      </c>
      <c r="P228" s="9">
        <v>178</v>
      </c>
      <c r="Q228" s="7" t="str">
        <f t="shared" si="6"/>
        <v>MONDAY</v>
      </c>
      <c r="R228" t="str">
        <f t="shared" si="7"/>
        <v>Clear</v>
      </c>
    </row>
    <row r="229" spans="1:18" x14ac:dyDescent="0.25">
      <c r="A229" s="7">
        <v>228</v>
      </c>
      <c r="B229" s="8">
        <v>40553</v>
      </c>
      <c r="C229" s="7">
        <v>1</v>
      </c>
      <c r="D229" s="7">
        <v>0</v>
      </c>
      <c r="E229" s="7">
        <v>1</v>
      </c>
      <c r="F229" s="7">
        <v>18</v>
      </c>
      <c r="G229" s="7" t="b">
        <v>0</v>
      </c>
      <c r="H229" s="7">
        <v>1</v>
      </c>
      <c r="I229" s="7">
        <v>1</v>
      </c>
      <c r="J229" s="7">
        <v>0.2</v>
      </c>
      <c r="K229" s="9">
        <v>0.19700000000000001</v>
      </c>
      <c r="L229" s="9">
        <v>0.4</v>
      </c>
      <c r="M229" s="9">
        <v>0.22389999999999999</v>
      </c>
      <c r="N229" s="9">
        <v>1</v>
      </c>
      <c r="O229" s="9">
        <v>154</v>
      </c>
      <c r="P229" s="9">
        <v>155</v>
      </c>
      <c r="Q229" s="7" t="str">
        <f t="shared" si="6"/>
        <v>MONDAY</v>
      </c>
      <c r="R229" t="str">
        <f t="shared" si="7"/>
        <v>Clear</v>
      </c>
    </row>
    <row r="230" spans="1:18" x14ac:dyDescent="0.25">
      <c r="A230" s="7">
        <v>229</v>
      </c>
      <c r="B230" s="8">
        <v>40553</v>
      </c>
      <c r="C230" s="7">
        <v>1</v>
      </c>
      <c r="D230" s="7">
        <v>0</v>
      </c>
      <c r="E230" s="7">
        <v>1</v>
      </c>
      <c r="F230" s="7">
        <v>19</v>
      </c>
      <c r="G230" s="7" t="b">
        <v>0</v>
      </c>
      <c r="H230" s="7">
        <v>1</v>
      </c>
      <c r="I230" s="7">
        <v>1</v>
      </c>
      <c r="J230" s="7">
        <v>0.16</v>
      </c>
      <c r="K230" s="9">
        <v>0.16669999999999999</v>
      </c>
      <c r="L230" s="9">
        <v>0.47</v>
      </c>
      <c r="M230" s="9">
        <v>0.16420000000000001</v>
      </c>
      <c r="N230" s="9">
        <v>3</v>
      </c>
      <c r="O230" s="9">
        <v>92</v>
      </c>
      <c r="P230" s="9">
        <v>95</v>
      </c>
      <c r="Q230" s="7" t="str">
        <f t="shared" si="6"/>
        <v>MONDAY</v>
      </c>
      <c r="R230" t="str">
        <f t="shared" si="7"/>
        <v>Clear</v>
      </c>
    </row>
    <row r="231" spans="1:18" x14ac:dyDescent="0.25">
      <c r="A231" s="7">
        <v>230</v>
      </c>
      <c r="B231" s="8">
        <v>40553</v>
      </c>
      <c r="C231" s="7">
        <v>1</v>
      </c>
      <c r="D231" s="7">
        <v>0</v>
      </c>
      <c r="E231" s="7">
        <v>1</v>
      </c>
      <c r="F231" s="7">
        <v>20</v>
      </c>
      <c r="G231" s="7" t="b">
        <v>0</v>
      </c>
      <c r="H231" s="7">
        <v>1</v>
      </c>
      <c r="I231" s="7">
        <v>1</v>
      </c>
      <c r="J231" s="7">
        <v>0.16</v>
      </c>
      <c r="K231" s="9">
        <v>0.16669999999999999</v>
      </c>
      <c r="L231" s="9">
        <v>0.5</v>
      </c>
      <c r="M231" s="9">
        <v>0.16420000000000001</v>
      </c>
      <c r="N231" s="9">
        <v>1</v>
      </c>
      <c r="O231" s="9">
        <v>73</v>
      </c>
      <c r="P231" s="9">
        <v>74</v>
      </c>
      <c r="Q231" s="7" t="str">
        <f t="shared" si="6"/>
        <v>MONDAY</v>
      </c>
      <c r="R231" t="str">
        <f t="shared" si="7"/>
        <v>Clear</v>
      </c>
    </row>
    <row r="232" spans="1:18" x14ac:dyDescent="0.25">
      <c r="A232" s="7">
        <v>231</v>
      </c>
      <c r="B232" s="8">
        <v>40553</v>
      </c>
      <c r="C232" s="7">
        <v>1</v>
      </c>
      <c r="D232" s="7">
        <v>0</v>
      </c>
      <c r="E232" s="7">
        <v>1</v>
      </c>
      <c r="F232" s="7">
        <v>21</v>
      </c>
      <c r="G232" s="7" t="b">
        <v>0</v>
      </c>
      <c r="H232" s="7">
        <v>1</v>
      </c>
      <c r="I232" s="7">
        <v>1</v>
      </c>
      <c r="J232" s="7">
        <v>0.14000000000000001</v>
      </c>
      <c r="K232" s="9">
        <v>0.13639999999999999</v>
      </c>
      <c r="L232" s="9">
        <v>0.59</v>
      </c>
      <c r="M232" s="9">
        <v>0.19400000000000001</v>
      </c>
      <c r="N232" s="9">
        <v>1</v>
      </c>
      <c r="O232" s="9">
        <v>37</v>
      </c>
      <c r="P232" s="9">
        <v>38</v>
      </c>
      <c r="Q232" s="7" t="str">
        <f t="shared" si="6"/>
        <v>MONDAY</v>
      </c>
      <c r="R232" t="str">
        <f t="shared" si="7"/>
        <v>Clear</v>
      </c>
    </row>
    <row r="233" spans="1:18" x14ac:dyDescent="0.25">
      <c r="A233" s="7">
        <v>232</v>
      </c>
      <c r="B233" s="8">
        <v>40553</v>
      </c>
      <c r="C233" s="7">
        <v>1</v>
      </c>
      <c r="D233" s="7">
        <v>0</v>
      </c>
      <c r="E233" s="7">
        <v>1</v>
      </c>
      <c r="F233" s="7">
        <v>22</v>
      </c>
      <c r="G233" s="7" t="b">
        <v>0</v>
      </c>
      <c r="H233" s="7">
        <v>1</v>
      </c>
      <c r="I233" s="7">
        <v>1</v>
      </c>
      <c r="J233" s="7">
        <v>0.14000000000000001</v>
      </c>
      <c r="K233" s="9">
        <v>0.1515</v>
      </c>
      <c r="L233" s="9">
        <v>0.59</v>
      </c>
      <c r="M233" s="9">
        <v>0.16420000000000001</v>
      </c>
      <c r="N233" s="9">
        <v>2</v>
      </c>
      <c r="O233" s="9">
        <v>22</v>
      </c>
      <c r="P233" s="9">
        <v>24</v>
      </c>
      <c r="Q233" s="7" t="str">
        <f t="shared" si="6"/>
        <v>MONDAY</v>
      </c>
      <c r="R233" t="str">
        <f t="shared" si="7"/>
        <v>Clear</v>
      </c>
    </row>
    <row r="234" spans="1:18" x14ac:dyDescent="0.25">
      <c r="A234" s="7">
        <v>233</v>
      </c>
      <c r="B234" s="8">
        <v>40553</v>
      </c>
      <c r="C234" s="7">
        <v>1</v>
      </c>
      <c r="D234" s="7">
        <v>0</v>
      </c>
      <c r="E234" s="7">
        <v>1</v>
      </c>
      <c r="F234" s="7">
        <v>23</v>
      </c>
      <c r="G234" s="7" t="b">
        <v>0</v>
      </c>
      <c r="H234" s="7">
        <v>1</v>
      </c>
      <c r="I234" s="7">
        <v>1</v>
      </c>
      <c r="J234" s="7">
        <v>0.14000000000000001</v>
      </c>
      <c r="K234" s="9">
        <v>0.1515</v>
      </c>
      <c r="L234" s="9">
        <v>0.59</v>
      </c>
      <c r="M234" s="9">
        <v>0.16420000000000001</v>
      </c>
      <c r="N234" s="9">
        <v>0</v>
      </c>
      <c r="O234" s="9">
        <v>18</v>
      </c>
      <c r="P234" s="9">
        <v>18</v>
      </c>
      <c r="Q234" s="7" t="str">
        <f t="shared" si="6"/>
        <v>MONDAY</v>
      </c>
      <c r="R234" t="str">
        <f t="shared" si="7"/>
        <v>Clear</v>
      </c>
    </row>
    <row r="235" spans="1:18" x14ac:dyDescent="0.25">
      <c r="A235" s="7">
        <v>234</v>
      </c>
      <c r="B235" s="8">
        <v>40554</v>
      </c>
      <c r="C235" s="7">
        <v>1</v>
      </c>
      <c r="D235" s="7">
        <v>0</v>
      </c>
      <c r="E235" s="7">
        <v>1</v>
      </c>
      <c r="F235" s="7">
        <v>0</v>
      </c>
      <c r="G235" s="7" t="b">
        <v>0</v>
      </c>
      <c r="H235" s="7">
        <v>2</v>
      </c>
      <c r="I235" s="7">
        <v>1</v>
      </c>
      <c r="J235" s="7">
        <v>0.14000000000000001</v>
      </c>
      <c r="K235" s="9">
        <v>0.16669999999999999</v>
      </c>
      <c r="L235" s="9">
        <v>0.59</v>
      </c>
      <c r="M235" s="9">
        <v>0.1045</v>
      </c>
      <c r="N235" s="9">
        <v>2</v>
      </c>
      <c r="O235" s="9">
        <v>10</v>
      </c>
      <c r="P235" s="9">
        <v>12</v>
      </c>
      <c r="Q235" s="7" t="str">
        <f t="shared" si="6"/>
        <v>TUESDAY</v>
      </c>
      <c r="R235" t="str">
        <f t="shared" si="7"/>
        <v>Clear</v>
      </c>
    </row>
    <row r="236" spans="1:18" x14ac:dyDescent="0.25">
      <c r="A236" s="7">
        <v>235</v>
      </c>
      <c r="B236" s="8">
        <v>40554</v>
      </c>
      <c r="C236" s="7">
        <v>1</v>
      </c>
      <c r="D236" s="7">
        <v>0</v>
      </c>
      <c r="E236" s="7">
        <v>1</v>
      </c>
      <c r="F236" s="7">
        <v>1</v>
      </c>
      <c r="G236" s="7" t="b">
        <v>0</v>
      </c>
      <c r="H236" s="7">
        <v>2</v>
      </c>
      <c r="I236" s="7">
        <v>1</v>
      </c>
      <c r="J236" s="7">
        <v>0.14000000000000001</v>
      </c>
      <c r="K236" s="9">
        <v>0.1515</v>
      </c>
      <c r="L236" s="9">
        <v>0.59</v>
      </c>
      <c r="M236" s="9">
        <v>0.16420000000000001</v>
      </c>
      <c r="N236" s="9">
        <v>0</v>
      </c>
      <c r="O236" s="9">
        <v>3</v>
      </c>
      <c r="P236" s="9">
        <v>3</v>
      </c>
      <c r="Q236" s="7" t="str">
        <f t="shared" si="6"/>
        <v>TUESDAY</v>
      </c>
      <c r="R236" t="str">
        <f t="shared" si="7"/>
        <v>Clear</v>
      </c>
    </row>
    <row r="237" spans="1:18" x14ac:dyDescent="0.25">
      <c r="A237" s="7">
        <v>236</v>
      </c>
      <c r="B237" s="8">
        <v>40554</v>
      </c>
      <c r="C237" s="7">
        <v>1</v>
      </c>
      <c r="D237" s="7">
        <v>0</v>
      </c>
      <c r="E237" s="7">
        <v>1</v>
      </c>
      <c r="F237" s="7">
        <v>2</v>
      </c>
      <c r="G237" s="7" t="b">
        <v>0</v>
      </c>
      <c r="H237" s="7">
        <v>2</v>
      </c>
      <c r="I237" s="7">
        <v>2</v>
      </c>
      <c r="J237" s="7">
        <v>0.16</v>
      </c>
      <c r="K237" s="9">
        <v>0.1515</v>
      </c>
      <c r="L237" s="9">
        <v>0.55000000000000004</v>
      </c>
      <c r="M237" s="9">
        <v>0.19400000000000001</v>
      </c>
      <c r="N237" s="9">
        <v>0</v>
      </c>
      <c r="O237" s="9">
        <v>3</v>
      </c>
      <c r="P237" s="9">
        <v>3</v>
      </c>
      <c r="Q237" s="7" t="str">
        <f t="shared" si="6"/>
        <v>TUESDAY</v>
      </c>
      <c r="R237" t="str">
        <f t="shared" si="7"/>
        <v>Mist</v>
      </c>
    </row>
    <row r="238" spans="1:18" x14ac:dyDescent="0.25">
      <c r="A238" s="7">
        <v>237</v>
      </c>
      <c r="B238" s="8">
        <v>40554</v>
      </c>
      <c r="C238" s="7">
        <v>1</v>
      </c>
      <c r="D238" s="7">
        <v>0</v>
      </c>
      <c r="E238" s="7">
        <v>1</v>
      </c>
      <c r="F238" s="7">
        <v>5</v>
      </c>
      <c r="G238" s="7" t="b">
        <v>0</v>
      </c>
      <c r="H238" s="7">
        <v>2</v>
      </c>
      <c r="I238" s="7">
        <v>2</v>
      </c>
      <c r="J238" s="7">
        <v>0.16</v>
      </c>
      <c r="K238" s="9">
        <v>0.18179999999999999</v>
      </c>
      <c r="L238" s="9">
        <v>0.55000000000000004</v>
      </c>
      <c r="M238" s="9">
        <v>0.1343</v>
      </c>
      <c r="N238" s="9">
        <v>0</v>
      </c>
      <c r="O238" s="9">
        <v>6</v>
      </c>
      <c r="P238" s="9">
        <v>6</v>
      </c>
      <c r="Q238" s="7" t="str">
        <f t="shared" si="6"/>
        <v>TUESDAY</v>
      </c>
      <c r="R238" t="str">
        <f t="shared" si="7"/>
        <v>Mist</v>
      </c>
    </row>
    <row r="239" spans="1:18" x14ac:dyDescent="0.25">
      <c r="A239" s="7">
        <v>238</v>
      </c>
      <c r="B239" s="8">
        <v>40554</v>
      </c>
      <c r="C239" s="7">
        <v>1</v>
      </c>
      <c r="D239" s="7">
        <v>0</v>
      </c>
      <c r="E239" s="7">
        <v>1</v>
      </c>
      <c r="F239" s="7">
        <v>6</v>
      </c>
      <c r="G239" s="7" t="b">
        <v>0</v>
      </c>
      <c r="H239" s="7">
        <v>2</v>
      </c>
      <c r="I239" s="7">
        <v>2</v>
      </c>
      <c r="J239" s="7">
        <v>0.16</v>
      </c>
      <c r="K239" s="9">
        <v>0.18179999999999999</v>
      </c>
      <c r="L239" s="9">
        <v>0.55000000000000004</v>
      </c>
      <c r="M239" s="9">
        <v>0.1343</v>
      </c>
      <c r="N239" s="9">
        <v>0</v>
      </c>
      <c r="O239" s="9">
        <v>27</v>
      </c>
      <c r="P239" s="9">
        <v>27</v>
      </c>
      <c r="Q239" s="7" t="str">
        <f t="shared" si="6"/>
        <v>TUESDAY</v>
      </c>
      <c r="R239" t="str">
        <f t="shared" si="7"/>
        <v>Mist</v>
      </c>
    </row>
    <row r="240" spans="1:18" x14ac:dyDescent="0.25">
      <c r="A240" s="7">
        <v>239</v>
      </c>
      <c r="B240" s="8">
        <v>40554</v>
      </c>
      <c r="C240" s="7">
        <v>1</v>
      </c>
      <c r="D240" s="7">
        <v>0</v>
      </c>
      <c r="E240" s="7">
        <v>1</v>
      </c>
      <c r="F240" s="7">
        <v>7</v>
      </c>
      <c r="G240" s="7" t="b">
        <v>0</v>
      </c>
      <c r="H240" s="7">
        <v>2</v>
      </c>
      <c r="I240" s="7">
        <v>2</v>
      </c>
      <c r="J240" s="7">
        <v>0.16</v>
      </c>
      <c r="K240" s="9">
        <v>0.2273</v>
      </c>
      <c r="L240" s="9">
        <v>0.55000000000000004</v>
      </c>
      <c r="M240" s="9">
        <v>0</v>
      </c>
      <c r="N240" s="9">
        <v>2</v>
      </c>
      <c r="O240" s="9">
        <v>97</v>
      </c>
      <c r="P240" s="9">
        <v>99</v>
      </c>
      <c r="Q240" s="7" t="str">
        <f t="shared" si="6"/>
        <v>TUESDAY</v>
      </c>
      <c r="R240" t="str">
        <f t="shared" si="7"/>
        <v>Mist</v>
      </c>
    </row>
    <row r="241" spans="1:18" x14ac:dyDescent="0.25">
      <c r="A241" s="7">
        <v>240</v>
      </c>
      <c r="B241" s="8">
        <v>40554</v>
      </c>
      <c r="C241" s="7">
        <v>1</v>
      </c>
      <c r="D241" s="7">
        <v>0</v>
      </c>
      <c r="E241" s="7">
        <v>1</v>
      </c>
      <c r="F241" s="7">
        <v>8</v>
      </c>
      <c r="G241" s="7" t="b">
        <v>0</v>
      </c>
      <c r="H241" s="7">
        <v>2</v>
      </c>
      <c r="I241" s="7">
        <v>2</v>
      </c>
      <c r="J241" s="7">
        <v>0.18</v>
      </c>
      <c r="K241" s="9">
        <v>0.21210000000000001</v>
      </c>
      <c r="L241" s="9">
        <v>0.51</v>
      </c>
      <c r="M241" s="9">
        <v>8.9599999999999999E-2</v>
      </c>
      <c r="N241" s="9">
        <v>3</v>
      </c>
      <c r="O241" s="9">
        <v>214</v>
      </c>
      <c r="P241" s="9">
        <v>217</v>
      </c>
      <c r="Q241" s="7" t="str">
        <f t="shared" si="6"/>
        <v>TUESDAY</v>
      </c>
      <c r="R241" t="str">
        <f t="shared" si="7"/>
        <v>Mist</v>
      </c>
    </row>
    <row r="242" spans="1:18" x14ac:dyDescent="0.25">
      <c r="A242" s="7">
        <v>241</v>
      </c>
      <c r="B242" s="8">
        <v>40554</v>
      </c>
      <c r="C242" s="7">
        <v>1</v>
      </c>
      <c r="D242" s="7">
        <v>0</v>
      </c>
      <c r="E242" s="7">
        <v>1</v>
      </c>
      <c r="F242" s="7">
        <v>9</v>
      </c>
      <c r="G242" s="7" t="b">
        <v>0</v>
      </c>
      <c r="H242" s="7">
        <v>2</v>
      </c>
      <c r="I242" s="7">
        <v>2</v>
      </c>
      <c r="J242" s="7">
        <v>0.18</v>
      </c>
      <c r="K242" s="9">
        <v>0.19700000000000001</v>
      </c>
      <c r="L242" s="9">
        <v>0.51</v>
      </c>
      <c r="M242" s="9">
        <v>0.16420000000000001</v>
      </c>
      <c r="N242" s="9">
        <v>3</v>
      </c>
      <c r="O242" s="9">
        <v>127</v>
      </c>
      <c r="P242" s="9">
        <v>130</v>
      </c>
      <c r="Q242" s="7" t="str">
        <f t="shared" si="6"/>
        <v>TUESDAY</v>
      </c>
      <c r="R242" t="str">
        <f t="shared" si="7"/>
        <v>Mist</v>
      </c>
    </row>
    <row r="243" spans="1:18" x14ac:dyDescent="0.25">
      <c r="A243" s="7">
        <v>242</v>
      </c>
      <c r="B243" s="8">
        <v>40554</v>
      </c>
      <c r="C243" s="7">
        <v>1</v>
      </c>
      <c r="D243" s="7">
        <v>0</v>
      </c>
      <c r="E243" s="7">
        <v>1</v>
      </c>
      <c r="F243" s="7">
        <v>10</v>
      </c>
      <c r="G243" s="7" t="b">
        <v>0</v>
      </c>
      <c r="H243" s="7">
        <v>2</v>
      </c>
      <c r="I243" s="7">
        <v>2</v>
      </c>
      <c r="J243" s="7">
        <v>0.2</v>
      </c>
      <c r="K243" s="9">
        <v>0.21210000000000001</v>
      </c>
      <c r="L243" s="9">
        <v>0.51</v>
      </c>
      <c r="M243" s="9">
        <v>0.16420000000000001</v>
      </c>
      <c r="N243" s="9">
        <v>3</v>
      </c>
      <c r="O243" s="9">
        <v>51</v>
      </c>
      <c r="P243" s="9">
        <v>54</v>
      </c>
      <c r="Q243" s="7" t="str">
        <f t="shared" si="6"/>
        <v>TUESDAY</v>
      </c>
      <c r="R243" t="str">
        <f t="shared" si="7"/>
        <v>Mist</v>
      </c>
    </row>
    <row r="244" spans="1:18" x14ac:dyDescent="0.25">
      <c r="A244" s="7">
        <v>243</v>
      </c>
      <c r="B244" s="8">
        <v>40554</v>
      </c>
      <c r="C244" s="7">
        <v>1</v>
      </c>
      <c r="D244" s="7">
        <v>0</v>
      </c>
      <c r="E244" s="7">
        <v>1</v>
      </c>
      <c r="F244" s="7">
        <v>11</v>
      </c>
      <c r="G244" s="7" t="b">
        <v>0</v>
      </c>
      <c r="H244" s="7">
        <v>2</v>
      </c>
      <c r="I244" s="7">
        <v>2</v>
      </c>
      <c r="J244" s="7">
        <v>0.2</v>
      </c>
      <c r="K244" s="9">
        <v>0.21210000000000001</v>
      </c>
      <c r="L244" s="9">
        <v>0.47</v>
      </c>
      <c r="M244" s="9">
        <v>0.1343</v>
      </c>
      <c r="N244" s="9">
        <v>4</v>
      </c>
      <c r="O244" s="9">
        <v>31</v>
      </c>
      <c r="P244" s="9">
        <v>35</v>
      </c>
      <c r="Q244" s="7" t="str">
        <f t="shared" si="6"/>
        <v>TUESDAY</v>
      </c>
      <c r="R244" t="str">
        <f t="shared" si="7"/>
        <v>Mist</v>
      </c>
    </row>
    <row r="245" spans="1:18" x14ac:dyDescent="0.25">
      <c r="A245" s="7">
        <v>244</v>
      </c>
      <c r="B245" s="8">
        <v>40554</v>
      </c>
      <c r="C245" s="7">
        <v>1</v>
      </c>
      <c r="D245" s="7">
        <v>0</v>
      </c>
      <c r="E245" s="7">
        <v>1</v>
      </c>
      <c r="F245" s="7">
        <v>12</v>
      </c>
      <c r="G245" s="7" t="b">
        <v>0</v>
      </c>
      <c r="H245" s="7">
        <v>2</v>
      </c>
      <c r="I245" s="7">
        <v>2</v>
      </c>
      <c r="J245" s="7">
        <v>0.2</v>
      </c>
      <c r="K245" s="9">
        <v>0.2273</v>
      </c>
      <c r="L245" s="9">
        <v>0.51</v>
      </c>
      <c r="M245" s="9">
        <v>0.1045</v>
      </c>
      <c r="N245" s="9">
        <v>2</v>
      </c>
      <c r="O245" s="9">
        <v>55</v>
      </c>
      <c r="P245" s="9">
        <v>57</v>
      </c>
      <c r="Q245" s="7" t="str">
        <f t="shared" si="6"/>
        <v>TUESDAY</v>
      </c>
      <c r="R245" t="str">
        <f t="shared" si="7"/>
        <v>Mist</v>
      </c>
    </row>
    <row r="246" spans="1:18" x14ac:dyDescent="0.25">
      <c r="A246" s="7">
        <v>245</v>
      </c>
      <c r="B246" s="8">
        <v>40554</v>
      </c>
      <c r="C246" s="7">
        <v>1</v>
      </c>
      <c r="D246" s="7">
        <v>0</v>
      </c>
      <c r="E246" s="7">
        <v>1</v>
      </c>
      <c r="F246" s="7">
        <v>13</v>
      </c>
      <c r="G246" s="7" t="b">
        <v>0</v>
      </c>
      <c r="H246" s="7">
        <v>2</v>
      </c>
      <c r="I246" s="7">
        <v>2</v>
      </c>
      <c r="J246" s="7">
        <v>0.2</v>
      </c>
      <c r="K246" s="9">
        <v>0.2273</v>
      </c>
      <c r="L246" s="9">
        <v>0.59</v>
      </c>
      <c r="M246" s="9">
        <v>8.9599999999999999E-2</v>
      </c>
      <c r="N246" s="9">
        <v>6</v>
      </c>
      <c r="O246" s="9">
        <v>46</v>
      </c>
      <c r="P246" s="9">
        <v>52</v>
      </c>
      <c r="Q246" s="7" t="str">
        <f t="shared" si="6"/>
        <v>TUESDAY</v>
      </c>
      <c r="R246" t="str">
        <f t="shared" si="7"/>
        <v>Mist</v>
      </c>
    </row>
    <row r="247" spans="1:18" x14ac:dyDescent="0.25">
      <c r="A247" s="7">
        <v>246</v>
      </c>
      <c r="B247" s="8">
        <v>40554</v>
      </c>
      <c r="C247" s="7">
        <v>1</v>
      </c>
      <c r="D247" s="7">
        <v>0</v>
      </c>
      <c r="E247" s="7">
        <v>1</v>
      </c>
      <c r="F247" s="7">
        <v>14</v>
      </c>
      <c r="G247" s="7" t="b">
        <v>0</v>
      </c>
      <c r="H247" s="7">
        <v>2</v>
      </c>
      <c r="I247" s="7">
        <v>2</v>
      </c>
      <c r="J247" s="7">
        <v>0.2</v>
      </c>
      <c r="K247" s="9">
        <v>0.2273</v>
      </c>
      <c r="L247" s="9">
        <v>0.59</v>
      </c>
      <c r="M247" s="9">
        <v>8.9599999999999999E-2</v>
      </c>
      <c r="N247" s="9">
        <v>3</v>
      </c>
      <c r="O247" s="9">
        <v>60</v>
      </c>
      <c r="P247" s="9">
        <v>63</v>
      </c>
      <c r="Q247" s="7" t="str">
        <f t="shared" si="6"/>
        <v>TUESDAY</v>
      </c>
      <c r="R247" t="str">
        <f t="shared" si="7"/>
        <v>Mist</v>
      </c>
    </row>
    <row r="248" spans="1:18" x14ac:dyDescent="0.25">
      <c r="A248" s="7">
        <v>247</v>
      </c>
      <c r="B248" s="8">
        <v>40554</v>
      </c>
      <c r="C248" s="7">
        <v>1</v>
      </c>
      <c r="D248" s="7">
        <v>0</v>
      </c>
      <c r="E248" s="7">
        <v>1</v>
      </c>
      <c r="F248" s="7">
        <v>15</v>
      </c>
      <c r="G248" s="7" t="b">
        <v>0</v>
      </c>
      <c r="H248" s="7">
        <v>2</v>
      </c>
      <c r="I248" s="7">
        <v>2</v>
      </c>
      <c r="J248" s="7">
        <v>0.16</v>
      </c>
      <c r="K248" s="9">
        <v>0.19700000000000001</v>
      </c>
      <c r="L248" s="9">
        <v>0.8</v>
      </c>
      <c r="M248" s="9">
        <v>8.9599999999999999E-2</v>
      </c>
      <c r="N248" s="9">
        <v>2</v>
      </c>
      <c r="O248" s="9">
        <v>45</v>
      </c>
      <c r="P248" s="9">
        <v>47</v>
      </c>
      <c r="Q248" s="7" t="str">
        <f t="shared" si="6"/>
        <v>TUESDAY</v>
      </c>
      <c r="R248" t="str">
        <f t="shared" si="7"/>
        <v>Mist</v>
      </c>
    </row>
    <row r="249" spans="1:18" x14ac:dyDescent="0.25">
      <c r="A249" s="7">
        <v>248</v>
      </c>
      <c r="B249" s="8">
        <v>40554</v>
      </c>
      <c r="C249" s="7">
        <v>1</v>
      </c>
      <c r="D249" s="7">
        <v>0</v>
      </c>
      <c r="E249" s="7">
        <v>1</v>
      </c>
      <c r="F249" s="7">
        <v>16</v>
      </c>
      <c r="G249" s="7" t="b">
        <v>0</v>
      </c>
      <c r="H249" s="7">
        <v>2</v>
      </c>
      <c r="I249" s="7">
        <v>2</v>
      </c>
      <c r="J249" s="7">
        <v>0.16</v>
      </c>
      <c r="K249" s="9">
        <v>0.1515</v>
      </c>
      <c r="L249" s="9">
        <v>0.86</v>
      </c>
      <c r="M249" s="9">
        <v>0.22389999999999999</v>
      </c>
      <c r="N249" s="9">
        <v>4</v>
      </c>
      <c r="O249" s="9">
        <v>72</v>
      </c>
      <c r="P249" s="9">
        <v>76</v>
      </c>
      <c r="Q249" s="7" t="str">
        <f t="shared" si="6"/>
        <v>TUESDAY</v>
      </c>
      <c r="R249" t="str">
        <f t="shared" si="7"/>
        <v>Mist</v>
      </c>
    </row>
    <row r="250" spans="1:18" x14ac:dyDescent="0.25">
      <c r="A250" s="7">
        <v>249</v>
      </c>
      <c r="B250" s="8">
        <v>40554</v>
      </c>
      <c r="C250" s="7">
        <v>1</v>
      </c>
      <c r="D250" s="7">
        <v>0</v>
      </c>
      <c r="E250" s="7">
        <v>1</v>
      </c>
      <c r="F250" s="7">
        <v>17</v>
      </c>
      <c r="G250" s="7" t="b">
        <v>0</v>
      </c>
      <c r="H250" s="7">
        <v>2</v>
      </c>
      <c r="I250" s="7">
        <v>2</v>
      </c>
      <c r="J250" s="7">
        <v>0.16</v>
      </c>
      <c r="K250" s="9">
        <v>0.1515</v>
      </c>
      <c r="L250" s="9">
        <v>0.86</v>
      </c>
      <c r="M250" s="9">
        <v>0.22389999999999999</v>
      </c>
      <c r="N250" s="9">
        <v>6</v>
      </c>
      <c r="O250" s="9">
        <v>130</v>
      </c>
      <c r="P250" s="9">
        <v>136</v>
      </c>
      <c r="Q250" s="7" t="str">
        <f t="shared" si="6"/>
        <v>TUESDAY</v>
      </c>
      <c r="R250" t="str">
        <f t="shared" si="7"/>
        <v>Mist</v>
      </c>
    </row>
    <row r="251" spans="1:18" x14ac:dyDescent="0.25">
      <c r="A251" s="7">
        <v>250</v>
      </c>
      <c r="B251" s="8">
        <v>40554</v>
      </c>
      <c r="C251" s="7">
        <v>1</v>
      </c>
      <c r="D251" s="7">
        <v>0</v>
      </c>
      <c r="E251" s="7">
        <v>1</v>
      </c>
      <c r="F251" s="7">
        <v>18</v>
      </c>
      <c r="G251" s="7" t="b">
        <v>0</v>
      </c>
      <c r="H251" s="7">
        <v>2</v>
      </c>
      <c r="I251" s="7">
        <v>3</v>
      </c>
      <c r="J251" s="7">
        <v>0.16</v>
      </c>
      <c r="K251" s="9">
        <v>0.18179999999999999</v>
      </c>
      <c r="L251" s="9">
        <v>0.93</v>
      </c>
      <c r="M251" s="9">
        <v>0.1045</v>
      </c>
      <c r="N251" s="9">
        <v>1</v>
      </c>
      <c r="O251" s="9">
        <v>94</v>
      </c>
      <c r="P251" s="9">
        <v>95</v>
      </c>
      <c r="Q251" s="7" t="str">
        <f t="shared" si="6"/>
        <v>TUESDAY</v>
      </c>
      <c r="R251" t="str">
        <f t="shared" si="7"/>
        <v>Light Rain/Snow</v>
      </c>
    </row>
    <row r="252" spans="1:18" x14ac:dyDescent="0.25">
      <c r="A252" s="7">
        <v>251</v>
      </c>
      <c r="B252" s="8">
        <v>40554</v>
      </c>
      <c r="C252" s="7">
        <v>1</v>
      </c>
      <c r="D252" s="7">
        <v>0</v>
      </c>
      <c r="E252" s="7">
        <v>1</v>
      </c>
      <c r="F252" s="7">
        <v>19</v>
      </c>
      <c r="G252" s="7" t="b">
        <v>0</v>
      </c>
      <c r="H252" s="7">
        <v>2</v>
      </c>
      <c r="I252" s="7">
        <v>3</v>
      </c>
      <c r="J252" s="7">
        <v>0.16</v>
      </c>
      <c r="K252" s="9">
        <v>0.2273</v>
      </c>
      <c r="L252" s="9">
        <v>0.93</v>
      </c>
      <c r="M252" s="9">
        <v>0</v>
      </c>
      <c r="N252" s="9">
        <v>0</v>
      </c>
      <c r="O252" s="9">
        <v>51</v>
      </c>
      <c r="P252" s="9">
        <v>51</v>
      </c>
      <c r="Q252" s="7" t="str">
        <f t="shared" si="6"/>
        <v>TUESDAY</v>
      </c>
      <c r="R252" t="str">
        <f t="shared" si="7"/>
        <v>Light Rain/Snow</v>
      </c>
    </row>
    <row r="253" spans="1:18" x14ac:dyDescent="0.25">
      <c r="A253" s="7">
        <v>252</v>
      </c>
      <c r="B253" s="8">
        <v>40554</v>
      </c>
      <c r="C253" s="7">
        <v>1</v>
      </c>
      <c r="D253" s="7">
        <v>0</v>
      </c>
      <c r="E253" s="7">
        <v>1</v>
      </c>
      <c r="F253" s="7">
        <v>20</v>
      </c>
      <c r="G253" s="7" t="b">
        <v>0</v>
      </c>
      <c r="H253" s="7">
        <v>2</v>
      </c>
      <c r="I253" s="7">
        <v>3</v>
      </c>
      <c r="J253" s="7">
        <v>0.16</v>
      </c>
      <c r="K253" s="9">
        <v>0.1515</v>
      </c>
      <c r="L253" s="9">
        <v>0.93</v>
      </c>
      <c r="M253" s="9">
        <v>0.19400000000000001</v>
      </c>
      <c r="N253" s="9">
        <v>0</v>
      </c>
      <c r="O253" s="9">
        <v>32</v>
      </c>
      <c r="P253" s="9">
        <v>32</v>
      </c>
      <c r="Q253" s="7" t="str">
        <f t="shared" si="6"/>
        <v>TUESDAY</v>
      </c>
      <c r="R253" t="str">
        <f t="shared" si="7"/>
        <v>Light Rain/Snow</v>
      </c>
    </row>
    <row r="254" spans="1:18" x14ac:dyDescent="0.25">
      <c r="A254" s="7">
        <v>253</v>
      </c>
      <c r="B254" s="8">
        <v>40554</v>
      </c>
      <c r="C254" s="7">
        <v>1</v>
      </c>
      <c r="D254" s="7">
        <v>0</v>
      </c>
      <c r="E254" s="7">
        <v>1</v>
      </c>
      <c r="F254" s="7">
        <v>21</v>
      </c>
      <c r="G254" s="7" t="b">
        <v>0</v>
      </c>
      <c r="H254" s="7">
        <v>2</v>
      </c>
      <c r="I254" s="7">
        <v>3</v>
      </c>
      <c r="J254" s="7">
        <v>0.16</v>
      </c>
      <c r="K254" s="9">
        <v>0.19700000000000001</v>
      </c>
      <c r="L254" s="9">
        <v>0.86</v>
      </c>
      <c r="M254" s="9">
        <v>8.9599999999999999E-2</v>
      </c>
      <c r="N254" s="9">
        <v>0</v>
      </c>
      <c r="O254" s="9">
        <v>20</v>
      </c>
      <c r="P254" s="9">
        <v>20</v>
      </c>
      <c r="Q254" s="7" t="str">
        <f t="shared" si="6"/>
        <v>TUESDAY</v>
      </c>
      <c r="R254" t="str">
        <f t="shared" si="7"/>
        <v>Light Rain/Snow</v>
      </c>
    </row>
    <row r="255" spans="1:18" x14ac:dyDescent="0.25">
      <c r="A255" s="7">
        <v>254</v>
      </c>
      <c r="B255" s="8">
        <v>40554</v>
      </c>
      <c r="C255" s="7">
        <v>1</v>
      </c>
      <c r="D255" s="7">
        <v>0</v>
      </c>
      <c r="E255" s="7">
        <v>1</v>
      </c>
      <c r="F255" s="7">
        <v>22</v>
      </c>
      <c r="G255" s="7" t="b">
        <v>0</v>
      </c>
      <c r="H255" s="7">
        <v>2</v>
      </c>
      <c r="I255" s="7">
        <v>3</v>
      </c>
      <c r="J255" s="7">
        <v>0.16</v>
      </c>
      <c r="K255" s="9">
        <v>0.18179999999999999</v>
      </c>
      <c r="L255" s="9">
        <v>0.93</v>
      </c>
      <c r="M255" s="9">
        <v>0.1045</v>
      </c>
      <c r="N255" s="9">
        <v>1</v>
      </c>
      <c r="O255" s="9">
        <v>28</v>
      </c>
      <c r="P255" s="9">
        <v>29</v>
      </c>
      <c r="Q255" s="7" t="str">
        <f t="shared" si="6"/>
        <v>TUESDAY</v>
      </c>
      <c r="R255" t="str">
        <f t="shared" si="7"/>
        <v>Light Rain/Snow</v>
      </c>
    </row>
    <row r="256" spans="1:18" x14ac:dyDescent="0.25">
      <c r="A256" s="7">
        <v>255</v>
      </c>
      <c r="B256" s="8">
        <v>40554</v>
      </c>
      <c r="C256" s="7">
        <v>1</v>
      </c>
      <c r="D256" s="7">
        <v>0</v>
      </c>
      <c r="E256" s="7">
        <v>1</v>
      </c>
      <c r="F256" s="7">
        <v>23</v>
      </c>
      <c r="G256" s="7" t="b">
        <v>0</v>
      </c>
      <c r="H256" s="7">
        <v>2</v>
      </c>
      <c r="I256" s="7">
        <v>3</v>
      </c>
      <c r="J256" s="7">
        <v>0.16</v>
      </c>
      <c r="K256" s="9">
        <v>0.19700000000000001</v>
      </c>
      <c r="L256" s="9">
        <v>0.93</v>
      </c>
      <c r="M256" s="9">
        <v>8.9599999999999999E-2</v>
      </c>
      <c r="N256" s="9">
        <v>1</v>
      </c>
      <c r="O256" s="9">
        <v>18</v>
      </c>
      <c r="P256" s="9">
        <v>19</v>
      </c>
      <c r="Q256" s="7" t="str">
        <f t="shared" si="6"/>
        <v>TUESDAY</v>
      </c>
      <c r="R256" t="str">
        <f t="shared" si="7"/>
        <v>Light Rain/Snow</v>
      </c>
    </row>
    <row r="257" spans="1:18" x14ac:dyDescent="0.25">
      <c r="A257" s="7">
        <v>256</v>
      </c>
      <c r="B257" s="8">
        <v>40555</v>
      </c>
      <c r="C257" s="7">
        <v>1</v>
      </c>
      <c r="D257" s="7">
        <v>0</v>
      </c>
      <c r="E257" s="7">
        <v>1</v>
      </c>
      <c r="F257" s="7">
        <v>0</v>
      </c>
      <c r="G257" s="7" t="b">
        <v>0</v>
      </c>
      <c r="H257" s="7">
        <v>3</v>
      </c>
      <c r="I257" s="7">
        <v>2</v>
      </c>
      <c r="J257" s="7">
        <v>0.16</v>
      </c>
      <c r="K257" s="9">
        <v>0.19700000000000001</v>
      </c>
      <c r="L257" s="9">
        <v>0.86</v>
      </c>
      <c r="M257" s="9">
        <v>8.9599999999999999E-2</v>
      </c>
      <c r="N257" s="9">
        <v>0</v>
      </c>
      <c r="O257" s="9">
        <v>7</v>
      </c>
      <c r="P257" s="9">
        <v>7</v>
      </c>
      <c r="Q257" s="7" t="str">
        <f t="shared" si="6"/>
        <v>WENESDAY</v>
      </c>
      <c r="R257" t="str">
        <f t="shared" si="7"/>
        <v>Mist</v>
      </c>
    </row>
    <row r="258" spans="1:18" x14ac:dyDescent="0.25">
      <c r="A258" s="7">
        <v>257</v>
      </c>
      <c r="B258" s="8">
        <v>40555</v>
      </c>
      <c r="C258" s="7">
        <v>1</v>
      </c>
      <c r="D258" s="7">
        <v>0</v>
      </c>
      <c r="E258" s="7">
        <v>1</v>
      </c>
      <c r="F258" s="7">
        <v>1</v>
      </c>
      <c r="G258" s="7" t="b">
        <v>0</v>
      </c>
      <c r="H258" s="7">
        <v>3</v>
      </c>
      <c r="I258" s="7">
        <v>2</v>
      </c>
      <c r="J258" s="7">
        <v>0.16</v>
      </c>
      <c r="K258" s="9">
        <v>0.18179999999999999</v>
      </c>
      <c r="L258" s="9">
        <v>0.86</v>
      </c>
      <c r="M258" s="9">
        <v>0.1045</v>
      </c>
      <c r="N258" s="9">
        <v>0</v>
      </c>
      <c r="O258" s="9">
        <v>6</v>
      </c>
      <c r="P258" s="9">
        <v>6</v>
      </c>
      <c r="Q258" s="7" t="str">
        <f t="shared" ref="Q258:Q321" si="8">CHOOSE(H258+1, "SUNDAY", "MONDAY","TUESDAY", "WENESDAY","THUSDAY", "FRIDAY", "SATARDAY")</f>
        <v>WENESDAY</v>
      </c>
      <c r="R258" t="str">
        <f t="shared" ref="R258:R321" si="9">IF(I258=1,"Clear",IF(I258=2,"Mist",IF(I258=3,"Light Rain/Snow","Heavy Rain")))</f>
        <v>Mist</v>
      </c>
    </row>
    <row r="259" spans="1:18" x14ac:dyDescent="0.25">
      <c r="A259" s="7">
        <v>258</v>
      </c>
      <c r="B259" s="8">
        <v>40555</v>
      </c>
      <c r="C259" s="7">
        <v>1</v>
      </c>
      <c r="D259" s="7">
        <v>0</v>
      </c>
      <c r="E259" s="7">
        <v>1</v>
      </c>
      <c r="F259" s="7">
        <v>2</v>
      </c>
      <c r="G259" s="7" t="b">
        <v>0</v>
      </c>
      <c r="H259" s="7">
        <v>3</v>
      </c>
      <c r="I259" s="7">
        <v>1</v>
      </c>
      <c r="J259" s="7">
        <v>0.14000000000000001</v>
      </c>
      <c r="K259" s="9">
        <v>0.1515</v>
      </c>
      <c r="L259" s="9">
        <v>0.86</v>
      </c>
      <c r="M259" s="9">
        <v>0.1343</v>
      </c>
      <c r="N259" s="9">
        <v>0</v>
      </c>
      <c r="O259" s="9">
        <v>1</v>
      </c>
      <c r="P259" s="9">
        <v>1</v>
      </c>
      <c r="Q259" s="7" t="str">
        <f t="shared" si="8"/>
        <v>WENESDAY</v>
      </c>
      <c r="R259" t="str">
        <f t="shared" si="9"/>
        <v>Clear</v>
      </c>
    </row>
    <row r="260" spans="1:18" x14ac:dyDescent="0.25">
      <c r="A260" s="7">
        <v>259</v>
      </c>
      <c r="B260" s="8">
        <v>40555</v>
      </c>
      <c r="C260" s="7">
        <v>1</v>
      </c>
      <c r="D260" s="7">
        <v>0</v>
      </c>
      <c r="E260" s="7">
        <v>1</v>
      </c>
      <c r="F260" s="7">
        <v>5</v>
      </c>
      <c r="G260" s="7" t="b">
        <v>0</v>
      </c>
      <c r="H260" s="7">
        <v>3</v>
      </c>
      <c r="I260" s="7">
        <v>1</v>
      </c>
      <c r="J260" s="7">
        <v>0.14000000000000001</v>
      </c>
      <c r="K260" s="9">
        <v>0.1515</v>
      </c>
      <c r="L260" s="9">
        <v>0.86</v>
      </c>
      <c r="M260" s="9">
        <v>0.16420000000000001</v>
      </c>
      <c r="N260" s="9">
        <v>0</v>
      </c>
      <c r="O260" s="9">
        <v>5</v>
      </c>
      <c r="P260" s="9">
        <v>5</v>
      </c>
      <c r="Q260" s="7" t="str">
        <f t="shared" si="8"/>
        <v>WENESDAY</v>
      </c>
      <c r="R260" t="str">
        <f t="shared" si="9"/>
        <v>Clear</v>
      </c>
    </row>
    <row r="261" spans="1:18" x14ac:dyDescent="0.25">
      <c r="A261" s="7">
        <v>260</v>
      </c>
      <c r="B261" s="8">
        <v>40555</v>
      </c>
      <c r="C261" s="7">
        <v>1</v>
      </c>
      <c r="D261" s="7">
        <v>0</v>
      </c>
      <c r="E261" s="7">
        <v>1</v>
      </c>
      <c r="F261" s="7">
        <v>6</v>
      </c>
      <c r="G261" s="7" t="b">
        <v>0</v>
      </c>
      <c r="H261" s="7">
        <v>3</v>
      </c>
      <c r="I261" s="7">
        <v>1</v>
      </c>
      <c r="J261" s="7">
        <v>0.12</v>
      </c>
      <c r="K261" s="9">
        <v>0.1515</v>
      </c>
      <c r="L261" s="9">
        <v>0.93</v>
      </c>
      <c r="M261" s="9">
        <v>0.1343</v>
      </c>
      <c r="N261" s="9">
        <v>0</v>
      </c>
      <c r="O261" s="9">
        <v>16</v>
      </c>
      <c r="P261" s="9">
        <v>16</v>
      </c>
      <c r="Q261" s="7" t="str">
        <f t="shared" si="8"/>
        <v>WENESDAY</v>
      </c>
      <c r="R261" t="str">
        <f t="shared" si="9"/>
        <v>Clear</v>
      </c>
    </row>
    <row r="262" spans="1:18" x14ac:dyDescent="0.25">
      <c r="A262" s="7">
        <v>261</v>
      </c>
      <c r="B262" s="8">
        <v>40555</v>
      </c>
      <c r="C262" s="7">
        <v>1</v>
      </c>
      <c r="D262" s="7">
        <v>0</v>
      </c>
      <c r="E262" s="7">
        <v>1</v>
      </c>
      <c r="F262" s="7">
        <v>7</v>
      </c>
      <c r="G262" s="7" t="b">
        <v>0</v>
      </c>
      <c r="H262" s="7">
        <v>3</v>
      </c>
      <c r="I262" s="7">
        <v>1</v>
      </c>
      <c r="J262" s="7">
        <v>0.14000000000000001</v>
      </c>
      <c r="K262" s="9">
        <v>0.1515</v>
      </c>
      <c r="L262" s="9">
        <v>0.69</v>
      </c>
      <c r="M262" s="9">
        <v>0.1343</v>
      </c>
      <c r="N262" s="9">
        <v>0</v>
      </c>
      <c r="O262" s="9">
        <v>54</v>
      </c>
      <c r="P262" s="9">
        <v>54</v>
      </c>
      <c r="Q262" s="7" t="str">
        <f t="shared" si="8"/>
        <v>WENESDAY</v>
      </c>
      <c r="R262" t="str">
        <f t="shared" si="9"/>
        <v>Clear</v>
      </c>
    </row>
    <row r="263" spans="1:18" x14ac:dyDescent="0.25">
      <c r="A263" s="7">
        <v>262</v>
      </c>
      <c r="B263" s="8">
        <v>40555</v>
      </c>
      <c r="C263" s="7">
        <v>1</v>
      </c>
      <c r="D263" s="7">
        <v>0</v>
      </c>
      <c r="E263" s="7">
        <v>1</v>
      </c>
      <c r="F263" s="7">
        <v>8</v>
      </c>
      <c r="G263" s="7" t="b">
        <v>0</v>
      </c>
      <c r="H263" s="7">
        <v>3</v>
      </c>
      <c r="I263" s="7">
        <v>1</v>
      </c>
      <c r="J263" s="7">
        <v>0.16</v>
      </c>
      <c r="K263" s="9">
        <v>0.16669999999999999</v>
      </c>
      <c r="L263" s="9">
        <v>0.59</v>
      </c>
      <c r="M263" s="9">
        <v>0.16420000000000001</v>
      </c>
      <c r="N263" s="9">
        <v>3</v>
      </c>
      <c r="O263" s="9">
        <v>125</v>
      </c>
      <c r="P263" s="9">
        <v>128</v>
      </c>
      <c r="Q263" s="7" t="str">
        <f t="shared" si="8"/>
        <v>WENESDAY</v>
      </c>
      <c r="R263" t="str">
        <f t="shared" si="9"/>
        <v>Clear</v>
      </c>
    </row>
    <row r="264" spans="1:18" x14ac:dyDescent="0.25">
      <c r="A264" s="7">
        <v>263</v>
      </c>
      <c r="B264" s="8">
        <v>40555</v>
      </c>
      <c r="C264" s="7">
        <v>1</v>
      </c>
      <c r="D264" s="7">
        <v>0</v>
      </c>
      <c r="E264" s="7">
        <v>1</v>
      </c>
      <c r="F264" s="7">
        <v>9</v>
      </c>
      <c r="G264" s="7" t="b">
        <v>0</v>
      </c>
      <c r="H264" s="7">
        <v>3</v>
      </c>
      <c r="I264" s="7">
        <v>1</v>
      </c>
      <c r="J264" s="7">
        <v>0.16</v>
      </c>
      <c r="K264" s="9">
        <v>0.13639999999999999</v>
      </c>
      <c r="L264" s="9">
        <v>0.59</v>
      </c>
      <c r="M264" s="9">
        <v>0.32840000000000003</v>
      </c>
      <c r="N264" s="9">
        <v>3</v>
      </c>
      <c r="O264" s="9">
        <v>78</v>
      </c>
      <c r="P264" s="9">
        <v>81</v>
      </c>
      <c r="Q264" s="7" t="str">
        <f t="shared" si="8"/>
        <v>WENESDAY</v>
      </c>
      <c r="R264" t="str">
        <f t="shared" si="9"/>
        <v>Clear</v>
      </c>
    </row>
    <row r="265" spans="1:18" x14ac:dyDescent="0.25">
      <c r="A265" s="7">
        <v>264</v>
      </c>
      <c r="B265" s="8">
        <v>40555</v>
      </c>
      <c r="C265" s="7">
        <v>1</v>
      </c>
      <c r="D265" s="7">
        <v>0</v>
      </c>
      <c r="E265" s="7">
        <v>1</v>
      </c>
      <c r="F265" s="7">
        <v>10</v>
      </c>
      <c r="G265" s="7" t="b">
        <v>0</v>
      </c>
      <c r="H265" s="7">
        <v>3</v>
      </c>
      <c r="I265" s="7">
        <v>1</v>
      </c>
      <c r="J265" s="7">
        <v>0.18</v>
      </c>
      <c r="K265" s="9">
        <v>0.18179999999999999</v>
      </c>
      <c r="L265" s="9">
        <v>0.55000000000000004</v>
      </c>
      <c r="M265" s="9">
        <v>0.22389999999999999</v>
      </c>
      <c r="N265" s="9">
        <v>0</v>
      </c>
      <c r="O265" s="9">
        <v>39</v>
      </c>
      <c r="P265" s="9">
        <v>39</v>
      </c>
      <c r="Q265" s="7" t="str">
        <f t="shared" si="8"/>
        <v>WENESDAY</v>
      </c>
      <c r="R265" t="str">
        <f t="shared" si="9"/>
        <v>Clear</v>
      </c>
    </row>
    <row r="266" spans="1:18" x14ac:dyDescent="0.25">
      <c r="A266" s="7">
        <v>265</v>
      </c>
      <c r="B266" s="8">
        <v>40555</v>
      </c>
      <c r="C266" s="7">
        <v>1</v>
      </c>
      <c r="D266" s="7">
        <v>0</v>
      </c>
      <c r="E266" s="7">
        <v>1</v>
      </c>
      <c r="F266" s="7">
        <v>11</v>
      </c>
      <c r="G266" s="7" t="b">
        <v>0</v>
      </c>
      <c r="H266" s="7">
        <v>3</v>
      </c>
      <c r="I266" s="7">
        <v>1</v>
      </c>
      <c r="J266" s="7">
        <v>0.2</v>
      </c>
      <c r="K266" s="9">
        <v>0.18179999999999999</v>
      </c>
      <c r="L266" s="9">
        <v>0.51</v>
      </c>
      <c r="M266" s="9">
        <v>0.3881</v>
      </c>
      <c r="N266" s="9">
        <v>3</v>
      </c>
      <c r="O266" s="9">
        <v>32</v>
      </c>
      <c r="P266" s="9">
        <v>35</v>
      </c>
      <c r="Q266" s="7" t="str">
        <f t="shared" si="8"/>
        <v>WENESDAY</v>
      </c>
      <c r="R266" t="str">
        <f t="shared" si="9"/>
        <v>Clear</v>
      </c>
    </row>
    <row r="267" spans="1:18" x14ac:dyDescent="0.25">
      <c r="A267" s="7">
        <v>266</v>
      </c>
      <c r="B267" s="8">
        <v>40555</v>
      </c>
      <c r="C267" s="7">
        <v>1</v>
      </c>
      <c r="D267" s="7">
        <v>0</v>
      </c>
      <c r="E267" s="7">
        <v>1</v>
      </c>
      <c r="F267" s="7">
        <v>12</v>
      </c>
      <c r="G267" s="7" t="b">
        <v>0</v>
      </c>
      <c r="H267" s="7">
        <v>3</v>
      </c>
      <c r="I267" s="7">
        <v>1</v>
      </c>
      <c r="J267" s="7">
        <v>0.2</v>
      </c>
      <c r="K267" s="9">
        <v>0.1515</v>
      </c>
      <c r="L267" s="9">
        <v>0.47</v>
      </c>
      <c r="M267" s="9">
        <v>0.58209999999999995</v>
      </c>
      <c r="N267" s="9">
        <v>3</v>
      </c>
      <c r="O267" s="9">
        <v>52</v>
      </c>
      <c r="P267" s="9">
        <v>55</v>
      </c>
      <c r="Q267" s="7" t="str">
        <f t="shared" si="8"/>
        <v>WENESDAY</v>
      </c>
      <c r="R267" t="str">
        <f t="shared" si="9"/>
        <v>Clear</v>
      </c>
    </row>
    <row r="268" spans="1:18" x14ac:dyDescent="0.25">
      <c r="A268" s="7">
        <v>267</v>
      </c>
      <c r="B268" s="8">
        <v>40555</v>
      </c>
      <c r="C268" s="7">
        <v>1</v>
      </c>
      <c r="D268" s="7">
        <v>0</v>
      </c>
      <c r="E268" s="7">
        <v>1</v>
      </c>
      <c r="F268" s="7">
        <v>13</v>
      </c>
      <c r="G268" s="7" t="b">
        <v>0</v>
      </c>
      <c r="H268" s="7">
        <v>3</v>
      </c>
      <c r="I268" s="7">
        <v>1</v>
      </c>
      <c r="J268" s="7">
        <v>0.22</v>
      </c>
      <c r="K268" s="9">
        <v>0.19700000000000001</v>
      </c>
      <c r="L268" s="9">
        <v>0.44</v>
      </c>
      <c r="M268" s="9">
        <v>0.35820000000000002</v>
      </c>
      <c r="N268" s="9">
        <v>0</v>
      </c>
      <c r="O268" s="9">
        <v>49</v>
      </c>
      <c r="P268" s="9">
        <v>49</v>
      </c>
      <c r="Q268" s="7" t="str">
        <f t="shared" si="8"/>
        <v>WENESDAY</v>
      </c>
      <c r="R268" t="str">
        <f t="shared" si="9"/>
        <v>Clear</v>
      </c>
    </row>
    <row r="269" spans="1:18" x14ac:dyDescent="0.25">
      <c r="A269" s="7">
        <v>268</v>
      </c>
      <c r="B269" s="8">
        <v>40555</v>
      </c>
      <c r="C269" s="7">
        <v>1</v>
      </c>
      <c r="D269" s="7">
        <v>0</v>
      </c>
      <c r="E269" s="7">
        <v>1</v>
      </c>
      <c r="F269" s="7">
        <v>14</v>
      </c>
      <c r="G269" s="7" t="b">
        <v>0</v>
      </c>
      <c r="H269" s="7">
        <v>3</v>
      </c>
      <c r="I269" s="7">
        <v>1</v>
      </c>
      <c r="J269" s="7">
        <v>0.2</v>
      </c>
      <c r="K269" s="9">
        <v>0.18179999999999999</v>
      </c>
      <c r="L269" s="9">
        <v>0.47</v>
      </c>
      <c r="M269" s="9">
        <v>0.32840000000000003</v>
      </c>
      <c r="N269" s="9">
        <v>0</v>
      </c>
      <c r="O269" s="9">
        <v>44</v>
      </c>
      <c r="P269" s="9">
        <v>44</v>
      </c>
      <c r="Q269" s="7" t="str">
        <f t="shared" si="8"/>
        <v>WENESDAY</v>
      </c>
      <c r="R269" t="str">
        <f t="shared" si="9"/>
        <v>Clear</v>
      </c>
    </row>
    <row r="270" spans="1:18" x14ac:dyDescent="0.25">
      <c r="A270" s="7">
        <v>269</v>
      </c>
      <c r="B270" s="8">
        <v>40555</v>
      </c>
      <c r="C270" s="7">
        <v>1</v>
      </c>
      <c r="D270" s="7">
        <v>0</v>
      </c>
      <c r="E270" s="7">
        <v>1</v>
      </c>
      <c r="F270" s="7">
        <v>15</v>
      </c>
      <c r="G270" s="7" t="b">
        <v>0</v>
      </c>
      <c r="H270" s="7">
        <v>3</v>
      </c>
      <c r="I270" s="7">
        <v>1</v>
      </c>
      <c r="J270" s="7">
        <v>0.2</v>
      </c>
      <c r="K270" s="9">
        <v>0.16669999999999999</v>
      </c>
      <c r="L270" s="9">
        <v>0.47</v>
      </c>
      <c r="M270" s="9">
        <v>0.41789999999999999</v>
      </c>
      <c r="N270" s="9">
        <v>1</v>
      </c>
      <c r="O270" s="9">
        <v>48</v>
      </c>
      <c r="P270" s="9">
        <v>49</v>
      </c>
      <c r="Q270" s="7" t="str">
        <f t="shared" si="8"/>
        <v>WENESDAY</v>
      </c>
      <c r="R270" t="str">
        <f t="shared" si="9"/>
        <v>Clear</v>
      </c>
    </row>
    <row r="271" spans="1:18" x14ac:dyDescent="0.25">
      <c r="A271" s="7">
        <v>270</v>
      </c>
      <c r="B271" s="8">
        <v>40555</v>
      </c>
      <c r="C271" s="7">
        <v>1</v>
      </c>
      <c r="D271" s="7">
        <v>0</v>
      </c>
      <c r="E271" s="7">
        <v>1</v>
      </c>
      <c r="F271" s="7">
        <v>16</v>
      </c>
      <c r="G271" s="7" t="b">
        <v>0</v>
      </c>
      <c r="H271" s="7">
        <v>3</v>
      </c>
      <c r="I271" s="7">
        <v>1</v>
      </c>
      <c r="J271" s="7">
        <v>0.22</v>
      </c>
      <c r="K271" s="9">
        <v>0.19700000000000001</v>
      </c>
      <c r="L271" s="9">
        <v>0.44</v>
      </c>
      <c r="M271" s="9">
        <v>0.32840000000000003</v>
      </c>
      <c r="N271" s="9">
        <v>5</v>
      </c>
      <c r="O271" s="9">
        <v>63</v>
      </c>
      <c r="P271" s="9">
        <v>68</v>
      </c>
      <c r="Q271" s="7" t="str">
        <f t="shared" si="8"/>
        <v>WENESDAY</v>
      </c>
      <c r="R271" t="str">
        <f t="shared" si="9"/>
        <v>Clear</v>
      </c>
    </row>
    <row r="272" spans="1:18" x14ac:dyDescent="0.25">
      <c r="A272" s="7">
        <v>271</v>
      </c>
      <c r="B272" s="8">
        <v>40555</v>
      </c>
      <c r="C272" s="7">
        <v>1</v>
      </c>
      <c r="D272" s="7">
        <v>0</v>
      </c>
      <c r="E272" s="7">
        <v>1</v>
      </c>
      <c r="F272" s="7">
        <v>17</v>
      </c>
      <c r="G272" s="7" t="b">
        <v>0</v>
      </c>
      <c r="H272" s="7">
        <v>3</v>
      </c>
      <c r="I272" s="7">
        <v>1</v>
      </c>
      <c r="J272" s="7">
        <v>0.2</v>
      </c>
      <c r="K272" s="9">
        <v>0.18179999999999999</v>
      </c>
      <c r="L272" s="9">
        <v>0.47</v>
      </c>
      <c r="M272" s="9">
        <v>0.35820000000000002</v>
      </c>
      <c r="N272" s="9">
        <v>0</v>
      </c>
      <c r="O272" s="9">
        <v>139</v>
      </c>
      <c r="P272" s="9">
        <v>139</v>
      </c>
      <c r="Q272" s="7" t="str">
        <f t="shared" si="8"/>
        <v>WENESDAY</v>
      </c>
      <c r="R272" t="str">
        <f t="shared" si="9"/>
        <v>Clear</v>
      </c>
    </row>
    <row r="273" spans="1:18" x14ac:dyDescent="0.25">
      <c r="A273" s="7">
        <v>272</v>
      </c>
      <c r="B273" s="8">
        <v>40555</v>
      </c>
      <c r="C273" s="7">
        <v>1</v>
      </c>
      <c r="D273" s="7">
        <v>0</v>
      </c>
      <c r="E273" s="7">
        <v>1</v>
      </c>
      <c r="F273" s="7">
        <v>18</v>
      </c>
      <c r="G273" s="7" t="b">
        <v>0</v>
      </c>
      <c r="H273" s="7">
        <v>3</v>
      </c>
      <c r="I273" s="7">
        <v>1</v>
      </c>
      <c r="J273" s="7">
        <v>0.2</v>
      </c>
      <c r="K273" s="9">
        <v>0.1515</v>
      </c>
      <c r="L273" s="9">
        <v>0.47</v>
      </c>
      <c r="M273" s="9">
        <v>0.52239999999999998</v>
      </c>
      <c r="N273" s="9">
        <v>2</v>
      </c>
      <c r="O273" s="9">
        <v>135</v>
      </c>
      <c r="P273" s="9">
        <v>137</v>
      </c>
      <c r="Q273" s="7" t="str">
        <f t="shared" si="8"/>
        <v>WENESDAY</v>
      </c>
      <c r="R273" t="str">
        <f t="shared" si="9"/>
        <v>Clear</v>
      </c>
    </row>
    <row r="274" spans="1:18" x14ac:dyDescent="0.25">
      <c r="A274" s="7">
        <v>273</v>
      </c>
      <c r="B274" s="8">
        <v>40555</v>
      </c>
      <c r="C274" s="7">
        <v>1</v>
      </c>
      <c r="D274" s="7">
        <v>0</v>
      </c>
      <c r="E274" s="7">
        <v>1</v>
      </c>
      <c r="F274" s="7">
        <v>19</v>
      </c>
      <c r="G274" s="7" t="b">
        <v>0</v>
      </c>
      <c r="H274" s="7">
        <v>3</v>
      </c>
      <c r="I274" s="7">
        <v>1</v>
      </c>
      <c r="J274" s="7">
        <v>0.18</v>
      </c>
      <c r="K274" s="9">
        <v>0.1515</v>
      </c>
      <c r="L274" s="9">
        <v>0.47</v>
      </c>
      <c r="M274" s="9">
        <v>0.41789999999999999</v>
      </c>
      <c r="N274" s="9">
        <v>1</v>
      </c>
      <c r="O274" s="9">
        <v>82</v>
      </c>
      <c r="P274" s="9">
        <v>83</v>
      </c>
      <c r="Q274" s="7" t="str">
        <f t="shared" si="8"/>
        <v>WENESDAY</v>
      </c>
      <c r="R274" t="str">
        <f t="shared" si="9"/>
        <v>Clear</v>
      </c>
    </row>
    <row r="275" spans="1:18" x14ac:dyDescent="0.25">
      <c r="A275" s="7">
        <v>274</v>
      </c>
      <c r="B275" s="8">
        <v>40555</v>
      </c>
      <c r="C275" s="7">
        <v>1</v>
      </c>
      <c r="D275" s="7">
        <v>0</v>
      </c>
      <c r="E275" s="7">
        <v>1</v>
      </c>
      <c r="F275" s="7">
        <v>20</v>
      </c>
      <c r="G275" s="7" t="b">
        <v>0</v>
      </c>
      <c r="H275" s="7">
        <v>3</v>
      </c>
      <c r="I275" s="7">
        <v>1</v>
      </c>
      <c r="J275" s="7">
        <v>0.16</v>
      </c>
      <c r="K275" s="9">
        <v>0.13639999999999999</v>
      </c>
      <c r="L275" s="9">
        <v>0.5</v>
      </c>
      <c r="M275" s="9">
        <v>0.32840000000000003</v>
      </c>
      <c r="N275" s="9">
        <v>2</v>
      </c>
      <c r="O275" s="9">
        <v>54</v>
      </c>
      <c r="P275" s="9">
        <v>56</v>
      </c>
      <c r="Q275" s="7" t="str">
        <f t="shared" si="8"/>
        <v>WENESDAY</v>
      </c>
      <c r="R275" t="str">
        <f t="shared" si="9"/>
        <v>Clear</v>
      </c>
    </row>
    <row r="276" spans="1:18" x14ac:dyDescent="0.25">
      <c r="A276" s="7">
        <v>275</v>
      </c>
      <c r="B276" s="8">
        <v>40555</v>
      </c>
      <c r="C276" s="7">
        <v>1</v>
      </c>
      <c r="D276" s="7">
        <v>0</v>
      </c>
      <c r="E276" s="7">
        <v>1</v>
      </c>
      <c r="F276" s="7">
        <v>21</v>
      </c>
      <c r="G276" s="7" t="b">
        <v>0</v>
      </c>
      <c r="H276" s="7">
        <v>3</v>
      </c>
      <c r="I276" s="7">
        <v>1</v>
      </c>
      <c r="J276" s="7">
        <v>0.16</v>
      </c>
      <c r="K276" s="9">
        <v>0.13639999999999999</v>
      </c>
      <c r="L276" s="9">
        <v>0.55000000000000004</v>
      </c>
      <c r="M276" s="9">
        <v>0.32840000000000003</v>
      </c>
      <c r="N276" s="9">
        <v>0</v>
      </c>
      <c r="O276" s="9">
        <v>57</v>
      </c>
      <c r="P276" s="9">
        <v>57</v>
      </c>
      <c r="Q276" s="7" t="str">
        <f t="shared" si="8"/>
        <v>WENESDAY</v>
      </c>
      <c r="R276" t="str">
        <f t="shared" si="9"/>
        <v>Clear</v>
      </c>
    </row>
    <row r="277" spans="1:18" x14ac:dyDescent="0.25">
      <c r="A277" s="7">
        <v>276</v>
      </c>
      <c r="B277" s="8">
        <v>40555</v>
      </c>
      <c r="C277" s="7">
        <v>1</v>
      </c>
      <c r="D277" s="7">
        <v>0</v>
      </c>
      <c r="E277" s="7">
        <v>1</v>
      </c>
      <c r="F277" s="7">
        <v>22</v>
      </c>
      <c r="G277" s="7" t="b">
        <v>0</v>
      </c>
      <c r="H277" s="7">
        <v>3</v>
      </c>
      <c r="I277" s="7">
        <v>1</v>
      </c>
      <c r="J277" s="7">
        <v>0.16</v>
      </c>
      <c r="K277" s="9">
        <v>0.1212</v>
      </c>
      <c r="L277" s="9">
        <v>0.55000000000000004</v>
      </c>
      <c r="M277" s="9">
        <v>0.44779999999999998</v>
      </c>
      <c r="N277" s="9">
        <v>1</v>
      </c>
      <c r="O277" s="9">
        <v>32</v>
      </c>
      <c r="P277" s="9">
        <v>33</v>
      </c>
      <c r="Q277" s="7" t="str">
        <f t="shared" si="8"/>
        <v>WENESDAY</v>
      </c>
      <c r="R277" t="str">
        <f t="shared" si="9"/>
        <v>Clear</v>
      </c>
    </row>
    <row r="278" spans="1:18" x14ac:dyDescent="0.25">
      <c r="A278" s="7">
        <v>277</v>
      </c>
      <c r="B278" s="8">
        <v>40555</v>
      </c>
      <c r="C278" s="7">
        <v>1</v>
      </c>
      <c r="D278" s="7">
        <v>0</v>
      </c>
      <c r="E278" s="7">
        <v>1</v>
      </c>
      <c r="F278" s="7">
        <v>23</v>
      </c>
      <c r="G278" s="7" t="b">
        <v>0</v>
      </c>
      <c r="H278" s="7">
        <v>3</v>
      </c>
      <c r="I278" s="7">
        <v>1</v>
      </c>
      <c r="J278" s="7">
        <v>0.14000000000000001</v>
      </c>
      <c r="K278" s="9">
        <v>0.1061</v>
      </c>
      <c r="L278" s="9">
        <v>0.59</v>
      </c>
      <c r="M278" s="9">
        <v>0.41789999999999999</v>
      </c>
      <c r="N278" s="9">
        <v>1</v>
      </c>
      <c r="O278" s="9">
        <v>19</v>
      </c>
      <c r="P278" s="9">
        <v>20</v>
      </c>
      <c r="Q278" s="7" t="str">
        <f t="shared" si="8"/>
        <v>WENESDAY</v>
      </c>
      <c r="R278" t="str">
        <f t="shared" si="9"/>
        <v>Clear</v>
      </c>
    </row>
    <row r="279" spans="1:18" x14ac:dyDescent="0.25">
      <c r="A279" s="7">
        <v>278</v>
      </c>
      <c r="B279" s="8">
        <v>40556</v>
      </c>
      <c r="C279" s="7">
        <v>1</v>
      </c>
      <c r="D279" s="7">
        <v>0</v>
      </c>
      <c r="E279" s="7">
        <v>1</v>
      </c>
      <c r="F279" s="7">
        <v>0</v>
      </c>
      <c r="G279" s="7" t="b">
        <v>0</v>
      </c>
      <c r="H279" s="7">
        <v>4</v>
      </c>
      <c r="I279" s="7">
        <v>1</v>
      </c>
      <c r="J279" s="7">
        <v>0.14000000000000001</v>
      </c>
      <c r="K279" s="9">
        <v>0.1212</v>
      </c>
      <c r="L279" s="9">
        <v>0.59</v>
      </c>
      <c r="M279" s="9">
        <v>0.28360000000000002</v>
      </c>
      <c r="N279" s="9">
        <v>1</v>
      </c>
      <c r="O279" s="9">
        <v>6</v>
      </c>
      <c r="P279" s="9">
        <v>7</v>
      </c>
      <c r="Q279" s="7" t="str">
        <f t="shared" si="8"/>
        <v>THUSDAY</v>
      </c>
      <c r="R279" t="str">
        <f t="shared" si="9"/>
        <v>Clear</v>
      </c>
    </row>
    <row r="280" spans="1:18" x14ac:dyDescent="0.25">
      <c r="A280" s="7">
        <v>279</v>
      </c>
      <c r="B280" s="8">
        <v>40556</v>
      </c>
      <c r="C280" s="7">
        <v>1</v>
      </c>
      <c r="D280" s="7">
        <v>0</v>
      </c>
      <c r="E280" s="7">
        <v>1</v>
      </c>
      <c r="F280" s="7">
        <v>1</v>
      </c>
      <c r="G280" s="7" t="b">
        <v>0</v>
      </c>
      <c r="H280" s="7">
        <v>4</v>
      </c>
      <c r="I280" s="7">
        <v>1</v>
      </c>
      <c r="J280" s="7">
        <v>0.14000000000000001</v>
      </c>
      <c r="K280" s="9">
        <v>0.1212</v>
      </c>
      <c r="L280" s="9">
        <v>0.5</v>
      </c>
      <c r="M280" s="9">
        <v>0.28360000000000002</v>
      </c>
      <c r="N280" s="9">
        <v>0</v>
      </c>
      <c r="O280" s="9">
        <v>2</v>
      </c>
      <c r="P280" s="9">
        <v>2</v>
      </c>
      <c r="Q280" s="7" t="str">
        <f t="shared" si="8"/>
        <v>THUSDAY</v>
      </c>
      <c r="R280" t="str">
        <f t="shared" si="9"/>
        <v>Clear</v>
      </c>
    </row>
    <row r="281" spans="1:18" x14ac:dyDescent="0.25">
      <c r="A281" s="7">
        <v>280</v>
      </c>
      <c r="B281" s="8">
        <v>40556</v>
      </c>
      <c r="C281" s="7">
        <v>1</v>
      </c>
      <c r="D281" s="7">
        <v>0</v>
      </c>
      <c r="E281" s="7">
        <v>1</v>
      </c>
      <c r="F281" s="7">
        <v>2</v>
      </c>
      <c r="G281" s="7" t="b">
        <v>0</v>
      </c>
      <c r="H281" s="7">
        <v>4</v>
      </c>
      <c r="I281" s="7">
        <v>1</v>
      </c>
      <c r="J281" s="7">
        <v>0.14000000000000001</v>
      </c>
      <c r="K281" s="9">
        <v>0.1212</v>
      </c>
      <c r="L281" s="9">
        <v>0.5</v>
      </c>
      <c r="M281" s="9">
        <v>0.35820000000000002</v>
      </c>
      <c r="N281" s="9">
        <v>0</v>
      </c>
      <c r="O281" s="9">
        <v>2</v>
      </c>
      <c r="P281" s="9">
        <v>2</v>
      </c>
      <c r="Q281" s="7" t="str">
        <f t="shared" si="8"/>
        <v>THUSDAY</v>
      </c>
      <c r="R281" t="str">
        <f t="shared" si="9"/>
        <v>Clear</v>
      </c>
    </row>
    <row r="282" spans="1:18" x14ac:dyDescent="0.25">
      <c r="A282" s="7">
        <v>281</v>
      </c>
      <c r="B282" s="8">
        <v>40556</v>
      </c>
      <c r="C282" s="7">
        <v>1</v>
      </c>
      <c r="D282" s="7">
        <v>0</v>
      </c>
      <c r="E282" s="7">
        <v>1</v>
      </c>
      <c r="F282" s="7">
        <v>3</v>
      </c>
      <c r="G282" s="7" t="b">
        <v>0</v>
      </c>
      <c r="H282" s="7">
        <v>4</v>
      </c>
      <c r="I282" s="7">
        <v>1</v>
      </c>
      <c r="J282" s="7">
        <v>0.14000000000000001</v>
      </c>
      <c r="K282" s="9">
        <v>0.1212</v>
      </c>
      <c r="L282" s="9">
        <v>0.5</v>
      </c>
      <c r="M282" s="9">
        <v>0.32840000000000003</v>
      </c>
      <c r="N282" s="9">
        <v>0</v>
      </c>
      <c r="O282" s="9">
        <v>3</v>
      </c>
      <c r="P282" s="9">
        <v>3</v>
      </c>
      <c r="Q282" s="7" t="str">
        <f t="shared" si="8"/>
        <v>THUSDAY</v>
      </c>
      <c r="R282" t="str">
        <f t="shared" si="9"/>
        <v>Clear</v>
      </c>
    </row>
    <row r="283" spans="1:18" x14ac:dyDescent="0.25">
      <c r="A283" s="7">
        <v>282</v>
      </c>
      <c r="B283" s="8">
        <v>40556</v>
      </c>
      <c r="C283" s="7">
        <v>1</v>
      </c>
      <c r="D283" s="7">
        <v>0</v>
      </c>
      <c r="E283" s="7">
        <v>1</v>
      </c>
      <c r="F283" s="7">
        <v>4</v>
      </c>
      <c r="G283" s="7" t="b">
        <v>0</v>
      </c>
      <c r="H283" s="7">
        <v>4</v>
      </c>
      <c r="I283" s="7">
        <v>1</v>
      </c>
      <c r="J283" s="7">
        <v>0.14000000000000001</v>
      </c>
      <c r="K283" s="9">
        <v>0.1212</v>
      </c>
      <c r="L283" s="9">
        <v>0.5</v>
      </c>
      <c r="M283" s="9">
        <v>0.25369999999999998</v>
      </c>
      <c r="N283" s="9">
        <v>0</v>
      </c>
      <c r="O283" s="9">
        <v>4</v>
      </c>
      <c r="P283" s="9">
        <v>4</v>
      </c>
      <c r="Q283" s="7" t="str">
        <f t="shared" si="8"/>
        <v>THUSDAY</v>
      </c>
      <c r="R283" t="str">
        <f t="shared" si="9"/>
        <v>Clear</v>
      </c>
    </row>
    <row r="284" spans="1:18" x14ac:dyDescent="0.25">
      <c r="A284" s="7">
        <v>283</v>
      </c>
      <c r="B284" s="8">
        <v>40556</v>
      </c>
      <c r="C284" s="7">
        <v>1</v>
      </c>
      <c r="D284" s="7">
        <v>0</v>
      </c>
      <c r="E284" s="7">
        <v>1</v>
      </c>
      <c r="F284" s="7">
        <v>5</v>
      </c>
      <c r="G284" s="7" t="b">
        <v>0</v>
      </c>
      <c r="H284" s="7">
        <v>4</v>
      </c>
      <c r="I284" s="7">
        <v>1</v>
      </c>
      <c r="J284" s="7">
        <v>0.14000000000000001</v>
      </c>
      <c r="K284" s="9">
        <v>0.1212</v>
      </c>
      <c r="L284" s="9">
        <v>0.5</v>
      </c>
      <c r="M284" s="9">
        <v>0.29849999999999999</v>
      </c>
      <c r="N284" s="9">
        <v>0</v>
      </c>
      <c r="O284" s="9">
        <v>3</v>
      </c>
      <c r="P284" s="9">
        <v>3</v>
      </c>
      <c r="Q284" s="7" t="str">
        <f t="shared" si="8"/>
        <v>THUSDAY</v>
      </c>
      <c r="R284" t="str">
        <f t="shared" si="9"/>
        <v>Clear</v>
      </c>
    </row>
    <row r="285" spans="1:18" x14ac:dyDescent="0.25">
      <c r="A285" s="7">
        <v>284</v>
      </c>
      <c r="B285" s="8">
        <v>40556</v>
      </c>
      <c r="C285" s="7">
        <v>1</v>
      </c>
      <c r="D285" s="7">
        <v>0</v>
      </c>
      <c r="E285" s="7">
        <v>1</v>
      </c>
      <c r="F285" s="7">
        <v>6</v>
      </c>
      <c r="G285" s="7" t="b">
        <v>0</v>
      </c>
      <c r="H285" s="7">
        <v>4</v>
      </c>
      <c r="I285" s="7">
        <v>1</v>
      </c>
      <c r="J285" s="7">
        <v>0.12</v>
      </c>
      <c r="K285" s="9">
        <v>0.1515</v>
      </c>
      <c r="L285" s="9">
        <v>0.54</v>
      </c>
      <c r="M285" s="9">
        <v>0.1343</v>
      </c>
      <c r="N285" s="9">
        <v>0</v>
      </c>
      <c r="O285" s="9">
        <v>28</v>
      </c>
      <c r="P285" s="9">
        <v>28</v>
      </c>
      <c r="Q285" s="7" t="str">
        <f t="shared" si="8"/>
        <v>THUSDAY</v>
      </c>
      <c r="R285" t="str">
        <f t="shared" si="9"/>
        <v>Clear</v>
      </c>
    </row>
    <row r="286" spans="1:18" x14ac:dyDescent="0.25">
      <c r="A286" s="7">
        <v>285</v>
      </c>
      <c r="B286" s="8">
        <v>40556</v>
      </c>
      <c r="C286" s="7">
        <v>1</v>
      </c>
      <c r="D286" s="7">
        <v>0</v>
      </c>
      <c r="E286" s="7">
        <v>1</v>
      </c>
      <c r="F286" s="7">
        <v>7</v>
      </c>
      <c r="G286" s="7" t="b">
        <v>0</v>
      </c>
      <c r="H286" s="7">
        <v>4</v>
      </c>
      <c r="I286" s="7">
        <v>1</v>
      </c>
      <c r="J286" s="7">
        <v>0.12</v>
      </c>
      <c r="K286" s="9">
        <v>0.1515</v>
      </c>
      <c r="L286" s="9">
        <v>0.54</v>
      </c>
      <c r="M286" s="9">
        <v>0.1343</v>
      </c>
      <c r="N286" s="9">
        <v>0</v>
      </c>
      <c r="O286" s="9">
        <v>72</v>
      </c>
      <c r="P286" s="9">
        <v>72</v>
      </c>
      <c r="Q286" s="7" t="str">
        <f t="shared" si="8"/>
        <v>THUSDAY</v>
      </c>
      <c r="R286" t="str">
        <f t="shared" si="9"/>
        <v>Clear</v>
      </c>
    </row>
    <row r="287" spans="1:18" x14ac:dyDescent="0.25">
      <c r="A287" s="7">
        <v>286</v>
      </c>
      <c r="B287" s="8">
        <v>40556</v>
      </c>
      <c r="C287" s="7">
        <v>1</v>
      </c>
      <c r="D287" s="7">
        <v>0</v>
      </c>
      <c r="E287" s="7">
        <v>1</v>
      </c>
      <c r="F287" s="7">
        <v>8</v>
      </c>
      <c r="G287" s="7" t="b">
        <v>0</v>
      </c>
      <c r="H287" s="7">
        <v>4</v>
      </c>
      <c r="I287" s="7">
        <v>1</v>
      </c>
      <c r="J287" s="7">
        <v>0.14000000000000001</v>
      </c>
      <c r="K287" s="9">
        <v>0.13639999999999999</v>
      </c>
      <c r="L287" s="9">
        <v>0.5</v>
      </c>
      <c r="M287" s="9">
        <v>0.19400000000000001</v>
      </c>
      <c r="N287" s="9">
        <v>5</v>
      </c>
      <c r="O287" s="9">
        <v>197</v>
      </c>
      <c r="P287" s="9">
        <v>202</v>
      </c>
      <c r="Q287" s="7" t="str">
        <f t="shared" si="8"/>
        <v>THUSDAY</v>
      </c>
      <c r="R287" t="str">
        <f t="shared" si="9"/>
        <v>Clear</v>
      </c>
    </row>
    <row r="288" spans="1:18" x14ac:dyDescent="0.25">
      <c r="A288" s="7">
        <v>287</v>
      </c>
      <c r="B288" s="8">
        <v>40556</v>
      </c>
      <c r="C288" s="7">
        <v>1</v>
      </c>
      <c r="D288" s="7">
        <v>0</v>
      </c>
      <c r="E288" s="7">
        <v>1</v>
      </c>
      <c r="F288" s="7">
        <v>9</v>
      </c>
      <c r="G288" s="7" t="b">
        <v>0</v>
      </c>
      <c r="H288" s="7">
        <v>4</v>
      </c>
      <c r="I288" s="7">
        <v>1</v>
      </c>
      <c r="J288" s="7">
        <v>0.14000000000000001</v>
      </c>
      <c r="K288" s="9">
        <v>0.1212</v>
      </c>
      <c r="L288" s="9">
        <v>0.5</v>
      </c>
      <c r="M288" s="9">
        <v>0.32840000000000003</v>
      </c>
      <c r="N288" s="9">
        <v>2</v>
      </c>
      <c r="O288" s="9">
        <v>137</v>
      </c>
      <c r="P288" s="9">
        <v>139</v>
      </c>
      <c r="Q288" s="7" t="str">
        <f t="shared" si="8"/>
        <v>THUSDAY</v>
      </c>
      <c r="R288" t="str">
        <f t="shared" si="9"/>
        <v>Clear</v>
      </c>
    </row>
    <row r="289" spans="1:18" x14ac:dyDescent="0.25">
      <c r="A289" s="7">
        <v>288</v>
      </c>
      <c r="B289" s="8">
        <v>40556</v>
      </c>
      <c r="C289" s="7">
        <v>1</v>
      </c>
      <c r="D289" s="7">
        <v>0</v>
      </c>
      <c r="E289" s="7">
        <v>1</v>
      </c>
      <c r="F289" s="7">
        <v>10</v>
      </c>
      <c r="G289" s="7" t="b">
        <v>0</v>
      </c>
      <c r="H289" s="7">
        <v>4</v>
      </c>
      <c r="I289" s="7">
        <v>2</v>
      </c>
      <c r="J289" s="7">
        <v>0.16</v>
      </c>
      <c r="K289" s="9">
        <v>0.13639999999999999</v>
      </c>
      <c r="L289" s="9">
        <v>0.5</v>
      </c>
      <c r="M289" s="9">
        <v>0.35820000000000002</v>
      </c>
      <c r="N289" s="9">
        <v>2</v>
      </c>
      <c r="O289" s="9">
        <v>36</v>
      </c>
      <c r="P289" s="9">
        <v>38</v>
      </c>
      <c r="Q289" s="7" t="str">
        <f t="shared" si="8"/>
        <v>THUSDAY</v>
      </c>
      <c r="R289" t="str">
        <f t="shared" si="9"/>
        <v>Mist</v>
      </c>
    </row>
    <row r="290" spans="1:18" x14ac:dyDescent="0.25">
      <c r="A290" s="7">
        <v>289</v>
      </c>
      <c r="B290" s="8">
        <v>40556</v>
      </c>
      <c r="C290" s="7">
        <v>1</v>
      </c>
      <c r="D290" s="7">
        <v>0</v>
      </c>
      <c r="E290" s="7">
        <v>1</v>
      </c>
      <c r="F290" s="7">
        <v>11</v>
      </c>
      <c r="G290" s="7" t="b">
        <v>0</v>
      </c>
      <c r="H290" s="7">
        <v>4</v>
      </c>
      <c r="I290" s="7">
        <v>2</v>
      </c>
      <c r="J290" s="7">
        <v>0.2</v>
      </c>
      <c r="K290" s="9">
        <v>0.16669999999999999</v>
      </c>
      <c r="L290" s="9">
        <v>0.44</v>
      </c>
      <c r="M290" s="9">
        <v>0.44779999999999998</v>
      </c>
      <c r="N290" s="9">
        <v>4</v>
      </c>
      <c r="O290" s="9">
        <v>33</v>
      </c>
      <c r="P290" s="9">
        <v>37</v>
      </c>
      <c r="Q290" s="7" t="str">
        <f t="shared" si="8"/>
        <v>THUSDAY</v>
      </c>
      <c r="R290" t="str">
        <f t="shared" si="9"/>
        <v>Mist</v>
      </c>
    </row>
    <row r="291" spans="1:18" x14ac:dyDescent="0.25">
      <c r="A291" s="7">
        <v>290</v>
      </c>
      <c r="B291" s="8">
        <v>40556</v>
      </c>
      <c r="C291" s="7">
        <v>1</v>
      </c>
      <c r="D291" s="7">
        <v>0</v>
      </c>
      <c r="E291" s="7">
        <v>1</v>
      </c>
      <c r="F291" s="7">
        <v>12</v>
      </c>
      <c r="G291" s="7" t="b">
        <v>0</v>
      </c>
      <c r="H291" s="7">
        <v>4</v>
      </c>
      <c r="I291" s="7">
        <v>1</v>
      </c>
      <c r="J291" s="7">
        <v>0.2</v>
      </c>
      <c r="K291" s="9">
        <v>0.16669999999999999</v>
      </c>
      <c r="L291" s="9">
        <v>0.44</v>
      </c>
      <c r="M291" s="9">
        <v>0.41789999999999999</v>
      </c>
      <c r="N291" s="9">
        <v>3</v>
      </c>
      <c r="O291" s="9">
        <v>49</v>
      </c>
      <c r="P291" s="9">
        <v>52</v>
      </c>
      <c r="Q291" s="7" t="str">
        <f t="shared" si="8"/>
        <v>THUSDAY</v>
      </c>
      <c r="R291" t="str">
        <f t="shared" si="9"/>
        <v>Clear</v>
      </c>
    </row>
    <row r="292" spans="1:18" x14ac:dyDescent="0.25">
      <c r="A292" s="7">
        <v>291</v>
      </c>
      <c r="B292" s="8">
        <v>40556</v>
      </c>
      <c r="C292" s="7">
        <v>1</v>
      </c>
      <c r="D292" s="7">
        <v>0</v>
      </c>
      <c r="E292" s="7">
        <v>1</v>
      </c>
      <c r="F292" s="7">
        <v>13</v>
      </c>
      <c r="G292" s="7" t="b">
        <v>0</v>
      </c>
      <c r="H292" s="7">
        <v>4</v>
      </c>
      <c r="I292" s="7">
        <v>1</v>
      </c>
      <c r="J292" s="7">
        <v>0.22</v>
      </c>
      <c r="K292" s="9">
        <v>0.19700000000000001</v>
      </c>
      <c r="L292" s="9">
        <v>0.41</v>
      </c>
      <c r="M292" s="9">
        <v>0.44779999999999998</v>
      </c>
      <c r="N292" s="9">
        <v>2</v>
      </c>
      <c r="O292" s="9">
        <v>81</v>
      </c>
      <c r="P292" s="9">
        <v>83</v>
      </c>
      <c r="Q292" s="7" t="str">
        <f t="shared" si="8"/>
        <v>THUSDAY</v>
      </c>
      <c r="R292" t="str">
        <f t="shared" si="9"/>
        <v>Clear</v>
      </c>
    </row>
    <row r="293" spans="1:18" x14ac:dyDescent="0.25">
      <c r="A293" s="7">
        <v>292</v>
      </c>
      <c r="B293" s="8">
        <v>40556</v>
      </c>
      <c r="C293" s="7">
        <v>1</v>
      </c>
      <c r="D293" s="7">
        <v>0</v>
      </c>
      <c r="E293" s="7">
        <v>1</v>
      </c>
      <c r="F293" s="7">
        <v>14</v>
      </c>
      <c r="G293" s="7" t="b">
        <v>0</v>
      </c>
      <c r="H293" s="7">
        <v>4</v>
      </c>
      <c r="I293" s="7">
        <v>1</v>
      </c>
      <c r="J293" s="7">
        <v>0.22</v>
      </c>
      <c r="K293" s="9">
        <v>0.19700000000000001</v>
      </c>
      <c r="L293" s="9">
        <v>0.41</v>
      </c>
      <c r="M293" s="9">
        <v>0.3881</v>
      </c>
      <c r="N293" s="9">
        <v>3</v>
      </c>
      <c r="O293" s="9">
        <v>39</v>
      </c>
      <c r="P293" s="9">
        <v>42</v>
      </c>
      <c r="Q293" s="7" t="str">
        <f t="shared" si="8"/>
        <v>THUSDAY</v>
      </c>
      <c r="R293" t="str">
        <f t="shared" si="9"/>
        <v>Clear</v>
      </c>
    </row>
    <row r="294" spans="1:18" x14ac:dyDescent="0.25">
      <c r="A294" s="7">
        <v>293</v>
      </c>
      <c r="B294" s="8">
        <v>40556</v>
      </c>
      <c r="C294" s="7">
        <v>1</v>
      </c>
      <c r="D294" s="7">
        <v>0</v>
      </c>
      <c r="E294" s="7">
        <v>1</v>
      </c>
      <c r="F294" s="7">
        <v>15</v>
      </c>
      <c r="G294" s="7" t="b">
        <v>0</v>
      </c>
      <c r="H294" s="7">
        <v>4</v>
      </c>
      <c r="I294" s="7">
        <v>1</v>
      </c>
      <c r="J294" s="7">
        <v>0.24</v>
      </c>
      <c r="K294" s="9">
        <v>0.21210000000000001</v>
      </c>
      <c r="L294" s="9">
        <v>0.38</v>
      </c>
      <c r="M294" s="9">
        <v>0.29849999999999999</v>
      </c>
      <c r="N294" s="9">
        <v>5</v>
      </c>
      <c r="O294" s="9">
        <v>55</v>
      </c>
      <c r="P294" s="9">
        <v>60</v>
      </c>
      <c r="Q294" s="7" t="str">
        <f t="shared" si="8"/>
        <v>THUSDAY</v>
      </c>
      <c r="R294" t="str">
        <f t="shared" si="9"/>
        <v>Clear</v>
      </c>
    </row>
    <row r="295" spans="1:18" x14ac:dyDescent="0.25">
      <c r="A295" s="7">
        <v>294</v>
      </c>
      <c r="B295" s="8">
        <v>40556</v>
      </c>
      <c r="C295" s="7">
        <v>1</v>
      </c>
      <c r="D295" s="7">
        <v>0</v>
      </c>
      <c r="E295" s="7">
        <v>1</v>
      </c>
      <c r="F295" s="7">
        <v>16</v>
      </c>
      <c r="G295" s="7" t="b">
        <v>0</v>
      </c>
      <c r="H295" s="7">
        <v>4</v>
      </c>
      <c r="I295" s="7">
        <v>1</v>
      </c>
      <c r="J295" s="7">
        <v>0.24</v>
      </c>
      <c r="K295" s="9">
        <v>0.21210000000000001</v>
      </c>
      <c r="L295" s="9">
        <v>0.38</v>
      </c>
      <c r="M295" s="9">
        <v>0.35820000000000002</v>
      </c>
      <c r="N295" s="9">
        <v>2</v>
      </c>
      <c r="O295" s="9">
        <v>76</v>
      </c>
      <c r="P295" s="9">
        <v>78</v>
      </c>
      <c r="Q295" s="7" t="str">
        <f t="shared" si="8"/>
        <v>THUSDAY</v>
      </c>
      <c r="R295" t="str">
        <f t="shared" si="9"/>
        <v>Clear</v>
      </c>
    </row>
    <row r="296" spans="1:18" x14ac:dyDescent="0.25">
      <c r="A296" s="7">
        <v>295</v>
      </c>
      <c r="B296" s="8">
        <v>40556</v>
      </c>
      <c r="C296" s="7">
        <v>1</v>
      </c>
      <c r="D296" s="7">
        <v>0</v>
      </c>
      <c r="E296" s="7">
        <v>1</v>
      </c>
      <c r="F296" s="7">
        <v>17</v>
      </c>
      <c r="G296" s="7" t="b">
        <v>0</v>
      </c>
      <c r="H296" s="7">
        <v>4</v>
      </c>
      <c r="I296" s="7">
        <v>1</v>
      </c>
      <c r="J296" s="7">
        <v>0.2</v>
      </c>
      <c r="K296" s="9">
        <v>0.18179999999999999</v>
      </c>
      <c r="L296" s="9">
        <v>0.4</v>
      </c>
      <c r="M296" s="9">
        <v>0.28360000000000002</v>
      </c>
      <c r="N296" s="9">
        <v>4</v>
      </c>
      <c r="O296" s="9">
        <v>158</v>
      </c>
      <c r="P296" s="9">
        <v>162</v>
      </c>
      <c r="Q296" s="7" t="str">
        <f t="shared" si="8"/>
        <v>THUSDAY</v>
      </c>
      <c r="R296" t="str">
        <f t="shared" si="9"/>
        <v>Clear</v>
      </c>
    </row>
    <row r="297" spans="1:18" x14ac:dyDescent="0.25">
      <c r="A297" s="7">
        <v>296</v>
      </c>
      <c r="B297" s="8">
        <v>40556</v>
      </c>
      <c r="C297" s="7">
        <v>1</v>
      </c>
      <c r="D297" s="7">
        <v>0</v>
      </c>
      <c r="E297" s="7">
        <v>1</v>
      </c>
      <c r="F297" s="7">
        <v>18</v>
      </c>
      <c r="G297" s="7" t="b">
        <v>0</v>
      </c>
      <c r="H297" s="7">
        <v>4</v>
      </c>
      <c r="I297" s="7">
        <v>1</v>
      </c>
      <c r="J297" s="7">
        <v>0.2</v>
      </c>
      <c r="K297" s="9">
        <v>0.18179999999999999</v>
      </c>
      <c r="L297" s="9">
        <v>0.4</v>
      </c>
      <c r="M297" s="9">
        <v>0.32840000000000003</v>
      </c>
      <c r="N297" s="9">
        <v>3</v>
      </c>
      <c r="O297" s="9">
        <v>141</v>
      </c>
      <c r="P297" s="9">
        <v>144</v>
      </c>
      <c r="Q297" s="7" t="str">
        <f t="shared" si="8"/>
        <v>THUSDAY</v>
      </c>
      <c r="R297" t="str">
        <f t="shared" si="9"/>
        <v>Clear</v>
      </c>
    </row>
    <row r="298" spans="1:18" x14ac:dyDescent="0.25">
      <c r="A298" s="7">
        <v>297</v>
      </c>
      <c r="B298" s="8">
        <v>40556</v>
      </c>
      <c r="C298" s="7">
        <v>1</v>
      </c>
      <c r="D298" s="7">
        <v>0</v>
      </c>
      <c r="E298" s="7">
        <v>1</v>
      </c>
      <c r="F298" s="7">
        <v>19</v>
      </c>
      <c r="G298" s="7" t="b">
        <v>0</v>
      </c>
      <c r="H298" s="7">
        <v>4</v>
      </c>
      <c r="I298" s="7">
        <v>1</v>
      </c>
      <c r="J298" s="7">
        <v>0.16</v>
      </c>
      <c r="K298" s="9">
        <v>0.1515</v>
      </c>
      <c r="L298" s="9">
        <v>0.47</v>
      </c>
      <c r="M298" s="9">
        <v>0.25369999999999998</v>
      </c>
      <c r="N298" s="9">
        <v>1</v>
      </c>
      <c r="O298" s="9">
        <v>98</v>
      </c>
      <c r="P298" s="9">
        <v>99</v>
      </c>
      <c r="Q298" s="7" t="str">
        <f t="shared" si="8"/>
        <v>THUSDAY</v>
      </c>
      <c r="R298" t="str">
        <f t="shared" si="9"/>
        <v>Clear</v>
      </c>
    </row>
    <row r="299" spans="1:18" x14ac:dyDescent="0.25">
      <c r="A299" s="7">
        <v>298</v>
      </c>
      <c r="B299" s="8">
        <v>40556</v>
      </c>
      <c r="C299" s="7">
        <v>1</v>
      </c>
      <c r="D299" s="7">
        <v>0</v>
      </c>
      <c r="E299" s="7">
        <v>1</v>
      </c>
      <c r="F299" s="7">
        <v>20</v>
      </c>
      <c r="G299" s="7" t="b">
        <v>0</v>
      </c>
      <c r="H299" s="7">
        <v>4</v>
      </c>
      <c r="I299" s="7">
        <v>1</v>
      </c>
      <c r="J299" s="7">
        <v>0.16</v>
      </c>
      <c r="K299" s="9">
        <v>0.1515</v>
      </c>
      <c r="L299" s="9">
        <v>0.47</v>
      </c>
      <c r="M299" s="9">
        <v>0.22389999999999999</v>
      </c>
      <c r="N299" s="9">
        <v>0</v>
      </c>
      <c r="O299" s="9">
        <v>64</v>
      </c>
      <c r="P299" s="9">
        <v>64</v>
      </c>
      <c r="Q299" s="7" t="str">
        <f t="shared" si="8"/>
        <v>THUSDAY</v>
      </c>
      <c r="R299" t="str">
        <f t="shared" si="9"/>
        <v>Clear</v>
      </c>
    </row>
    <row r="300" spans="1:18" x14ac:dyDescent="0.25">
      <c r="A300" s="7">
        <v>299</v>
      </c>
      <c r="B300" s="8">
        <v>40556</v>
      </c>
      <c r="C300" s="7">
        <v>1</v>
      </c>
      <c r="D300" s="7">
        <v>0</v>
      </c>
      <c r="E300" s="7">
        <v>1</v>
      </c>
      <c r="F300" s="7">
        <v>21</v>
      </c>
      <c r="G300" s="7" t="b">
        <v>0</v>
      </c>
      <c r="H300" s="7">
        <v>4</v>
      </c>
      <c r="I300" s="7">
        <v>1</v>
      </c>
      <c r="J300" s="7">
        <v>0.14000000000000001</v>
      </c>
      <c r="K300" s="9">
        <v>0.1212</v>
      </c>
      <c r="L300" s="9">
        <v>0.46</v>
      </c>
      <c r="M300" s="9">
        <v>0.29849999999999999</v>
      </c>
      <c r="N300" s="9">
        <v>0</v>
      </c>
      <c r="O300" s="9">
        <v>40</v>
      </c>
      <c r="P300" s="9">
        <v>40</v>
      </c>
      <c r="Q300" s="7" t="str">
        <f t="shared" si="8"/>
        <v>THUSDAY</v>
      </c>
      <c r="R300" t="str">
        <f t="shared" si="9"/>
        <v>Clear</v>
      </c>
    </row>
    <row r="301" spans="1:18" x14ac:dyDescent="0.25">
      <c r="A301" s="7">
        <v>300</v>
      </c>
      <c r="B301" s="8">
        <v>40556</v>
      </c>
      <c r="C301" s="7">
        <v>1</v>
      </c>
      <c r="D301" s="7">
        <v>0</v>
      </c>
      <c r="E301" s="7">
        <v>1</v>
      </c>
      <c r="F301" s="7">
        <v>22</v>
      </c>
      <c r="G301" s="7" t="b">
        <v>0</v>
      </c>
      <c r="H301" s="7">
        <v>4</v>
      </c>
      <c r="I301" s="7">
        <v>1</v>
      </c>
      <c r="J301" s="7">
        <v>0.14000000000000001</v>
      </c>
      <c r="K301" s="9">
        <v>0.1212</v>
      </c>
      <c r="L301" s="9">
        <v>0.46</v>
      </c>
      <c r="M301" s="9">
        <v>0.32840000000000003</v>
      </c>
      <c r="N301" s="9">
        <v>0</v>
      </c>
      <c r="O301" s="9">
        <v>30</v>
      </c>
      <c r="P301" s="9">
        <v>30</v>
      </c>
      <c r="Q301" s="7" t="str">
        <f t="shared" si="8"/>
        <v>THUSDAY</v>
      </c>
      <c r="R301" t="str">
        <f t="shared" si="9"/>
        <v>Clear</v>
      </c>
    </row>
    <row r="302" spans="1:18" x14ac:dyDescent="0.25">
      <c r="A302" s="7">
        <v>301</v>
      </c>
      <c r="B302" s="8">
        <v>40556</v>
      </c>
      <c r="C302" s="7">
        <v>1</v>
      </c>
      <c r="D302" s="7">
        <v>0</v>
      </c>
      <c r="E302" s="7">
        <v>1</v>
      </c>
      <c r="F302" s="7">
        <v>23</v>
      </c>
      <c r="G302" s="7" t="b">
        <v>0</v>
      </c>
      <c r="H302" s="7">
        <v>4</v>
      </c>
      <c r="I302" s="7">
        <v>1</v>
      </c>
      <c r="J302" s="7">
        <v>0.12</v>
      </c>
      <c r="K302" s="9">
        <v>0.13639999999999999</v>
      </c>
      <c r="L302" s="9">
        <v>0.5</v>
      </c>
      <c r="M302" s="9">
        <v>0.19400000000000001</v>
      </c>
      <c r="N302" s="9">
        <v>1</v>
      </c>
      <c r="O302" s="9">
        <v>14</v>
      </c>
      <c r="P302" s="9">
        <v>15</v>
      </c>
      <c r="Q302" s="7" t="str">
        <f t="shared" si="8"/>
        <v>THUSDAY</v>
      </c>
      <c r="R302" t="str">
        <f t="shared" si="9"/>
        <v>Clear</v>
      </c>
    </row>
    <row r="303" spans="1:18" x14ac:dyDescent="0.25">
      <c r="A303" s="7">
        <v>302</v>
      </c>
      <c r="B303" s="8">
        <v>40557</v>
      </c>
      <c r="C303" s="7">
        <v>1</v>
      </c>
      <c r="D303" s="7">
        <v>0</v>
      </c>
      <c r="E303" s="7">
        <v>1</v>
      </c>
      <c r="F303" s="7">
        <v>0</v>
      </c>
      <c r="G303" s="7" t="b">
        <v>0</v>
      </c>
      <c r="H303" s="7">
        <v>5</v>
      </c>
      <c r="I303" s="7">
        <v>1</v>
      </c>
      <c r="J303" s="7">
        <v>0.12</v>
      </c>
      <c r="K303" s="9">
        <v>0.13639999999999999</v>
      </c>
      <c r="L303" s="9">
        <v>0.5</v>
      </c>
      <c r="M303" s="9">
        <v>0.19400000000000001</v>
      </c>
      <c r="N303" s="9">
        <v>0</v>
      </c>
      <c r="O303" s="9">
        <v>14</v>
      </c>
      <c r="P303" s="9">
        <v>14</v>
      </c>
      <c r="Q303" s="7" t="str">
        <f t="shared" si="8"/>
        <v>FRIDAY</v>
      </c>
      <c r="R303" t="str">
        <f t="shared" si="9"/>
        <v>Clear</v>
      </c>
    </row>
    <row r="304" spans="1:18" x14ac:dyDescent="0.25">
      <c r="A304" s="7">
        <v>303</v>
      </c>
      <c r="B304" s="8">
        <v>40557</v>
      </c>
      <c r="C304" s="7">
        <v>1</v>
      </c>
      <c r="D304" s="7">
        <v>0</v>
      </c>
      <c r="E304" s="7">
        <v>1</v>
      </c>
      <c r="F304" s="7">
        <v>1</v>
      </c>
      <c r="G304" s="7" t="b">
        <v>0</v>
      </c>
      <c r="H304" s="7">
        <v>5</v>
      </c>
      <c r="I304" s="7">
        <v>1</v>
      </c>
      <c r="J304" s="7">
        <v>0.1</v>
      </c>
      <c r="K304" s="9">
        <v>0.1212</v>
      </c>
      <c r="L304" s="9">
        <v>0.54</v>
      </c>
      <c r="M304" s="9">
        <v>0.16420000000000001</v>
      </c>
      <c r="N304" s="9">
        <v>0</v>
      </c>
      <c r="O304" s="9">
        <v>5</v>
      </c>
      <c r="P304" s="9">
        <v>5</v>
      </c>
      <c r="Q304" s="7" t="str">
        <f t="shared" si="8"/>
        <v>FRIDAY</v>
      </c>
      <c r="R304" t="str">
        <f t="shared" si="9"/>
        <v>Clear</v>
      </c>
    </row>
    <row r="305" spans="1:18" x14ac:dyDescent="0.25">
      <c r="A305" s="7">
        <v>304</v>
      </c>
      <c r="B305" s="8">
        <v>40557</v>
      </c>
      <c r="C305" s="7">
        <v>1</v>
      </c>
      <c r="D305" s="7">
        <v>0</v>
      </c>
      <c r="E305" s="7">
        <v>1</v>
      </c>
      <c r="F305" s="7">
        <v>2</v>
      </c>
      <c r="G305" s="7" t="b">
        <v>0</v>
      </c>
      <c r="H305" s="7">
        <v>5</v>
      </c>
      <c r="I305" s="7">
        <v>1</v>
      </c>
      <c r="J305" s="7">
        <v>0.1</v>
      </c>
      <c r="K305" s="9">
        <v>0.1212</v>
      </c>
      <c r="L305" s="9">
        <v>0.54</v>
      </c>
      <c r="M305" s="9">
        <v>0.1343</v>
      </c>
      <c r="N305" s="9">
        <v>0</v>
      </c>
      <c r="O305" s="9">
        <v>1</v>
      </c>
      <c r="P305" s="9">
        <v>1</v>
      </c>
      <c r="Q305" s="7" t="str">
        <f t="shared" si="8"/>
        <v>FRIDAY</v>
      </c>
      <c r="R305" t="str">
        <f t="shared" si="9"/>
        <v>Clear</v>
      </c>
    </row>
    <row r="306" spans="1:18" x14ac:dyDescent="0.25">
      <c r="A306" s="7">
        <v>305</v>
      </c>
      <c r="B306" s="8">
        <v>40557</v>
      </c>
      <c r="C306" s="7">
        <v>1</v>
      </c>
      <c r="D306" s="7">
        <v>0</v>
      </c>
      <c r="E306" s="7">
        <v>1</v>
      </c>
      <c r="F306" s="7">
        <v>3</v>
      </c>
      <c r="G306" s="7" t="b">
        <v>0</v>
      </c>
      <c r="H306" s="7">
        <v>5</v>
      </c>
      <c r="I306" s="7">
        <v>1</v>
      </c>
      <c r="J306" s="7">
        <v>0.1</v>
      </c>
      <c r="K306" s="9">
        <v>0.13639999999999999</v>
      </c>
      <c r="L306" s="9">
        <v>0.54</v>
      </c>
      <c r="M306" s="9">
        <v>0.1045</v>
      </c>
      <c r="N306" s="9">
        <v>0</v>
      </c>
      <c r="O306" s="9">
        <v>1</v>
      </c>
      <c r="P306" s="9">
        <v>1</v>
      </c>
      <c r="Q306" s="7" t="str">
        <f t="shared" si="8"/>
        <v>FRIDAY</v>
      </c>
      <c r="R306" t="str">
        <f t="shared" si="9"/>
        <v>Clear</v>
      </c>
    </row>
    <row r="307" spans="1:18" x14ac:dyDescent="0.25">
      <c r="A307" s="7">
        <v>306</v>
      </c>
      <c r="B307" s="8">
        <v>40557</v>
      </c>
      <c r="C307" s="7">
        <v>1</v>
      </c>
      <c r="D307" s="7">
        <v>0</v>
      </c>
      <c r="E307" s="7">
        <v>1</v>
      </c>
      <c r="F307" s="7">
        <v>5</v>
      </c>
      <c r="G307" s="7" t="b">
        <v>0</v>
      </c>
      <c r="H307" s="7">
        <v>5</v>
      </c>
      <c r="I307" s="7">
        <v>1</v>
      </c>
      <c r="J307" s="7">
        <v>0.1</v>
      </c>
      <c r="K307" s="9">
        <v>0.13639999999999999</v>
      </c>
      <c r="L307" s="9">
        <v>0.54</v>
      </c>
      <c r="M307" s="9">
        <v>8.9599999999999999E-2</v>
      </c>
      <c r="N307" s="9">
        <v>0</v>
      </c>
      <c r="O307" s="9">
        <v>8</v>
      </c>
      <c r="P307" s="9">
        <v>8</v>
      </c>
      <c r="Q307" s="7" t="str">
        <f t="shared" si="8"/>
        <v>FRIDAY</v>
      </c>
      <c r="R307" t="str">
        <f t="shared" si="9"/>
        <v>Clear</v>
      </c>
    </row>
    <row r="308" spans="1:18" x14ac:dyDescent="0.25">
      <c r="A308" s="7">
        <v>307</v>
      </c>
      <c r="B308" s="8">
        <v>40557</v>
      </c>
      <c r="C308" s="7">
        <v>1</v>
      </c>
      <c r="D308" s="7">
        <v>0</v>
      </c>
      <c r="E308" s="7">
        <v>1</v>
      </c>
      <c r="F308" s="7">
        <v>6</v>
      </c>
      <c r="G308" s="7" t="b">
        <v>0</v>
      </c>
      <c r="H308" s="7">
        <v>5</v>
      </c>
      <c r="I308" s="7">
        <v>1</v>
      </c>
      <c r="J308" s="7">
        <v>0.1</v>
      </c>
      <c r="K308" s="9">
        <v>0.18179999999999999</v>
      </c>
      <c r="L308" s="9">
        <v>0.54</v>
      </c>
      <c r="M308" s="9">
        <v>0</v>
      </c>
      <c r="N308" s="9">
        <v>0</v>
      </c>
      <c r="O308" s="9">
        <v>17</v>
      </c>
      <c r="P308" s="9">
        <v>17</v>
      </c>
      <c r="Q308" s="7" t="str">
        <f t="shared" si="8"/>
        <v>FRIDAY</v>
      </c>
      <c r="R308" t="str">
        <f t="shared" si="9"/>
        <v>Clear</v>
      </c>
    </row>
    <row r="309" spans="1:18" x14ac:dyDescent="0.25">
      <c r="A309" s="7">
        <v>308</v>
      </c>
      <c r="B309" s="8">
        <v>40557</v>
      </c>
      <c r="C309" s="7">
        <v>1</v>
      </c>
      <c r="D309" s="7">
        <v>0</v>
      </c>
      <c r="E309" s="7">
        <v>1</v>
      </c>
      <c r="F309" s="7">
        <v>7</v>
      </c>
      <c r="G309" s="7" t="b">
        <v>0</v>
      </c>
      <c r="H309" s="7">
        <v>5</v>
      </c>
      <c r="I309" s="7">
        <v>1</v>
      </c>
      <c r="J309" s="7">
        <v>0.1</v>
      </c>
      <c r="K309" s="9">
        <v>0.1212</v>
      </c>
      <c r="L309" s="9">
        <v>0.74</v>
      </c>
      <c r="M309" s="9">
        <v>0.16420000000000001</v>
      </c>
      <c r="N309" s="9">
        <v>0</v>
      </c>
      <c r="O309" s="9">
        <v>70</v>
      </c>
      <c r="P309" s="9">
        <v>70</v>
      </c>
      <c r="Q309" s="7" t="str">
        <f t="shared" si="8"/>
        <v>FRIDAY</v>
      </c>
      <c r="R309" t="str">
        <f t="shared" si="9"/>
        <v>Clear</v>
      </c>
    </row>
    <row r="310" spans="1:18" x14ac:dyDescent="0.25">
      <c r="A310" s="7">
        <v>309</v>
      </c>
      <c r="B310" s="8">
        <v>40557</v>
      </c>
      <c r="C310" s="7">
        <v>1</v>
      </c>
      <c r="D310" s="7">
        <v>0</v>
      </c>
      <c r="E310" s="7">
        <v>1</v>
      </c>
      <c r="F310" s="7">
        <v>8</v>
      </c>
      <c r="G310" s="7" t="b">
        <v>0</v>
      </c>
      <c r="H310" s="7">
        <v>5</v>
      </c>
      <c r="I310" s="7">
        <v>1</v>
      </c>
      <c r="J310" s="7">
        <v>0.12</v>
      </c>
      <c r="K310" s="9">
        <v>0.16669999999999999</v>
      </c>
      <c r="L310" s="9">
        <v>0.68</v>
      </c>
      <c r="M310" s="9">
        <v>0</v>
      </c>
      <c r="N310" s="9">
        <v>2</v>
      </c>
      <c r="O310" s="9">
        <v>156</v>
      </c>
      <c r="P310" s="9">
        <v>158</v>
      </c>
      <c r="Q310" s="7" t="str">
        <f t="shared" si="8"/>
        <v>FRIDAY</v>
      </c>
      <c r="R310" t="str">
        <f t="shared" si="9"/>
        <v>Clear</v>
      </c>
    </row>
    <row r="311" spans="1:18" x14ac:dyDescent="0.25">
      <c r="A311" s="7">
        <v>310</v>
      </c>
      <c r="B311" s="8">
        <v>40557</v>
      </c>
      <c r="C311" s="7">
        <v>1</v>
      </c>
      <c r="D311" s="7">
        <v>0</v>
      </c>
      <c r="E311" s="7">
        <v>1</v>
      </c>
      <c r="F311" s="7">
        <v>9</v>
      </c>
      <c r="G311" s="7" t="b">
        <v>0</v>
      </c>
      <c r="H311" s="7">
        <v>5</v>
      </c>
      <c r="I311" s="7">
        <v>1</v>
      </c>
      <c r="J311" s="7">
        <v>0.14000000000000001</v>
      </c>
      <c r="K311" s="9">
        <v>0.1515</v>
      </c>
      <c r="L311" s="9">
        <v>0.69</v>
      </c>
      <c r="M311" s="9">
        <v>0.1343</v>
      </c>
      <c r="N311" s="9">
        <v>0</v>
      </c>
      <c r="O311" s="9">
        <v>117</v>
      </c>
      <c r="P311" s="9">
        <v>117</v>
      </c>
      <c r="Q311" s="7" t="str">
        <f t="shared" si="8"/>
        <v>FRIDAY</v>
      </c>
      <c r="R311" t="str">
        <f t="shared" si="9"/>
        <v>Clear</v>
      </c>
    </row>
    <row r="312" spans="1:18" x14ac:dyDescent="0.25">
      <c r="A312" s="7">
        <v>311</v>
      </c>
      <c r="B312" s="8">
        <v>40557</v>
      </c>
      <c r="C312" s="7">
        <v>1</v>
      </c>
      <c r="D312" s="7">
        <v>0</v>
      </c>
      <c r="E312" s="7">
        <v>1</v>
      </c>
      <c r="F312" s="7">
        <v>10</v>
      </c>
      <c r="G312" s="7" t="b">
        <v>0</v>
      </c>
      <c r="H312" s="7">
        <v>5</v>
      </c>
      <c r="I312" s="7">
        <v>1</v>
      </c>
      <c r="J312" s="7">
        <v>0.18</v>
      </c>
      <c r="K312" s="9">
        <v>0.18179999999999999</v>
      </c>
      <c r="L312" s="9">
        <v>0.55000000000000004</v>
      </c>
      <c r="M312" s="9">
        <v>0.19400000000000001</v>
      </c>
      <c r="N312" s="9">
        <v>4</v>
      </c>
      <c r="O312" s="9">
        <v>40</v>
      </c>
      <c r="P312" s="9">
        <v>44</v>
      </c>
      <c r="Q312" s="7" t="str">
        <f t="shared" si="8"/>
        <v>FRIDAY</v>
      </c>
      <c r="R312" t="str">
        <f t="shared" si="9"/>
        <v>Clear</v>
      </c>
    </row>
    <row r="313" spans="1:18" x14ac:dyDescent="0.25">
      <c r="A313" s="7">
        <v>312</v>
      </c>
      <c r="B313" s="8">
        <v>40557</v>
      </c>
      <c r="C313" s="7">
        <v>1</v>
      </c>
      <c r="D313" s="7">
        <v>0</v>
      </c>
      <c r="E313" s="7">
        <v>1</v>
      </c>
      <c r="F313" s="7">
        <v>11</v>
      </c>
      <c r="G313" s="7" t="b">
        <v>0</v>
      </c>
      <c r="H313" s="7">
        <v>5</v>
      </c>
      <c r="I313" s="7">
        <v>1</v>
      </c>
      <c r="J313" s="7">
        <v>0.18</v>
      </c>
      <c r="K313" s="9">
        <v>0.16669999999999999</v>
      </c>
      <c r="L313" s="9">
        <v>0.51</v>
      </c>
      <c r="M313" s="9">
        <v>0.28360000000000002</v>
      </c>
      <c r="N313" s="9">
        <v>6</v>
      </c>
      <c r="O313" s="9">
        <v>47</v>
      </c>
      <c r="P313" s="9">
        <v>53</v>
      </c>
      <c r="Q313" s="7" t="str">
        <f t="shared" si="8"/>
        <v>FRIDAY</v>
      </c>
      <c r="R313" t="str">
        <f t="shared" si="9"/>
        <v>Clear</v>
      </c>
    </row>
    <row r="314" spans="1:18" x14ac:dyDescent="0.25">
      <c r="A314" s="7">
        <v>313</v>
      </c>
      <c r="B314" s="8">
        <v>40557</v>
      </c>
      <c r="C314" s="7">
        <v>1</v>
      </c>
      <c r="D314" s="7">
        <v>0</v>
      </c>
      <c r="E314" s="7">
        <v>1</v>
      </c>
      <c r="F314" s="7">
        <v>12</v>
      </c>
      <c r="G314" s="7" t="b">
        <v>0</v>
      </c>
      <c r="H314" s="7">
        <v>5</v>
      </c>
      <c r="I314" s="7">
        <v>1</v>
      </c>
      <c r="J314" s="7">
        <v>0.2</v>
      </c>
      <c r="K314" s="9">
        <v>0.19700000000000001</v>
      </c>
      <c r="L314" s="9">
        <v>0.44</v>
      </c>
      <c r="M314" s="9">
        <v>0.25369999999999998</v>
      </c>
      <c r="N314" s="9">
        <v>2</v>
      </c>
      <c r="O314" s="9">
        <v>59</v>
      </c>
      <c r="P314" s="9">
        <v>61</v>
      </c>
      <c r="Q314" s="7" t="str">
        <f t="shared" si="8"/>
        <v>FRIDAY</v>
      </c>
      <c r="R314" t="str">
        <f t="shared" si="9"/>
        <v>Clear</v>
      </c>
    </row>
    <row r="315" spans="1:18" x14ac:dyDescent="0.25">
      <c r="A315" s="7">
        <v>314</v>
      </c>
      <c r="B315" s="8">
        <v>40557</v>
      </c>
      <c r="C315" s="7">
        <v>1</v>
      </c>
      <c r="D315" s="7">
        <v>0</v>
      </c>
      <c r="E315" s="7">
        <v>1</v>
      </c>
      <c r="F315" s="7">
        <v>13</v>
      </c>
      <c r="G315" s="7" t="b">
        <v>0</v>
      </c>
      <c r="H315" s="7">
        <v>5</v>
      </c>
      <c r="I315" s="7">
        <v>1</v>
      </c>
      <c r="J315" s="7">
        <v>0.22</v>
      </c>
      <c r="K315" s="9">
        <v>0.19700000000000001</v>
      </c>
      <c r="L315" s="9">
        <v>0.37</v>
      </c>
      <c r="M315" s="9">
        <v>0.3881</v>
      </c>
      <c r="N315" s="9">
        <v>4</v>
      </c>
      <c r="O315" s="9">
        <v>73</v>
      </c>
      <c r="P315" s="9">
        <v>77</v>
      </c>
      <c r="Q315" s="7" t="str">
        <f t="shared" si="8"/>
        <v>FRIDAY</v>
      </c>
      <c r="R315" t="str">
        <f t="shared" si="9"/>
        <v>Clear</v>
      </c>
    </row>
    <row r="316" spans="1:18" x14ac:dyDescent="0.25">
      <c r="A316" s="7">
        <v>315</v>
      </c>
      <c r="B316" s="8">
        <v>40557</v>
      </c>
      <c r="C316" s="7">
        <v>1</v>
      </c>
      <c r="D316" s="7">
        <v>0</v>
      </c>
      <c r="E316" s="7">
        <v>1</v>
      </c>
      <c r="F316" s="7">
        <v>14</v>
      </c>
      <c r="G316" s="7" t="b">
        <v>0</v>
      </c>
      <c r="H316" s="7">
        <v>5</v>
      </c>
      <c r="I316" s="7">
        <v>1</v>
      </c>
      <c r="J316" s="7">
        <v>0.22</v>
      </c>
      <c r="K316" s="9">
        <v>0.21210000000000001</v>
      </c>
      <c r="L316" s="9">
        <v>0.41</v>
      </c>
      <c r="M316" s="9">
        <v>0.28360000000000002</v>
      </c>
      <c r="N316" s="9">
        <v>5</v>
      </c>
      <c r="O316" s="9">
        <v>59</v>
      </c>
      <c r="P316" s="9">
        <v>64</v>
      </c>
      <c r="Q316" s="7" t="str">
        <f t="shared" si="8"/>
        <v>FRIDAY</v>
      </c>
      <c r="R316" t="str">
        <f t="shared" si="9"/>
        <v>Clear</v>
      </c>
    </row>
    <row r="317" spans="1:18" x14ac:dyDescent="0.25">
      <c r="A317" s="7">
        <v>316</v>
      </c>
      <c r="B317" s="8">
        <v>40557</v>
      </c>
      <c r="C317" s="7">
        <v>1</v>
      </c>
      <c r="D317" s="7">
        <v>0</v>
      </c>
      <c r="E317" s="7">
        <v>1</v>
      </c>
      <c r="F317" s="7">
        <v>15</v>
      </c>
      <c r="G317" s="7" t="b">
        <v>0</v>
      </c>
      <c r="H317" s="7">
        <v>5</v>
      </c>
      <c r="I317" s="7">
        <v>1</v>
      </c>
      <c r="J317" s="7">
        <v>0.24</v>
      </c>
      <c r="K317" s="9">
        <v>0.2424</v>
      </c>
      <c r="L317" s="9">
        <v>0.38</v>
      </c>
      <c r="M317" s="9">
        <v>0.16420000000000001</v>
      </c>
      <c r="N317" s="9">
        <v>9</v>
      </c>
      <c r="O317" s="9">
        <v>59</v>
      </c>
      <c r="P317" s="9">
        <v>68</v>
      </c>
      <c r="Q317" s="7" t="str">
        <f t="shared" si="8"/>
        <v>FRIDAY</v>
      </c>
      <c r="R317" t="str">
        <f t="shared" si="9"/>
        <v>Clear</v>
      </c>
    </row>
    <row r="318" spans="1:18" x14ac:dyDescent="0.25">
      <c r="A318" s="7">
        <v>317</v>
      </c>
      <c r="B318" s="8">
        <v>40557</v>
      </c>
      <c r="C318" s="7">
        <v>1</v>
      </c>
      <c r="D318" s="7">
        <v>0</v>
      </c>
      <c r="E318" s="7">
        <v>1</v>
      </c>
      <c r="F318" s="7">
        <v>16</v>
      </c>
      <c r="G318" s="7" t="b">
        <v>0</v>
      </c>
      <c r="H318" s="7">
        <v>5</v>
      </c>
      <c r="I318" s="7">
        <v>1</v>
      </c>
      <c r="J318" s="7">
        <v>0.22</v>
      </c>
      <c r="K318" s="9">
        <v>0.2424</v>
      </c>
      <c r="L318" s="9">
        <v>0.41</v>
      </c>
      <c r="M318" s="9">
        <v>0.1045</v>
      </c>
      <c r="N318" s="9">
        <v>3</v>
      </c>
      <c r="O318" s="9">
        <v>87</v>
      </c>
      <c r="P318" s="9">
        <v>90</v>
      </c>
      <c r="Q318" s="7" t="str">
        <f t="shared" si="8"/>
        <v>FRIDAY</v>
      </c>
      <c r="R318" t="str">
        <f t="shared" si="9"/>
        <v>Clear</v>
      </c>
    </row>
    <row r="319" spans="1:18" x14ac:dyDescent="0.25">
      <c r="A319" s="7">
        <v>318</v>
      </c>
      <c r="B319" s="8">
        <v>40557</v>
      </c>
      <c r="C319" s="7">
        <v>1</v>
      </c>
      <c r="D319" s="7">
        <v>0</v>
      </c>
      <c r="E319" s="7">
        <v>1</v>
      </c>
      <c r="F319" s="7">
        <v>17</v>
      </c>
      <c r="G319" s="7" t="b">
        <v>0</v>
      </c>
      <c r="H319" s="7">
        <v>5</v>
      </c>
      <c r="I319" s="7">
        <v>1</v>
      </c>
      <c r="J319" s="7">
        <v>0.22</v>
      </c>
      <c r="K319" s="9">
        <v>0.2273</v>
      </c>
      <c r="L319" s="9">
        <v>0.41</v>
      </c>
      <c r="M319" s="9">
        <v>0.16420000000000001</v>
      </c>
      <c r="N319" s="9">
        <v>4</v>
      </c>
      <c r="O319" s="9">
        <v>155</v>
      </c>
      <c r="P319" s="9">
        <v>159</v>
      </c>
      <c r="Q319" s="7" t="str">
        <f t="shared" si="8"/>
        <v>FRIDAY</v>
      </c>
      <c r="R319" t="str">
        <f t="shared" si="9"/>
        <v>Clear</v>
      </c>
    </row>
    <row r="320" spans="1:18" x14ac:dyDescent="0.25">
      <c r="A320" s="7">
        <v>319</v>
      </c>
      <c r="B320" s="8">
        <v>40557</v>
      </c>
      <c r="C320" s="7">
        <v>1</v>
      </c>
      <c r="D320" s="7">
        <v>0</v>
      </c>
      <c r="E320" s="7">
        <v>1</v>
      </c>
      <c r="F320" s="7">
        <v>18</v>
      </c>
      <c r="G320" s="7" t="b">
        <v>0</v>
      </c>
      <c r="H320" s="7">
        <v>5</v>
      </c>
      <c r="I320" s="7">
        <v>1</v>
      </c>
      <c r="J320" s="7">
        <v>0.2</v>
      </c>
      <c r="K320" s="9">
        <v>0.2576</v>
      </c>
      <c r="L320" s="9">
        <v>0.47</v>
      </c>
      <c r="M320" s="9">
        <v>0</v>
      </c>
      <c r="N320" s="9">
        <v>5</v>
      </c>
      <c r="O320" s="9">
        <v>134</v>
      </c>
      <c r="P320" s="9">
        <v>139</v>
      </c>
      <c r="Q320" s="7" t="str">
        <f t="shared" si="8"/>
        <v>FRIDAY</v>
      </c>
      <c r="R320" t="str">
        <f t="shared" si="9"/>
        <v>Clear</v>
      </c>
    </row>
    <row r="321" spans="1:18" x14ac:dyDescent="0.25">
      <c r="A321" s="7">
        <v>320</v>
      </c>
      <c r="B321" s="8">
        <v>40557</v>
      </c>
      <c r="C321" s="7">
        <v>1</v>
      </c>
      <c r="D321" s="7">
        <v>0</v>
      </c>
      <c r="E321" s="7">
        <v>1</v>
      </c>
      <c r="F321" s="7">
        <v>19</v>
      </c>
      <c r="G321" s="7" t="b">
        <v>0</v>
      </c>
      <c r="H321" s="7">
        <v>5</v>
      </c>
      <c r="I321" s="7">
        <v>1</v>
      </c>
      <c r="J321" s="7">
        <v>0.16</v>
      </c>
      <c r="K321" s="9">
        <v>0.19700000000000001</v>
      </c>
      <c r="L321" s="9">
        <v>0.59</v>
      </c>
      <c r="M321" s="9">
        <v>8.9599999999999999E-2</v>
      </c>
      <c r="N321" s="9">
        <v>3</v>
      </c>
      <c r="O321" s="9">
        <v>89</v>
      </c>
      <c r="P321" s="9">
        <v>92</v>
      </c>
      <c r="Q321" s="7" t="str">
        <f t="shared" si="8"/>
        <v>FRIDAY</v>
      </c>
      <c r="R321" t="str">
        <f t="shared" si="9"/>
        <v>Clear</v>
      </c>
    </row>
    <row r="322" spans="1:18" x14ac:dyDescent="0.25">
      <c r="A322" s="7">
        <v>321</v>
      </c>
      <c r="B322" s="8">
        <v>40557</v>
      </c>
      <c r="C322" s="7">
        <v>1</v>
      </c>
      <c r="D322" s="7">
        <v>0</v>
      </c>
      <c r="E322" s="7">
        <v>1</v>
      </c>
      <c r="F322" s="7">
        <v>20</v>
      </c>
      <c r="G322" s="7" t="b">
        <v>0</v>
      </c>
      <c r="H322" s="7">
        <v>5</v>
      </c>
      <c r="I322" s="7">
        <v>1</v>
      </c>
      <c r="J322" s="7">
        <v>0.18</v>
      </c>
      <c r="K322" s="9">
        <v>0.2424</v>
      </c>
      <c r="L322" s="9">
        <v>0.59</v>
      </c>
      <c r="M322" s="9">
        <v>0</v>
      </c>
      <c r="N322" s="9">
        <v>0</v>
      </c>
      <c r="O322" s="9">
        <v>68</v>
      </c>
      <c r="P322" s="9">
        <v>68</v>
      </c>
      <c r="Q322" s="7" t="str">
        <f t="shared" ref="Q322:Q385" si="10">CHOOSE(H322+1, "SUNDAY", "MONDAY","TUESDAY", "WENESDAY","THUSDAY", "FRIDAY", "SATARDAY")</f>
        <v>FRIDAY</v>
      </c>
      <c r="R322" t="str">
        <f t="shared" ref="R322:R385" si="11">IF(I322=1,"Clear",IF(I322=2,"Mist",IF(I322=3,"Light Rain/Snow","Heavy Rain")))</f>
        <v>Clear</v>
      </c>
    </row>
    <row r="323" spans="1:18" x14ac:dyDescent="0.25">
      <c r="A323" s="7">
        <v>322</v>
      </c>
      <c r="B323" s="8">
        <v>40557</v>
      </c>
      <c r="C323" s="7">
        <v>1</v>
      </c>
      <c r="D323" s="7">
        <v>0</v>
      </c>
      <c r="E323" s="7">
        <v>1</v>
      </c>
      <c r="F323" s="7">
        <v>21</v>
      </c>
      <c r="G323" s="7" t="b">
        <v>0</v>
      </c>
      <c r="H323" s="7">
        <v>5</v>
      </c>
      <c r="I323" s="7">
        <v>1</v>
      </c>
      <c r="J323" s="7">
        <v>0.16</v>
      </c>
      <c r="K323" s="9">
        <v>0.2273</v>
      </c>
      <c r="L323" s="9">
        <v>0.69</v>
      </c>
      <c r="M323" s="9">
        <v>0</v>
      </c>
      <c r="N323" s="9">
        <v>4</v>
      </c>
      <c r="O323" s="9">
        <v>48</v>
      </c>
      <c r="P323" s="9">
        <v>52</v>
      </c>
      <c r="Q323" s="7" t="str">
        <f t="shared" si="10"/>
        <v>FRIDAY</v>
      </c>
      <c r="R323" t="str">
        <f t="shared" si="11"/>
        <v>Clear</v>
      </c>
    </row>
    <row r="324" spans="1:18" x14ac:dyDescent="0.25">
      <c r="A324" s="7">
        <v>323</v>
      </c>
      <c r="B324" s="8">
        <v>40557</v>
      </c>
      <c r="C324" s="7">
        <v>1</v>
      </c>
      <c r="D324" s="7">
        <v>0</v>
      </c>
      <c r="E324" s="7">
        <v>1</v>
      </c>
      <c r="F324" s="7">
        <v>22</v>
      </c>
      <c r="G324" s="7" t="b">
        <v>0</v>
      </c>
      <c r="H324" s="7">
        <v>5</v>
      </c>
      <c r="I324" s="7">
        <v>2</v>
      </c>
      <c r="J324" s="7">
        <v>0.16</v>
      </c>
      <c r="K324" s="9">
        <v>0.2273</v>
      </c>
      <c r="L324" s="9">
        <v>0.69</v>
      </c>
      <c r="M324" s="9">
        <v>0</v>
      </c>
      <c r="N324" s="9">
        <v>2</v>
      </c>
      <c r="O324" s="9">
        <v>34</v>
      </c>
      <c r="P324" s="9">
        <v>36</v>
      </c>
      <c r="Q324" s="7" t="str">
        <f t="shared" si="10"/>
        <v>FRIDAY</v>
      </c>
      <c r="R324" t="str">
        <f t="shared" si="11"/>
        <v>Mist</v>
      </c>
    </row>
    <row r="325" spans="1:18" x14ac:dyDescent="0.25">
      <c r="A325" s="7">
        <v>324</v>
      </c>
      <c r="B325" s="8">
        <v>40557</v>
      </c>
      <c r="C325" s="7">
        <v>1</v>
      </c>
      <c r="D325" s="7">
        <v>0</v>
      </c>
      <c r="E325" s="7">
        <v>1</v>
      </c>
      <c r="F325" s="7">
        <v>23</v>
      </c>
      <c r="G325" s="7" t="b">
        <v>0</v>
      </c>
      <c r="H325" s="7">
        <v>5</v>
      </c>
      <c r="I325" s="7">
        <v>2</v>
      </c>
      <c r="J325" s="7">
        <v>0.18</v>
      </c>
      <c r="K325" s="9">
        <v>0.2424</v>
      </c>
      <c r="L325" s="9">
        <v>0.55000000000000004</v>
      </c>
      <c r="M325" s="9">
        <v>0</v>
      </c>
      <c r="N325" s="9">
        <v>1</v>
      </c>
      <c r="O325" s="9">
        <v>26</v>
      </c>
      <c r="P325" s="9">
        <v>27</v>
      </c>
      <c r="Q325" s="7" t="str">
        <f t="shared" si="10"/>
        <v>FRIDAY</v>
      </c>
      <c r="R325" t="str">
        <f t="shared" si="11"/>
        <v>Mist</v>
      </c>
    </row>
    <row r="326" spans="1:18" x14ac:dyDescent="0.25">
      <c r="A326" s="7">
        <v>325</v>
      </c>
      <c r="B326" s="8">
        <v>40558</v>
      </c>
      <c r="C326" s="7">
        <v>1</v>
      </c>
      <c r="D326" s="7">
        <v>0</v>
      </c>
      <c r="E326" s="7">
        <v>1</v>
      </c>
      <c r="F326" s="7">
        <v>0</v>
      </c>
      <c r="G326" s="7" t="b">
        <v>0</v>
      </c>
      <c r="H326" s="7">
        <v>6</v>
      </c>
      <c r="I326" s="7">
        <v>1</v>
      </c>
      <c r="J326" s="7">
        <v>0.18</v>
      </c>
      <c r="K326" s="9">
        <v>0.2424</v>
      </c>
      <c r="L326" s="9">
        <v>0.55000000000000004</v>
      </c>
      <c r="M326" s="9">
        <v>0</v>
      </c>
      <c r="N326" s="9">
        <v>3</v>
      </c>
      <c r="O326" s="9">
        <v>25</v>
      </c>
      <c r="P326" s="9">
        <v>28</v>
      </c>
      <c r="Q326" s="7" t="str">
        <f t="shared" si="10"/>
        <v>SATARDAY</v>
      </c>
      <c r="R326" t="str">
        <f t="shared" si="11"/>
        <v>Clear</v>
      </c>
    </row>
    <row r="327" spans="1:18" x14ac:dyDescent="0.25">
      <c r="A327" s="7">
        <v>326</v>
      </c>
      <c r="B327" s="8">
        <v>40558</v>
      </c>
      <c r="C327" s="7">
        <v>1</v>
      </c>
      <c r="D327" s="7">
        <v>0</v>
      </c>
      <c r="E327" s="7">
        <v>1</v>
      </c>
      <c r="F327" s="7">
        <v>1</v>
      </c>
      <c r="G327" s="7" t="b">
        <v>0</v>
      </c>
      <c r="H327" s="7">
        <v>6</v>
      </c>
      <c r="I327" s="7">
        <v>2</v>
      </c>
      <c r="J327" s="7">
        <v>0.16</v>
      </c>
      <c r="K327" s="9">
        <v>0.19700000000000001</v>
      </c>
      <c r="L327" s="9">
        <v>0.59</v>
      </c>
      <c r="M327" s="9">
        <v>8.9599999999999999E-2</v>
      </c>
      <c r="N327" s="9">
        <v>2</v>
      </c>
      <c r="O327" s="9">
        <v>18</v>
      </c>
      <c r="P327" s="9">
        <v>20</v>
      </c>
      <c r="Q327" s="7" t="str">
        <f t="shared" si="10"/>
        <v>SATARDAY</v>
      </c>
      <c r="R327" t="str">
        <f t="shared" si="11"/>
        <v>Mist</v>
      </c>
    </row>
    <row r="328" spans="1:18" x14ac:dyDescent="0.25">
      <c r="A328" s="7">
        <v>327</v>
      </c>
      <c r="B328" s="8">
        <v>40558</v>
      </c>
      <c r="C328" s="7">
        <v>1</v>
      </c>
      <c r="D328" s="7">
        <v>0</v>
      </c>
      <c r="E328" s="7">
        <v>1</v>
      </c>
      <c r="F328" s="7">
        <v>2</v>
      </c>
      <c r="G328" s="7" t="b">
        <v>0</v>
      </c>
      <c r="H328" s="7">
        <v>6</v>
      </c>
      <c r="I328" s="7">
        <v>2</v>
      </c>
      <c r="J328" s="7">
        <v>0.16</v>
      </c>
      <c r="K328" s="9">
        <v>0.19700000000000001</v>
      </c>
      <c r="L328" s="9">
        <v>0.59</v>
      </c>
      <c r="M328" s="9">
        <v>8.9599999999999999E-2</v>
      </c>
      <c r="N328" s="9">
        <v>0</v>
      </c>
      <c r="O328" s="9">
        <v>12</v>
      </c>
      <c r="P328" s="9">
        <v>12</v>
      </c>
      <c r="Q328" s="7" t="str">
        <f t="shared" si="10"/>
        <v>SATARDAY</v>
      </c>
      <c r="R328" t="str">
        <f t="shared" si="11"/>
        <v>Mist</v>
      </c>
    </row>
    <row r="329" spans="1:18" x14ac:dyDescent="0.25">
      <c r="A329" s="7">
        <v>328</v>
      </c>
      <c r="B329" s="8">
        <v>40558</v>
      </c>
      <c r="C329" s="7">
        <v>1</v>
      </c>
      <c r="D329" s="7">
        <v>0</v>
      </c>
      <c r="E329" s="7">
        <v>1</v>
      </c>
      <c r="F329" s="7">
        <v>3</v>
      </c>
      <c r="G329" s="7" t="b">
        <v>0</v>
      </c>
      <c r="H329" s="7">
        <v>6</v>
      </c>
      <c r="I329" s="7">
        <v>2</v>
      </c>
      <c r="J329" s="7">
        <v>0.16</v>
      </c>
      <c r="K329" s="9">
        <v>0.2273</v>
      </c>
      <c r="L329" s="9">
        <v>0.59</v>
      </c>
      <c r="M329" s="9">
        <v>0</v>
      </c>
      <c r="N329" s="9">
        <v>1</v>
      </c>
      <c r="O329" s="9">
        <v>7</v>
      </c>
      <c r="P329" s="9">
        <v>8</v>
      </c>
      <c r="Q329" s="7" t="str">
        <f t="shared" si="10"/>
        <v>SATARDAY</v>
      </c>
      <c r="R329" t="str">
        <f t="shared" si="11"/>
        <v>Mist</v>
      </c>
    </row>
    <row r="330" spans="1:18" x14ac:dyDescent="0.25">
      <c r="A330" s="7">
        <v>329</v>
      </c>
      <c r="B330" s="8">
        <v>40558</v>
      </c>
      <c r="C330" s="7">
        <v>1</v>
      </c>
      <c r="D330" s="7">
        <v>0</v>
      </c>
      <c r="E330" s="7">
        <v>1</v>
      </c>
      <c r="F330" s="7">
        <v>4</v>
      </c>
      <c r="G330" s="7" t="b">
        <v>0</v>
      </c>
      <c r="H330" s="7">
        <v>6</v>
      </c>
      <c r="I330" s="7">
        <v>2</v>
      </c>
      <c r="J330" s="7">
        <v>0.16</v>
      </c>
      <c r="K330" s="9">
        <v>0.2273</v>
      </c>
      <c r="L330" s="9">
        <v>0.59</v>
      </c>
      <c r="M330" s="9">
        <v>0</v>
      </c>
      <c r="N330" s="9">
        <v>0</v>
      </c>
      <c r="O330" s="9">
        <v>5</v>
      </c>
      <c r="P330" s="9">
        <v>5</v>
      </c>
      <c r="Q330" s="7" t="str">
        <f t="shared" si="10"/>
        <v>SATARDAY</v>
      </c>
      <c r="R330" t="str">
        <f t="shared" si="11"/>
        <v>Mist</v>
      </c>
    </row>
    <row r="331" spans="1:18" x14ac:dyDescent="0.25">
      <c r="A331" s="7">
        <v>330</v>
      </c>
      <c r="B331" s="8">
        <v>40558</v>
      </c>
      <c r="C331" s="7">
        <v>1</v>
      </c>
      <c r="D331" s="7">
        <v>0</v>
      </c>
      <c r="E331" s="7">
        <v>1</v>
      </c>
      <c r="F331" s="7">
        <v>5</v>
      </c>
      <c r="G331" s="7" t="b">
        <v>0</v>
      </c>
      <c r="H331" s="7">
        <v>6</v>
      </c>
      <c r="I331" s="7">
        <v>1</v>
      </c>
      <c r="J331" s="7">
        <v>0.16</v>
      </c>
      <c r="K331" s="9">
        <v>0.2273</v>
      </c>
      <c r="L331" s="9">
        <v>0.59</v>
      </c>
      <c r="M331" s="9">
        <v>0</v>
      </c>
      <c r="N331" s="9">
        <v>0</v>
      </c>
      <c r="O331" s="9">
        <v>1</v>
      </c>
      <c r="P331" s="9">
        <v>1</v>
      </c>
      <c r="Q331" s="7" t="str">
        <f t="shared" si="10"/>
        <v>SATARDAY</v>
      </c>
      <c r="R331" t="str">
        <f t="shared" si="11"/>
        <v>Clear</v>
      </c>
    </row>
    <row r="332" spans="1:18" x14ac:dyDescent="0.25">
      <c r="A332" s="7">
        <v>331</v>
      </c>
      <c r="B332" s="8">
        <v>40558</v>
      </c>
      <c r="C332" s="7">
        <v>1</v>
      </c>
      <c r="D332" s="7">
        <v>0</v>
      </c>
      <c r="E332" s="7">
        <v>1</v>
      </c>
      <c r="F332" s="7">
        <v>6</v>
      </c>
      <c r="G332" s="7" t="b">
        <v>0</v>
      </c>
      <c r="H332" s="7">
        <v>6</v>
      </c>
      <c r="I332" s="7">
        <v>1</v>
      </c>
      <c r="J332" s="7">
        <v>0.14000000000000001</v>
      </c>
      <c r="K332" s="9">
        <v>0.16669999999999999</v>
      </c>
      <c r="L332" s="9">
        <v>0.63</v>
      </c>
      <c r="M332" s="9">
        <v>0.1045</v>
      </c>
      <c r="N332" s="9">
        <v>1</v>
      </c>
      <c r="O332" s="9">
        <v>2</v>
      </c>
      <c r="P332" s="9">
        <v>3</v>
      </c>
      <c r="Q332" s="7" t="str">
        <f t="shared" si="10"/>
        <v>SATARDAY</v>
      </c>
      <c r="R332" t="str">
        <f t="shared" si="11"/>
        <v>Clear</v>
      </c>
    </row>
    <row r="333" spans="1:18" x14ac:dyDescent="0.25">
      <c r="A333" s="7">
        <v>332</v>
      </c>
      <c r="B333" s="8">
        <v>40558</v>
      </c>
      <c r="C333" s="7">
        <v>1</v>
      </c>
      <c r="D333" s="7">
        <v>0</v>
      </c>
      <c r="E333" s="7">
        <v>1</v>
      </c>
      <c r="F333" s="7">
        <v>7</v>
      </c>
      <c r="G333" s="7" t="b">
        <v>0</v>
      </c>
      <c r="H333" s="7">
        <v>6</v>
      </c>
      <c r="I333" s="7">
        <v>1</v>
      </c>
      <c r="J333" s="7">
        <v>0.14000000000000001</v>
      </c>
      <c r="K333" s="9">
        <v>0.21210000000000001</v>
      </c>
      <c r="L333" s="9">
        <v>0.63</v>
      </c>
      <c r="M333" s="9">
        <v>0</v>
      </c>
      <c r="N333" s="9">
        <v>1</v>
      </c>
      <c r="O333" s="9">
        <v>9</v>
      </c>
      <c r="P333" s="9">
        <v>10</v>
      </c>
      <c r="Q333" s="7" t="str">
        <f t="shared" si="10"/>
        <v>SATARDAY</v>
      </c>
      <c r="R333" t="str">
        <f t="shared" si="11"/>
        <v>Clear</v>
      </c>
    </row>
    <row r="334" spans="1:18" x14ac:dyDescent="0.25">
      <c r="A334" s="7">
        <v>333</v>
      </c>
      <c r="B334" s="8">
        <v>40558</v>
      </c>
      <c r="C334" s="7">
        <v>1</v>
      </c>
      <c r="D334" s="7">
        <v>0</v>
      </c>
      <c r="E334" s="7">
        <v>1</v>
      </c>
      <c r="F334" s="7">
        <v>8</v>
      </c>
      <c r="G334" s="7" t="b">
        <v>0</v>
      </c>
      <c r="H334" s="7">
        <v>6</v>
      </c>
      <c r="I334" s="7">
        <v>1</v>
      </c>
      <c r="J334" s="7">
        <v>0.14000000000000001</v>
      </c>
      <c r="K334" s="9">
        <v>0.1515</v>
      </c>
      <c r="L334" s="9">
        <v>0.63</v>
      </c>
      <c r="M334" s="9">
        <v>0.1343</v>
      </c>
      <c r="N334" s="9">
        <v>1</v>
      </c>
      <c r="O334" s="9">
        <v>22</v>
      </c>
      <c r="P334" s="9">
        <v>23</v>
      </c>
      <c r="Q334" s="7" t="str">
        <f t="shared" si="10"/>
        <v>SATARDAY</v>
      </c>
      <c r="R334" t="str">
        <f t="shared" si="11"/>
        <v>Clear</v>
      </c>
    </row>
    <row r="335" spans="1:18" x14ac:dyDescent="0.25">
      <c r="A335" s="7">
        <v>334</v>
      </c>
      <c r="B335" s="8">
        <v>40558</v>
      </c>
      <c r="C335" s="7">
        <v>1</v>
      </c>
      <c r="D335" s="7">
        <v>0</v>
      </c>
      <c r="E335" s="7">
        <v>1</v>
      </c>
      <c r="F335" s="7">
        <v>9</v>
      </c>
      <c r="G335" s="7" t="b">
        <v>0</v>
      </c>
      <c r="H335" s="7">
        <v>6</v>
      </c>
      <c r="I335" s="7">
        <v>1</v>
      </c>
      <c r="J335" s="7">
        <v>0.16</v>
      </c>
      <c r="K335" s="9">
        <v>0.18179999999999999</v>
      </c>
      <c r="L335" s="9">
        <v>0.64</v>
      </c>
      <c r="M335" s="9">
        <v>0.1343</v>
      </c>
      <c r="N335" s="9">
        <v>2</v>
      </c>
      <c r="O335" s="9">
        <v>31</v>
      </c>
      <c r="P335" s="9">
        <v>33</v>
      </c>
      <c r="Q335" s="7" t="str">
        <f t="shared" si="10"/>
        <v>SATARDAY</v>
      </c>
      <c r="R335" t="str">
        <f t="shared" si="11"/>
        <v>Clear</v>
      </c>
    </row>
    <row r="336" spans="1:18" x14ac:dyDescent="0.25">
      <c r="A336" s="7">
        <v>335</v>
      </c>
      <c r="B336" s="8">
        <v>40558</v>
      </c>
      <c r="C336" s="7">
        <v>1</v>
      </c>
      <c r="D336" s="7">
        <v>0</v>
      </c>
      <c r="E336" s="7">
        <v>1</v>
      </c>
      <c r="F336" s="7">
        <v>10</v>
      </c>
      <c r="G336" s="7" t="b">
        <v>0</v>
      </c>
      <c r="H336" s="7">
        <v>6</v>
      </c>
      <c r="I336" s="7">
        <v>1</v>
      </c>
      <c r="J336" s="7">
        <v>0.18</v>
      </c>
      <c r="K336" s="9">
        <v>0.19700000000000001</v>
      </c>
      <c r="L336" s="9">
        <v>0.59</v>
      </c>
      <c r="M336" s="9">
        <v>0.16420000000000001</v>
      </c>
      <c r="N336" s="9">
        <v>2</v>
      </c>
      <c r="O336" s="9">
        <v>57</v>
      </c>
      <c r="P336" s="9">
        <v>59</v>
      </c>
      <c r="Q336" s="7" t="str">
        <f t="shared" si="10"/>
        <v>SATARDAY</v>
      </c>
      <c r="R336" t="str">
        <f t="shared" si="11"/>
        <v>Clear</v>
      </c>
    </row>
    <row r="337" spans="1:18" x14ac:dyDescent="0.25">
      <c r="A337" s="7">
        <v>336</v>
      </c>
      <c r="B337" s="8">
        <v>40558</v>
      </c>
      <c r="C337" s="7">
        <v>1</v>
      </c>
      <c r="D337" s="7">
        <v>0</v>
      </c>
      <c r="E337" s="7">
        <v>1</v>
      </c>
      <c r="F337" s="7">
        <v>11</v>
      </c>
      <c r="G337" s="7" t="b">
        <v>0</v>
      </c>
      <c r="H337" s="7">
        <v>6</v>
      </c>
      <c r="I337" s="7">
        <v>1</v>
      </c>
      <c r="J337" s="7">
        <v>0.2</v>
      </c>
      <c r="K337" s="9">
        <v>0.19700000000000001</v>
      </c>
      <c r="L337" s="9">
        <v>0.55000000000000004</v>
      </c>
      <c r="M337" s="9">
        <v>0.22389999999999999</v>
      </c>
      <c r="N337" s="9">
        <v>18</v>
      </c>
      <c r="O337" s="9">
        <v>54</v>
      </c>
      <c r="P337" s="9">
        <v>72</v>
      </c>
      <c r="Q337" s="7" t="str">
        <f t="shared" si="10"/>
        <v>SATARDAY</v>
      </c>
      <c r="R337" t="str">
        <f t="shared" si="11"/>
        <v>Clear</v>
      </c>
    </row>
    <row r="338" spans="1:18" x14ac:dyDescent="0.25">
      <c r="A338" s="7">
        <v>337</v>
      </c>
      <c r="B338" s="8">
        <v>40558</v>
      </c>
      <c r="C338" s="7">
        <v>1</v>
      </c>
      <c r="D338" s="7">
        <v>0</v>
      </c>
      <c r="E338" s="7">
        <v>1</v>
      </c>
      <c r="F338" s="7">
        <v>12</v>
      </c>
      <c r="G338" s="7" t="b">
        <v>0</v>
      </c>
      <c r="H338" s="7">
        <v>6</v>
      </c>
      <c r="I338" s="7">
        <v>1</v>
      </c>
      <c r="J338" s="7">
        <v>0.24</v>
      </c>
      <c r="K338" s="9">
        <v>0.2273</v>
      </c>
      <c r="L338" s="9">
        <v>0.48</v>
      </c>
      <c r="M338" s="9">
        <v>0.22389999999999999</v>
      </c>
      <c r="N338" s="9">
        <v>15</v>
      </c>
      <c r="O338" s="9">
        <v>74</v>
      </c>
      <c r="P338" s="9">
        <v>89</v>
      </c>
      <c r="Q338" s="7" t="str">
        <f t="shared" si="10"/>
        <v>SATARDAY</v>
      </c>
      <c r="R338" t="str">
        <f t="shared" si="11"/>
        <v>Clear</v>
      </c>
    </row>
    <row r="339" spans="1:18" x14ac:dyDescent="0.25">
      <c r="A339" s="7">
        <v>338</v>
      </c>
      <c r="B339" s="8">
        <v>40558</v>
      </c>
      <c r="C339" s="7">
        <v>1</v>
      </c>
      <c r="D339" s="7">
        <v>0</v>
      </c>
      <c r="E339" s="7">
        <v>1</v>
      </c>
      <c r="F339" s="7">
        <v>13</v>
      </c>
      <c r="G339" s="7" t="b">
        <v>0</v>
      </c>
      <c r="H339" s="7">
        <v>6</v>
      </c>
      <c r="I339" s="7">
        <v>1</v>
      </c>
      <c r="J339" s="7">
        <v>0.28000000000000003</v>
      </c>
      <c r="K339" s="9">
        <v>0.2576</v>
      </c>
      <c r="L339" s="9">
        <v>0.38</v>
      </c>
      <c r="M339" s="9">
        <v>0.29849999999999999</v>
      </c>
      <c r="N339" s="9">
        <v>21</v>
      </c>
      <c r="O339" s="9">
        <v>80</v>
      </c>
      <c r="P339" s="9">
        <v>101</v>
      </c>
      <c r="Q339" s="7" t="str">
        <f t="shared" si="10"/>
        <v>SATARDAY</v>
      </c>
      <c r="R339" t="str">
        <f t="shared" si="11"/>
        <v>Clear</v>
      </c>
    </row>
    <row r="340" spans="1:18" x14ac:dyDescent="0.25">
      <c r="A340" s="7">
        <v>339</v>
      </c>
      <c r="B340" s="8">
        <v>40558</v>
      </c>
      <c r="C340" s="7">
        <v>1</v>
      </c>
      <c r="D340" s="7">
        <v>0</v>
      </c>
      <c r="E340" s="7">
        <v>1</v>
      </c>
      <c r="F340" s="7">
        <v>14</v>
      </c>
      <c r="G340" s="7" t="b">
        <v>0</v>
      </c>
      <c r="H340" s="7">
        <v>6</v>
      </c>
      <c r="I340" s="7">
        <v>1</v>
      </c>
      <c r="J340" s="7">
        <v>0.3</v>
      </c>
      <c r="K340" s="9">
        <v>0.28789999999999999</v>
      </c>
      <c r="L340" s="9">
        <v>0.39</v>
      </c>
      <c r="M340" s="9">
        <v>0.28360000000000002</v>
      </c>
      <c r="N340" s="9">
        <v>26</v>
      </c>
      <c r="O340" s="9">
        <v>92</v>
      </c>
      <c r="P340" s="9">
        <v>118</v>
      </c>
      <c r="Q340" s="7" t="str">
        <f t="shared" si="10"/>
        <v>SATARDAY</v>
      </c>
      <c r="R340" t="str">
        <f t="shared" si="11"/>
        <v>Clear</v>
      </c>
    </row>
    <row r="341" spans="1:18" x14ac:dyDescent="0.25">
      <c r="A341" s="7">
        <v>340</v>
      </c>
      <c r="B341" s="8">
        <v>40558</v>
      </c>
      <c r="C341" s="7">
        <v>1</v>
      </c>
      <c r="D341" s="7">
        <v>0</v>
      </c>
      <c r="E341" s="7">
        <v>1</v>
      </c>
      <c r="F341" s="7">
        <v>15</v>
      </c>
      <c r="G341" s="7" t="b">
        <v>0</v>
      </c>
      <c r="H341" s="7">
        <v>6</v>
      </c>
      <c r="I341" s="7">
        <v>2</v>
      </c>
      <c r="J341" s="7">
        <v>0.32</v>
      </c>
      <c r="K341" s="9">
        <v>0.31819999999999998</v>
      </c>
      <c r="L341" s="9">
        <v>0.36</v>
      </c>
      <c r="M341" s="9">
        <v>0.19400000000000001</v>
      </c>
      <c r="N341" s="9">
        <v>21</v>
      </c>
      <c r="O341" s="9">
        <v>108</v>
      </c>
      <c r="P341" s="9">
        <v>129</v>
      </c>
      <c r="Q341" s="7" t="str">
        <f t="shared" si="10"/>
        <v>SATARDAY</v>
      </c>
      <c r="R341" t="str">
        <f t="shared" si="11"/>
        <v>Mist</v>
      </c>
    </row>
    <row r="342" spans="1:18" x14ac:dyDescent="0.25">
      <c r="A342" s="7">
        <v>341</v>
      </c>
      <c r="B342" s="8">
        <v>40558</v>
      </c>
      <c r="C342" s="7">
        <v>1</v>
      </c>
      <c r="D342" s="7">
        <v>0</v>
      </c>
      <c r="E342" s="7">
        <v>1</v>
      </c>
      <c r="F342" s="7">
        <v>16</v>
      </c>
      <c r="G342" s="7" t="b">
        <v>0</v>
      </c>
      <c r="H342" s="7">
        <v>6</v>
      </c>
      <c r="I342" s="7">
        <v>2</v>
      </c>
      <c r="J342" s="7">
        <v>0.34</v>
      </c>
      <c r="K342" s="9">
        <v>0.33329999999999999</v>
      </c>
      <c r="L342" s="9">
        <v>0.34</v>
      </c>
      <c r="M342" s="9">
        <v>0.19400000000000001</v>
      </c>
      <c r="N342" s="9">
        <v>33</v>
      </c>
      <c r="O342" s="9">
        <v>95</v>
      </c>
      <c r="P342" s="9">
        <v>128</v>
      </c>
      <c r="Q342" s="7" t="str">
        <f t="shared" si="10"/>
        <v>SATARDAY</v>
      </c>
      <c r="R342" t="str">
        <f t="shared" si="11"/>
        <v>Mist</v>
      </c>
    </row>
    <row r="343" spans="1:18" x14ac:dyDescent="0.25">
      <c r="A343" s="7">
        <v>342</v>
      </c>
      <c r="B343" s="8">
        <v>40558</v>
      </c>
      <c r="C343" s="7">
        <v>1</v>
      </c>
      <c r="D343" s="7">
        <v>0</v>
      </c>
      <c r="E343" s="7">
        <v>1</v>
      </c>
      <c r="F343" s="7">
        <v>17</v>
      </c>
      <c r="G343" s="7" t="b">
        <v>0</v>
      </c>
      <c r="H343" s="7">
        <v>6</v>
      </c>
      <c r="I343" s="7">
        <v>2</v>
      </c>
      <c r="J343" s="7">
        <v>0.32</v>
      </c>
      <c r="K343" s="9">
        <v>0.30299999999999999</v>
      </c>
      <c r="L343" s="9">
        <v>0.36</v>
      </c>
      <c r="M343" s="9">
        <v>0.28360000000000002</v>
      </c>
      <c r="N343" s="9">
        <v>29</v>
      </c>
      <c r="O343" s="9">
        <v>54</v>
      </c>
      <c r="P343" s="9">
        <v>83</v>
      </c>
      <c r="Q343" s="7" t="str">
        <f t="shared" si="10"/>
        <v>SATARDAY</v>
      </c>
      <c r="R343" t="str">
        <f t="shared" si="11"/>
        <v>Mist</v>
      </c>
    </row>
    <row r="344" spans="1:18" x14ac:dyDescent="0.25">
      <c r="A344" s="7">
        <v>343</v>
      </c>
      <c r="B344" s="8">
        <v>40558</v>
      </c>
      <c r="C344" s="7">
        <v>1</v>
      </c>
      <c r="D344" s="7">
        <v>0</v>
      </c>
      <c r="E344" s="7">
        <v>1</v>
      </c>
      <c r="F344" s="7">
        <v>18</v>
      </c>
      <c r="G344" s="7" t="b">
        <v>0</v>
      </c>
      <c r="H344" s="7">
        <v>6</v>
      </c>
      <c r="I344" s="7">
        <v>2</v>
      </c>
      <c r="J344" s="7">
        <v>0.3</v>
      </c>
      <c r="K344" s="9">
        <v>0.28789999999999999</v>
      </c>
      <c r="L344" s="9">
        <v>0.45</v>
      </c>
      <c r="M344" s="9">
        <v>0.25369999999999998</v>
      </c>
      <c r="N344" s="9">
        <v>15</v>
      </c>
      <c r="O344" s="9">
        <v>69</v>
      </c>
      <c r="P344" s="9">
        <v>84</v>
      </c>
      <c r="Q344" s="7" t="str">
        <f t="shared" si="10"/>
        <v>SATARDAY</v>
      </c>
      <c r="R344" t="str">
        <f t="shared" si="11"/>
        <v>Mist</v>
      </c>
    </row>
    <row r="345" spans="1:18" x14ac:dyDescent="0.25">
      <c r="A345" s="7">
        <v>344</v>
      </c>
      <c r="B345" s="8">
        <v>40558</v>
      </c>
      <c r="C345" s="7">
        <v>1</v>
      </c>
      <c r="D345" s="7">
        <v>0</v>
      </c>
      <c r="E345" s="7">
        <v>1</v>
      </c>
      <c r="F345" s="7">
        <v>19</v>
      </c>
      <c r="G345" s="7" t="b">
        <v>0</v>
      </c>
      <c r="H345" s="7">
        <v>6</v>
      </c>
      <c r="I345" s="7">
        <v>2</v>
      </c>
      <c r="J345" s="7">
        <v>0.32</v>
      </c>
      <c r="K345" s="9">
        <v>0.30299999999999999</v>
      </c>
      <c r="L345" s="9">
        <v>0.39</v>
      </c>
      <c r="M345" s="9">
        <v>0.25369999999999998</v>
      </c>
      <c r="N345" s="9">
        <v>14</v>
      </c>
      <c r="O345" s="9">
        <v>60</v>
      </c>
      <c r="P345" s="9">
        <v>74</v>
      </c>
      <c r="Q345" s="7" t="str">
        <f t="shared" si="10"/>
        <v>SATARDAY</v>
      </c>
      <c r="R345" t="str">
        <f t="shared" si="11"/>
        <v>Mist</v>
      </c>
    </row>
    <row r="346" spans="1:18" x14ac:dyDescent="0.25">
      <c r="A346" s="7">
        <v>345</v>
      </c>
      <c r="B346" s="8">
        <v>40558</v>
      </c>
      <c r="C346" s="7">
        <v>1</v>
      </c>
      <c r="D346" s="7">
        <v>0</v>
      </c>
      <c r="E346" s="7">
        <v>1</v>
      </c>
      <c r="F346" s="7">
        <v>20</v>
      </c>
      <c r="G346" s="7" t="b">
        <v>0</v>
      </c>
      <c r="H346" s="7">
        <v>6</v>
      </c>
      <c r="I346" s="7">
        <v>2</v>
      </c>
      <c r="J346" s="7">
        <v>0.32</v>
      </c>
      <c r="K346" s="9">
        <v>0.30299999999999999</v>
      </c>
      <c r="L346" s="9">
        <v>0.39</v>
      </c>
      <c r="M346" s="9">
        <v>0.25369999999999998</v>
      </c>
      <c r="N346" s="9">
        <v>6</v>
      </c>
      <c r="O346" s="9">
        <v>35</v>
      </c>
      <c r="P346" s="9">
        <v>41</v>
      </c>
      <c r="Q346" s="7" t="str">
        <f t="shared" si="10"/>
        <v>SATARDAY</v>
      </c>
      <c r="R346" t="str">
        <f t="shared" si="11"/>
        <v>Mist</v>
      </c>
    </row>
    <row r="347" spans="1:18" x14ac:dyDescent="0.25">
      <c r="A347" s="7">
        <v>346</v>
      </c>
      <c r="B347" s="8">
        <v>40558</v>
      </c>
      <c r="C347" s="7">
        <v>1</v>
      </c>
      <c r="D347" s="7">
        <v>0</v>
      </c>
      <c r="E347" s="7">
        <v>1</v>
      </c>
      <c r="F347" s="7">
        <v>21</v>
      </c>
      <c r="G347" s="7" t="b">
        <v>0</v>
      </c>
      <c r="H347" s="7">
        <v>6</v>
      </c>
      <c r="I347" s="7">
        <v>2</v>
      </c>
      <c r="J347" s="7">
        <v>0.32</v>
      </c>
      <c r="K347" s="9">
        <v>0.30299999999999999</v>
      </c>
      <c r="L347" s="9">
        <v>0.39</v>
      </c>
      <c r="M347" s="9">
        <v>0.22389999999999999</v>
      </c>
      <c r="N347" s="9">
        <v>6</v>
      </c>
      <c r="O347" s="9">
        <v>51</v>
      </c>
      <c r="P347" s="9">
        <v>57</v>
      </c>
      <c r="Q347" s="7" t="str">
        <f t="shared" si="10"/>
        <v>SATARDAY</v>
      </c>
      <c r="R347" t="str">
        <f t="shared" si="11"/>
        <v>Mist</v>
      </c>
    </row>
    <row r="348" spans="1:18" x14ac:dyDescent="0.25">
      <c r="A348" s="7">
        <v>347</v>
      </c>
      <c r="B348" s="8">
        <v>40558</v>
      </c>
      <c r="C348" s="7">
        <v>1</v>
      </c>
      <c r="D348" s="7">
        <v>0</v>
      </c>
      <c r="E348" s="7">
        <v>1</v>
      </c>
      <c r="F348" s="7">
        <v>22</v>
      </c>
      <c r="G348" s="7" t="b">
        <v>0</v>
      </c>
      <c r="H348" s="7">
        <v>6</v>
      </c>
      <c r="I348" s="7">
        <v>2</v>
      </c>
      <c r="J348" s="7">
        <v>0.3</v>
      </c>
      <c r="K348" s="9">
        <v>0.31819999999999998</v>
      </c>
      <c r="L348" s="9">
        <v>0.42</v>
      </c>
      <c r="M348" s="9">
        <v>0.1045</v>
      </c>
      <c r="N348" s="9">
        <v>0</v>
      </c>
      <c r="O348" s="9">
        <v>26</v>
      </c>
      <c r="P348" s="9">
        <v>26</v>
      </c>
      <c r="Q348" s="7" t="str">
        <f t="shared" si="10"/>
        <v>SATARDAY</v>
      </c>
      <c r="R348" t="str">
        <f t="shared" si="11"/>
        <v>Mist</v>
      </c>
    </row>
    <row r="349" spans="1:18" x14ac:dyDescent="0.25">
      <c r="A349" s="7">
        <v>348</v>
      </c>
      <c r="B349" s="8">
        <v>40558</v>
      </c>
      <c r="C349" s="7">
        <v>1</v>
      </c>
      <c r="D349" s="7">
        <v>0</v>
      </c>
      <c r="E349" s="7">
        <v>1</v>
      </c>
      <c r="F349" s="7">
        <v>23</v>
      </c>
      <c r="G349" s="7" t="b">
        <v>0</v>
      </c>
      <c r="H349" s="7">
        <v>6</v>
      </c>
      <c r="I349" s="7">
        <v>1</v>
      </c>
      <c r="J349" s="7">
        <v>0.3</v>
      </c>
      <c r="K349" s="9">
        <v>0.28789999999999999</v>
      </c>
      <c r="L349" s="9">
        <v>0.45</v>
      </c>
      <c r="M349" s="9">
        <v>0.28360000000000002</v>
      </c>
      <c r="N349" s="9">
        <v>5</v>
      </c>
      <c r="O349" s="9">
        <v>39</v>
      </c>
      <c r="P349" s="9">
        <v>44</v>
      </c>
      <c r="Q349" s="7" t="str">
        <f t="shared" si="10"/>
        <v>SATARDAY</v>
      </c>
      <c r="R349" t="str">
        <f t="shared" si="11"/>
        <v>Clear</v>
      </c>
    </row>
    <row r="350" spans="1:18" x14ac:dyDescent="0.25">
      <c r="A350" s="7">
        <v>349</v>
      </c>
      <c r="B350" s="8">
        <v>40559</v>
      </c>
      <c r="C350" s="7">
        <v>1</v>
      </c>
      <c r="D350" s="7">
        <v>0</v>
      </c>
      <c r="E350" s="7">
        <v>1</v>
      </c>
      <c r="F350" s="7">
        <v>0</v>
      </c>
      <c r="G350" s="7" t="b">
        <v>0</v>
      </c>
      <c r="H350" s="7">
        <v>0</v>
      </c>
      <c r="I350" s="7">
        <v>1</v>
      </c>
      <c r="J350" s="7">
        <v>0.26</v>
      </c>
      <c r="K350" s="9">
        <v>0.30299999999999999</v>
      </c>
      <c r="L350" s="9">
        <v>0.56000000000000005</v>
      </c>
      <c r="M350" s="9">
        <v>0</v>
      </c>
      <c r="N350" s="9">
        <v>6</v>
      </c>
      <c r="O350" s="9">
        <v>33</v>
      </c>
      <c r="P350" s="9">
        <v>39</v>
      </c>
      <c r="Q350" s="7" t="str">
        <f t="shared" si="10"/>
        <v>SUNDAY</v>
      </c>
      <c r="R350" t="str">
        <f t="shared" si="11"/>
        <v>Clear</v>
      </c>
    </row>
    <row r="351" spans="1:18" x14ac:dyDescent="0.25">
      <c r="A351" s="7">
        <v>350</v>
      </c>
      <c r="B351" s="8">
        <v>40559</v>
      </c>
      <c r="C351" s="7">
        <v>1</v>
      </c>
      <c r="D351" s="7">
        <v>0</v>
      </c>
      <c r="E351" s="7">
        <v>1</v>
      </c>
      <c r="F351" s="7">
        <v>1</v>
      </c>
      <c r="G351" s="7" t="b">
        <v>0</v>
      </c>
      <c r="H351" s="7">
        <v>0</v>
      </c>
      <c r="I351" s="7">
        <v>1</v>
      </c>
      <c r="J351" s="7">
        <v>0.26</v>
      </c>
      <c r="K351" s="9">
        <v>0.2727</v>
      </c>
      <c r="L351" s="9">
        <v>0.56000000000000005</v>
      </c>
      <c r="M351" s="9">
        <v>0.1343</v>
      </c>
      <c r="N351" s="9">
        <v>4</v>
      </c>
      <c r="O351" s="9">
        <v>19</v>
      </c>
      <c r="P351" s="9">
        <v>23</v>
      </c>
      <c r="Q351" s="7" t="str">
        <f t="shared" si="10"/>
        <v>SUNDAY</v>
      </c>
      <c r="R351" t="str">
        <f t="shared" si="11"/>
        <v>Clear</v>
      </c>
    </row>
    <row r="352" spans="1:18" x14ac:dyDescent="0.25">
      <c r="A352" s="7">
        <v>351</v>
      </c>
      <c r="B352" s="8">
        <v>40559</v>
      </c>
      <c r="C352" s="7">
        <v>1</v>
      </c>
      <c r="D352" s="7">
        <v>0</v>
      </c>
      <c r="E352" s="7">
        <v>1</v>
      </c>
      <c r="F352" s="7">
        <v>2</v>
      </c>
      <c r="G352" s="7" t="b">
        <v>0</v>
      </c>
      <c r="H352" s="7">
        <v>0</v>
      </c>
      <c r="I352" s="7">
        <v>1</v>
      </c>
      <c r="J352" s="7">
        <v>0.26</v>
      </c>
      <c r="K352" s="9">
        <v>0.28789999999999999</v>
      </c>
      <c r="L352" s="9">
        <v>0.56000000000000005</v>
      </c>
      <c r="M352" s="9">
        <v>8.9599999999999999E-2</v>
      </c>
      <c r="N352" s="9">
        <v>3</v>
      </c>
      <c r="O352" s="9">
        <v>13</v>
      </c>
      <c r="P352" s="9">
        <v>16</v>
      </c>
      <c r="Q352" s="7" t="str">
        <f t="shared" si="10"/>
        <v>SUNDAY</v>
      </c>
      <c r="R352" t="str">
        <f t="shared" si="11"/>
        <v>Clear</v>
      </c>
    </row>
    <row r="353" spans="1:18" x14ac:dyDescent="0.25">
      <c r="A353" s="7">
        <v>352</v>
      </c>
      <c r="B353" s="8">
        <v>40559</v>
      </c>
      <c r="C353" s="7">
        <v>1</v>
      </c>
      <c r="D353" s="7">
        <v>0</v>
      </c>
      <c r="E353" s="7">
        <v>1</v>
      </c>
      <c r="F353" s="7">
        <v>3</v>
      </c>
      <c r="G353" s="7" t="b">
        <v>0</v>
      </c>
      <c r="H353" s="7">
        <v>0</v>
      </c>
      <c r="I353" s="7">
        <v>1</v>
      </c>
      <c r="J353" s="7">
        <v>0.22</v>
      </c>
      <c r="K353" s="9">
        <v>0.2727</v>
      </c>
      <c r="L353" s="9">
        <v>0.69</v>
      </c>
      <c r="M353" s="9">
        <v>0</v>
      </c>
      <c r="N353" s="9">
        <v>9</v>
      </c>
      <c r="O353" s="9">
        <v>6</v>
      </c>
      <c r="P353" s="9">
        <v>15</v>
      </c>
      <c r="Q353" s="7" t="str">
        <f t="shared" si="10"/>
        <v>SUNDAY</v>
      </c>
      <c r="R353" t="str">
        <f t="shared" si="11"/>
        <v>Clear</v>
      </c>
    </row>
    <row r="354" spans="1:18" x14ac:dyDescent="0.25">
      <c r="A354" s="7">
        <v>353</v>
      </c>
      <c r="B354" s="8">
        <v>40559</v>
      </c>
      <c r="C354" s="7">
        <v>1</v>
      </c>
      <c r="D354" s="7">
        <v>0</v>
      </c>
      <c r="E354" s="7">
        <v>1</v>
      </c>
      <c r="F354" s="7">
        <v>4</v>
      </c>
      <c r="G354" s="7" t="b">
        <v>0</v>
      </c>
      <c r="H354" s="7">
        <v>0</v>
      </c>
      <c r="I354" s="7">
        <v>1</v>
      </c>
      <c r="J354" s="7">
        <v>0.26</v>
      </c>
      <c r="K354" s="9">
        <v>0.2576</v>
      </c>
      <c r="L354" s="9">
        <v>0.56000000000000005</v>
      </c>
      <c r="M354" s="9">
        <v>0.16420000000000001</v>
      </c>
      <c r="N354" s="9">
        <v>0</v>
      </c>
      <c r="O354" s="9">
        <v>1</v>
      </c>
      <c r="P354" s="9">
        <v>1</v>
      </c>
      <c r="Q354" s="7" t="str">
        <f t="shared" si="10"/>
        <v>SUNDAY</v>
      </c>
      <c r="R354" t="str">
        <f t="shared" si="11"/>
        <v>Clear</v>
      </c>
    </row>
    <row r="355" spans="1:18" x14ac:dyDescent="0.25">
      <c r="A355" s="7">
        <v>354</v>
      </c>
      <c r="B355" s="8">
        <v>40559</v>
      </c>
      <c r="C355" s="7">
        <v>1</v>
      </c>
      <c r="D355" s="7">
        <v>0</v>
      </c>
      <c r="E355" s="7">
        <v>1</v>
      </c>
      <c r="F355" s="7">
        <v>5</v>
      </c>
      <c r="G355" s="7" t="b">
        <v>0</v>
      </c>
      <c r="H355" s="7">
        <v>0</v>
      </c>
      <c r="I355" s="7">
        <v>2</v>
      </c>
      <c r="J355" s="7">
        <v>0.26</v>
      </c>
      <c r="K355" s="9">
        <v>0.2576</v>
      </c>
      <c r="L355" s="9">
        <v>0.56000000000000005</v>
      </c>
      <c r="M355" s="9">
        <v>0.16420000000000001</v>
      </c>
      <c r="N355" s="9">
        <v>1</v>
      </c>
      <c r="O355" s="9">
        <v>1</v>
      </c>
      <c r="P355" s="9">
        <v>2</v>
      </c>
      <c r="Q355" s="7" t="str">
        <f t="shared" si="10"/>
        <v>SUNDAY</v>
      </c>
      <c r="R355" t="str">
        <f t="shared" si="11"/>
        <v>Mist</v>
      </c>
    </row>
    <row r="356" spans="1:18" x14ac:dyDescent="0.25">
      <c r="A356" s="7">
        <v>355</v>
      </c>
      <c r="B356" s="8">
        <v>40559</v>
      </c>
      <c r="C356" s="7">
        <v>1</v>
      </c>
      <c r="D356" s="7">
        <v>0</v>
      </c>
      <c r="E356" s="7">
        <v>1</v>
      </c>
      <c r="F356" s="7">
        <v>6</v>
      </c>
      <c r="G356" s="7" t="b">
        <v>0</v>
      </c>
      <c r="H356" s="7">
        <v>0</v>
      </c>
      <c r="I356" s="7">
        <v>2</v>
      </c>
      <c r="J356" s="7">
        <v>0.26</v>
      </c>
      <c r="K356" s="9">
        <v>0.2576</v>
      </c>
      <c r="L356" s="9">
        <v>0.56000000000000005</v>
      </c>
      <c r="M356" s="9">
        <v>0.16420000000000001</v>
      </c>
      <c r="N356" s="9">
        <v>0</v>
      </c>
      <c r="O356" s="9">
        <v>1</v>
      </c>
      <c r="P356" s="9">
        <v>1</v>
      </c>
      <c r="Q356" s="7" t="str">
        <f t="shared" si="10"/>
        <v>SUNDAY</v>
      </c>
      <c r="R356" t="str">
        <f t="shared" si="11"/>
        <v>Mist</v>
      </c>
    </row>
    <row r="357" spans="1:18" x14ac:dyDescent="0.25">
      <c r="A357" s="7">
        <v>356</v>
      </c>
      <c r="B357" s="8">
        <v>40559</v>
      </c>
      <c r="C357" s="7">
        <v>1</v>
      </c>
      <c r="D357" s="7">
        <v>0</v>
      </c>
      <c r="E357" s="7">
        <v>1</v>
      </c>
      <c r="F357" s="7">
        <v>7</v>
      </c>
      <c r="G357" s="7" t="b">
        <v>0</v>
      </c>
      <c r="H357" s="7">
        <v>0</v>
      </c>
      <c r="I357" s="7">
        <v>2</v>
      </c>
      <c r="J357" s="7">
        <v>0.24</v>
      </c>
      <c r="K357" s="9">
        <v>0.21210000000000001</v>
      </c>
      <c r="L357" s="9">
        <v>0.56000000000000005</v>
      </c>
      <c r="M357" s="9">
        <v>0.29849999999999999</v>
      </c>
      <c r="N357" s="9">
        <v>0</v>
      </c>
      <c r="O357" s="9">
        <v>3</v>
      </c>
      <c r="P357" s="9">
        <v>3</v>
      </c>
      <c r="Q357" s="7" t="str">
        <f t="shared" si="10"/>
        <v>SUNDAY</v>
      </c>
      <c r="R357" t="str">
        <f t="shared" si="11"/>
        <v>Mist</v>
      </c>
    </row>
    <row r="358" spans="1:18" x14ac:dyDescent="0.25">
      <c r="A358" s="7">
        <v>357</v>
      </c>
      <c r="B358" s="8">
        <v>40559</v>
      </c>
      <c r="C358" s="7">
        <v>1</v>
      </c>
      <c r="D358" s="7">
        <v>0</v>
      </c>
      <c r="E358" s="7">
        <v>1</v>
      </c>
      <c r="F358" s="7">
        <v>8</v>
      </c>
      <c r="G358" s="7" t="b">
        <v>0</v>
      </c>
      <c r="H358" s="7">
        <v>0</v>
      </c>
      <c r="I358" s="7">
        <v>1</v>
      </c>
      <c r="J358" s="7">
        <v>0.22</v>
      </c>
      <c r="K358" s="9">
        <v>0.21210000000000001</v>
      </c>
      <c r="L358" s="9">
        <v>0.55000000000000004</v>
      </c>
      <c r="M358" s="9">
        <v>0.28360000000000002</v>
      </c>
      <c r="N358" s="9">
        <v>0</v>
      </c>
      <c r="O358" s="9">
        <v>18</v>
      </c>
      <c r="P358" s="9">
        <v>18</v>
      </c>
      <c r="Q358" s="7" t="str">
        <f t="shared" si="10"/>
        <v>SUNDAY</v>
      </c>
      <c r="R358" t="str">
        <f t="shared" si="11"/>
        <v>Clear</v>
      </c>
    </row>
    <row r="359" spans="1:18" x14ac:dyDescent="0.25">
      <c r="A359" s="7">
        <v>358</v>
      </c>
      <c r="B359" s="8">
        <v>40559</v>
      </c>
      <c r="C359" s="7">
        <v>1</v>
      </c>
      <c r="D359" s="7">
        <v>0</v>
      </c>
      <c r="E359" s="7">
        <v>1</v>
      </c>
      <c r="F359" s="7">
        <v>9</v>
      </c>
      <c r="G359" s="7" t="b">
        <v>0</v>
      </c>
      <c r="H359" s="7">
        <v>0</v>
      </c>
      <c r="I359" s="7">
        <v>1</v>
      </c>
      <c r="J359" s="7">
        <v>0.22</v>
      </c>
      <c r="K359" s="9">
        <v>0.21210000000000001</v>
      </c>
      <c r="L359" s="9">
        <v>0.51</v>
      </c>
      <c r="M359" s="9">
        <v>0.25369999999999998</v>
      </c>
      <c r="N359" s="9">
        <v>3</v>
      </c>
      <c r="O359" s="9">
        <v>29</v>
      </c>
      <c r="P359" s="9">
        <v>32</v>
      </c>
      <c r="Q359" s="7" t="str">
        <f t="shared" si="10"/>
        <v>SUNDAY</v>
      </c>
      <c r="R359" t="str">
        <f t="shared" si="11"/>
        <v>Clear</v>
      </c>
    </row>
    <row r="360" spans="1:18" x14ac:dyDescent="0.25">
      <c r="A360" s="7">
        <v>359</v>
      </c>
      <c r="B360" s="8">
        <v>40559</v>
      </c>
      <c r="C360" s="7">
        <v>1</v>
      </c>
      <c r="D360" s="7">
        <v>0</v>
      </c>
      <c r="E360" s="7">
        <v>1</v>
      </c>
      <c r="F360" s="7">
        <v>10</v>
      </c>
      <c r="G360" s="7" t="b">
        <v>0</v>
      </c>
      <c r="H360" s="7">
        <v>0</v>
      </c>
      <c r="I360" s="7">
        <v>1</v>
      </c>
      <c r="J360" s="7">
        <v>0.22</v>
      </c>
      <c r="K360" s="9">
        <v>0.21210000000000001</v>
      </c>
      <c r="L360" s="9">
        <v>0.51</v>
      </c>
      <c r="M360" s="9">
        <v>0.28360000000000002</v>
      </c>
      <c r="N360" s="9">
        <v>8</v>
      </c>
      <c r="O360" s="9">
        <v>71</v>
      </c>
      <c r="P360" s="9">
        <v>79</v>
      </c>
      <c r="Q360" s="7" t="str">
        <f t="shared" si="10"/>
        <v>SUNDAY</v>
      </c>
      <c r="R360" t="str">
        <f t="shared" si="11"/>
        <v>Clear</v>
      </c>
    </row>
    <row r="361" spans="1:18" x14ac:dyDescent="0.25">
      <c r="A361" s="7">
        <v>360</v>
      </c>
      <c r="B361" s="8">
        <v>40559</v>
      </c>
      <c r="C361" s="7">
        <v>1</v>
      </c>
      <c r="D361" s="7">
        <v>0</v>
      </c>
      <c r="E361" s="7">
        <v>1</v>
      </c>
      <c r="F361" s="7">
        <v>11</v>
      </c>
      <c r="G361" s="7" t="b">
        <v>0</v>
      </c>
      <c r="H361" s="7">
        <v>0</v>
      </c>
      <c r="I361" s="7">
        <v>1</v>
      </c>
      <c r="J361" s="7">
        <v>0.24</v>
      </c>
      <c r="K361" s="9">
        <v>0.2273</v>
      </c>
      <c r="L361" s="9">
        <v>0.44</v>
      </c>
      <c r="M361" s="9">
        <v>0.25369999999999998</v>
      </c>
      <c r="N361" s="9">
        <v>23</v>
      </c>
      <c r="O361" s="9">
        <v>70</v>
      </c>
      <c r="P361" s="9">
        <v>93</v>
      </c>
      <c r="Q361" s="7" t="str">
        <f t="shared" si="10"/>
        <v>SUNDAY</v>
      </c>
      <c r="R361" t="str">
        <f t="shared" si="11"/>
        <v>Clear</v>
      </c>
    </row>
    <row r="362" spans="1:18" x14ac:dyDescent="0.25">
      <c r="A362" s="7">
        <v>361</v>
      </c>
      <c r="B362" s="8">
        <v>40559</v>
      </c>
      <c r="C362" s="7">
        <v>1</v>
      </c>
      <c r="D362" s="7">
        <v>0</v>
      </c>
      <c r="E362" s="7">
        <v>1</v>
      </c>
      <c r="F362" s="7">
        <v>12</v>
      </c>
      <c r="G362" s="7" t="b">
        <v>0</v>
      </c>
      <c r="H362" s="7">
        <v>0</v>
      </c>
      <c r="I362" s="7">
        <v>1</v>
      </c>
      <c r="J362" s="7">
        <v>0.24</v>
      </c>
      <c r="K362" s="9">
        <v>0.21210000000000001</v>
      </c>
      <c r="L362" s="9">
        <v>0.41</v>
      </c>
      <c r="M362" s="9">
        <v>0.28360000000000002</v>
      </c>
      <c r="N362" s="9">
        <v>29</v>
      </c>
      <c r="O362" s="9">
        <v>75</v>
      </c>
      <c r="P362" s="9">
        <v>104</v>
      </c>
      <c r="Q362" s="7" t="str">
        <f t="shared" si="10"/>
        <v>SUNDAY</v>
      </c>
      <c r="R362" t="str">
        <f t="shared" si="11"/>
        <v>Clear</v>
      </c>
    </row>
    <row r="363" spans="1:18" x14ac:dyDescent="0.25">
      <c r="A363" s="7">
        <v>362</v>
      </c>
      <c r="B363" s="8">
        <v>40559</v>
      </c>
      <c r="C363" s="7">
        <v>1</v>
      </c>
      <c r="D363" s="7">
        <v>0</v>
      </c>
      <c r="E363" s="7">
        <v>1</v>
      </c>
      <c r="F363" s="7">
        <v>13</v>
      </c>
      <c r="G363" s="7" t="b">
        <v>0</v>
      </c>
      <c r="H363" s="7">
        <v>0</v>
      </c>
      <c r="I363" s="7">
        <v>1</v>
      </c>
      <c r="J363" s="7">
        <v>0.26</v>
      </c>
      <c r="K363" s="9">
        <v>0.2273</v>
      </c>
      <c r="L363" s="9">
        <v>0.35</v>
      </c>
      <c r="M363" s="9">
        <v>0.29849999999999999</v>
      </c>
      <c r="N363" s="9">
        <v>23</v>
      </c>
      <c r="O363" s="9">
        <v>95</v>
      </c>
      <c r="P363" s="9">
        <v>118</v>
      </c>
      <c r="Q363" s="7" t="str">
        <f t="shared" si="10"/>
        <v>SUNDAY</v>
      </c>
      <c r="R363" t="str">
        <f t="shared" si="11"/>
        <v>Clear</v>
      </c>
    </row>
    <row r="364" spans="1:18" x14ac:dyDescent="0.25">
      <c r="A364" s="7">
        <v>363</v>
      </c>
      <c r="B364" s="8">
        <v>40559</v>
      </c>
      <c r="C364" s="7">
        <v>1</v>
      </c>
      <c r="D364" s="7">
        <v>0</v>
      </c>
      <c r="E364" s="7">
        <v>1</v>
      </c>
      <c r="F364" s="7">
        <v>14</v>
      </c>
      <c r="G364" s="7" t="b">
        <v>0</v>
      </c>
      <c r="H364" s="7">
        <v>0</v>
      </c>
      <c r="I364" s="7">
        <v>1</v>
      </c>
      <c r="J364" s="7">
        <v>0.28000000000000003</v>
      </c>
      <c r="K364" s="9">
        <v>0.2727</v>
      </c>
      <c r="L364" s="9">
        <v>0.36</v>
      </c>
      <c r="M364" s="9">
        <v>0.25369999999999998</v>
      </c>
      <c r="N364" s="9">
        <v>22</v>
      </c>
      <c r="O364" s="9">
        <v>69</v>
      </c>
      <c r="P364" s="9">
        <v>91</v>
      </c>
      <c r="Q364" s="7" t="str">
        <f t="shared" si="10"/>
        <v>SUNDAY</v>
      </c>
      <c r="R364" t="str">
        <f t="shared" si="11"/>
        <v>Clear</v>
      </c>
    </row>
    <row r="365" spans="1:18" x14ac:dyDescent="0.25">
      <c r="A365" s="7">
        <v>364</v>
      </c>
      <c r="B365" s="8">
        <v>40559</v>
      </c>
      <c r="C365" s="7">
        <v>1</v>
      </c>
      <c r="D365" s="7">
        <v>0</v>
      </c>
      <c r="E365" s="7">
        <v>1</v>
      </c>
      <c r="F365" s="7">
        <v>15</v>
      </c>
      <c r="G365" s="7" t="b">
        <v>0</v>
      </c>
      <c r="H365" s="7">
        <v>0</v>
      </c>
      <c r="I365" s="7">
        <v>1</v>
      </c>
      <c r="J365" s="7">
        <v>0.26</v>
      </c>
      <c r="K365" s="9">
        <v>0.2424</v>
      </c>
      <c r="L365" s="9">
        <v>0.38</v>
      </c>
      <c r="M365" s="9">
        <v>0.25369999999999998</v>
      </c>
      <c r="N365" s="9">
        <v>35</v>
      </c>
      <c r="O365" s="9">
        <v>78</v>
      </c>
      <c r="P365" s="9">
        <v>113</v>
      </c>
      <c r="Q365" s="7" t="str">
        <f t="shared" si="10"/>
        <v>SUNDAY</v>
      </c>
      <c r="R365" t="str">
        <f t="shared" si="11"/>
        <v>Clear</v>
      </c>
    </row>
    <row r="366" spans="1:18" x14ac:dyDescent="0.25">
      <c r="A366" s="7">
        <v>365</v>
      </c>
      <c r="B366" s="8">
        <v>40559</v>
      </c>
      <c r="C366" s="7">
        <v>1</v>
      </c>
      <c r="D366" s="7">
        <v>0</v>
      </c>
      <c r="E366" s="7">
        <v>1</v>
      </c>
      <c r="F366" s="7">
        <v>16</v>
      </c>
      <c r="G366" s="7" t="b">
        <v>0</v>
      </c>
      <c r="H366" s="7">
        <v>0</v>
      </c>
      <c r="I366" s="7">
        <v>1</v>
      </c>
      <c r="J366" s="7">
        <v>0.24</v>
      </c>
      <c r="K366" s="9">
        <v>0.2273</v>
      </c>
      <c r="L366" s="9">
        <v>0.38</v>
      </c>
      <c r="M366" s="9">
        <v>0.22389999999999999</v>
      </c>
      <c r="N366" s="9">
        <v>22</v>
      </c>
      <c r="O366" s="9">
        <v>77</v>
      </c>
      <c r="P366" s="9">
        <v>99</v>
      </c>
      <c r="Q366" s="7" t="str">
        <f t="shared" si="10"/>
        <v>SUNDAY</v>
      </c>
      <c r="R366" t="str">
        <f t="shared" si="11"/>
        <v>Clear</v>
      </c>
    </row>
    <row r="367" spans="1:18" x14ac:dyDescent="0.25">
      <c r="A367" s="7">
        <v>366</v>
      </c>
      <c r="B367" s="8">
        <v>40559</v>
      </c>
      <c r="C367" s="7">
        <v>1</v>
      </c>
      <c r="D367" s="7">
        <v>0</v>
      </c>
      <c r="E367" s="7">
        <v>1</v>
      </c>
      <c r="F367" s="7">
        <v>17</v>
      </c>
      <c r="G367" s="7" t="b">
        <v>0</v>
      </c>
      <c r="H367" s="7">
        <v>0</v>
      </c>
      <c r="I367" s="7">
        <v>1</v>
      </c>
      <c r="J367" s="7">
        <v>0.22</v>
      </c>
      <c r="K367" s="9">
        <v>0.21210000000000001</v>
      </c>
      <c r="L367" s="9">
        <v>0.37</v>
      </c>
      <c r="M367" s="9">
        <v>0.25369999999999998</v>
      </c>
      <c r="N367" s="9">
        <v>23</v>
      </c>
      <c r="O367" s="9">
        <v>82</v>
      </c>
      <c r="P367" s="9">
        <v>105</v>
      </c>
      <c r="Q367" s="7" t="str">
        <f t="shared" si="10"/>
        <v>SUNDAY</v>
      </c>
      <c r="R367" t="str">
        <f t="shared" si="11"/>
        <v>Clear</v>
      </c>
    </row>
    <row r="368" spans="1:18" x14ac:dyDescent="0.25">
      <c r="A368" s="7">
        <v>367</v>
      </c>
      <c r="B368" s="8">
        <v>40559</v>
      </c>
      <c r="C368" s="7">
        <v>1</v>
      </c>
      <c r="D368" s="7">
        <v>0</v>
      </c>
      <c r="E368" s="7">
        <v>1</v>
      </c>
      <c r="F368" s="7">
        <v>18</v>
      </c>
      <c r="G368" s="7" t="b">
        <v>0</v>
      </c>
      <c r="H368" s="7">
        <v>0</v>
      </c>
      <c r="I368" s="7">
        <v>1</v>
      </c>
      <c r="J368" s="7">
        <v>0.2</v>
      </c>
      <c r="K368" s="9">
        <v>0.21210000000000001</v>
      </c>
      <c r="L368" s="9">
        <v>0.4</v>
      </c>
      <c r="M368" s="9">
        <v>0.16420000000000001</v>
      </c>
      <c r="N368" s="9">
        <v>11</v>
      </c>
      <c r="O368" s="9">
        <v>56</v>
      </c>
      <c r="P368" s="9">
        <v>67</v>
      </c>
      <c r="Q368" s="7" t="str">
        <f t="shared" si="10"/>
        <v>SUNDAY</v>
      </c>
      <c r="R368" t="str">
        <f t="shared" si="11"/>
        <v>Clear</v>
      </c>
    </row>
    <row r="369" spans="1:18" x14ac:dyDescent="0.25">
      <c r="A369" s="7">
        <v>368</v>
      </c>
      <c r="B369" s="8">
        <v>40559</v>
      </c>
      <c r="C369" s="7">
        <v>1</v>
      </c>
      <c r="D369" s="7">
        <v>0</v>
      </c>
      <c r="E369" s="7">
        <v>1</v>
      </c>
      <c r="F369" s="7">
        <v>19</v>
      </c>
      <c r="G369" s="7" t="b">
        <v>0</v>
      </c>
      <c r="H369" s="7">
        <v>0</v>
      </c>
      <c r="I369" s="7">
        <v>1</v>
      </c>
      <c r="J369" s="7">
        <v>0.18</v>
      </c>
      <c r="K369" s="9">
        <v>0.19700000000000001</v>
      </c>
      <c r="L369" s="9">
        <v>0.47</v>
      </c>
      <c r="M369" s="9">
        <v>0.1343</v>
      </c>
      <c r="N369" s="9">
        <v>14</v>
      </c>
      <c r="O369" s="9">
        <v>47</v>
      </c>
      <c r="P369" s="9">
        <v>61</v>
      </c>
      <c r="Q369" s="7" t="str">
        <f t="shared" si="10"/>
        <v>SUNDAY</v>
      </c>
      <c r="R369" t="str">
        <f t="shared" si="11"/>
        <v>Clear</v>
      </c>
    </row>
    <row r="370" spans="1:18" x14ac:dyDescent="0.25">
      <c r="A370" s="7">
        <v>369</v>
      </c>
      <c r="B370" s="8">
        <v>40559</v>
      </c>
      <c r="C370" s="7">
        <v>1</v>
      </c>
      <c r="D370" s="7">
        <v>0</v>
      </c>
      <c r="E370" s="7">
        <v>1</v>
      </c>
      <c r="F370" s="7">
        <v>20</v>
      </c>
      <c r="G370" s="7" t="b">
        <v>0</v>
      </c>
      <c r="H370" s="7">
        <v>0</v>
      </c>
      <c r="I370" s="7">
        <v>1</v>
      </c>
      <c r="J370" s="7">
        <v>0.18</v>
      </c>
      <c r="K370" s="9">
        <v>0.19700000000000001</v>
      </c>
      <c r="L370" s="9">
        <v>0.47</v>
      </c>
      <c r="M370" s="9">
        <v>0.16420000000000001</v>
      </c>
      <c r="N370" s="9">
        <v>7</v>
      </c>
      <c r="O370" s="9">
        <v>50</v>
      </c>
      <c r="P370" s="9">
        <v>57</v>
      </c>
      <c r="Q370" s="7" t="str">
        <f t="shared" si="10"/>
        <v>SUNDAY</v>
      </c>
      <c r="R370" t="str">
        <f t="shared" si="11"/>
        <v>Clear</v>
      </c>
    </row>
    <row r="371" spans="1:18" x14ac:dyDescent="0.25">
      <c r="A371" s="7">
        <v>370</v>
      </c>
      <c r="B371" s="8">
        <v>40559</v>
      </c>
      <c r="C371" s="7">
        <v>1</v>
      </c>
      <c r="D371" s="7">
        <v>0</v>
      </c>
      <c r="E371" s="7">
        <v>1</v>
      </c>
      <c r="F371" s="7">
        <v>21</v>
      </c>
      <c r="G371" s="7" t="b">
        <v>0</v>
      </c>
      <c r="H371" s="7">
        <v>0</v>
      </c>
      <c r="I371" s="7">
        <v>1</v>
      </c>
      <c r="J371" s="7">
        <v>0.18</v>
      </c>
      <c r="K371" s="9">
        <v>0.19700000000000001</v>
      </c>
      <c r="L371" s="9">
        <v>0.51</v>
      </c>
      <c r="M371" s="9">
        <v>0.16420000000000001</v>
      </c>
      <c r="N371" s="9">
        <v>6</v>
      </c>
      <c r="O371" s="9">
        <v>22</v>
      </c>
      <c r="P371" s="9">
        <v>28</v>
      </c>
      <c r="Q371" s="7" t="str">
        <f t="shared" si="10"/>
        <v>SUNDAY</v>
      </c>
      <c r="R371" t="str">
        <f t="shared" si="11"/>
        <v>Clear</v>
      </c>
    </row>
    <row r="372" spans="1:18" x14ac:dyDescent="0.25">
      <c r="A372" s="7">
        <v>371</v>
      </c>
      <c r="B372" s="8">
        <v>40559</v>
      </c>
      <c r="C372" s="7">
        <v>1</v>
      </c>
      <c r="D372" s="7">
        <v>0</v>
      </c>
      <c r="E372" s="7">
        <v>1</v>
      </c>
      <c r="F372" s="7">
        <v>22</v>
      </c>
      <c r="G372" s="7" t="b">
        <v>0</v>
      </c>
      <c r="H372" s="7">
        <v>0</v>
      </c>
      <c r="I372" s="7">
        <v>2</v>
      </c>
      <c r="J372" s="7">
        <v>0.2</v>
      </c>
      <c r="K372" s="9">
        <v>0.21210000000000001</v>
      </c>
      <c r="L372" s="9">
        <v>0.49</v>
      </c>
      <c r="M372" s="9">
        <v>0.1343</v>
      </c>
      <c r="N372" s="9">
        <v>2</v>
      </c>
      <c r="O372" s="9">
        <v>19</v>
      </c>
      <c r="P372" s="9">
        <v>21</v>
      </c>
      <c r="Q372" s="7" t="str">
        <f t="shared" si="10"/>
        <v>SUNDAY</v>
      </c>
      <c r="R372" t="str">
        <f t="shared" si="11"/>
        <v>Mist</v>
      </c>
    </row>
    <row r="373" spans="1:18" x14ac:dyDescent="0.25">
      <c r="A373" s="7">
        <v>372</v>
      </c>
      <c r="B373" s="8">
        <v>40559</v>
      </c>
      <c r="C373" s="7">
        <v>1</v>
      </c>
      <c r="D373" s="7">
        <v>0</v>
      </c>
      <c r="E373" s="7">
        <v>1</v>
      </c>
      <c r="F373" s="7">
        <v>23</v>
      </c>
      <c r="G373" s="7" t="b">
        <v>0</v>
      </c>
      <c r="H373" s="7">
        <v>0</v>
      </c>
      <c r="I373" s="7">
        <v>2</v>
      </c>
      <c r="J373" s="7">
        <v>0.2</v>
      </c>
      <c r="K373" s="9">
        <v>0.2273</v>
      </c>
      <c r="L373" s="9">
        <v>0.4</v>
      </c>
      <c r="M373" s="9">
        <v>0.1045</v>
      </c>
      <c r="N373" s="9">
        <v>0</v>
      </c>
      <c r="O373" s="9">
        <v>18</v>
      </c>
      <c r="P373" s="9">
        <v>18</v>
      </c>
      <c r="Q373" s="7" t="str">
        <f t="shared" si="10"/>
        <v>SUNDAY</v>
      </c>
      <c r="R373" t="str">
        <f t="shared" si="11"/>
        <v>Mist</v>
      </c>
    </row>
    <row r="374" spans="1:18" x14ac:dyDescent="0.25">
      <c r="A374" s="7">
        <v>373</v>
      </c>
      <c r="B374" s="8">
        <v>40560</v>
      </c>
      <c r="C374" s="7">
        <v>1</v>
      </c>
      <c r="D374" s="7">
        <v>0</v>
      </c>
      <c r="E374" s="7">
        <v>1</v>
      </c>
      <c r="F374" s="7">
        <v>0</v>
      </c>
      <c r="G374" s="7" t="b">
        <v>1</v>
      </c>
      <c r="H374" s="7">
        <v>1</v>
      </c>
      <c r="I374" s="7">
        <v>2</v>
      </c>
      <c r="J374" s="7">
        <v>0.2</v>
      </c>
      <c r="K374" s="9">
        <v>0.19700000000000001</v>
      </c>
      <c r="L374" s="9">
        <v>0.47</v>
      </c>
      <c r="M374" s="9">
        <v>0.22389999999999999</v>
      </c>
      <c r="N374" s="9">
        <v>1</v>
      </c>
      <c r="O374" s="9">
        <v>16</v>
      </c>
      <c r="P374" s="9">
        <v>17</v>
      </c>
      <c r="Q374" s="7" t="str">
        <f t="shared" si="10"/>
        <v>MONDAY</v>
      </c>
      <c r="R374" t="str">
        <f t="shared" si="11"/>
        <v>Mist</v>
      </c>
    </row>
    <row r="375" spans="1:18" x14ac:dyDescent="0.25">
      <c r="A375" s="7">
        <v>374</v>
      </c>
      <c r="B375" s="8">
        <v>40560</v>
      </c>
      <c r="C375" s="7">
        <v>1</v>
      </c>
      <c r="D375" s="7">
        <v>0</v>
      </c>
      <c r="E375" s="7">
        <v>1</v>
      </c>
      <c r="F375" s="7">
        <v>1</v>
      </c>
      <c r="G375" s="7" t="b">
        <v>1</v>
      </c>
      <c r="H375" s="7">
        <v>1</v>
      </c>
      <c r="I375" s="7">
        <v>2</v>
      </c>
      <c r="J375" s="7">
        <v>0.2</v>
      </c>
      <c r="K375" s="9">
        <v>0.19700000000000001</v>
      </c>
      <c r="L375" s="9">
        <v>0.44</v>
      </c>
      <c r="M375" s="9">
        <v>0.19400000000000001</v>
      </c>
      <c r="N375" s="9">
        <v>1</v>
      </c>
      <c r="O375" s="9">
        <v>15</v>
      </c>
      <c r="P375" s="9">
        <v>16</v>
      </c>
      <c r="Q375" s="7" t="str">
        <f t="shared" si="10"/>
        <v>MONDAY</v>
      </c>
      <c r="R375" t="str">
        <f t="shared" si="11"/>
        <v>Mist</v>
      </c>
    </row>
    <row r="376" spans="1:18" x14ac:dyDescent="0.25">
      <c r="A376" s="7">
        <v>375</v>
      </c>
      <c r="B376" s="8">
        <v>40560</v>
      </c>
      <c r="C376" s="7">
        <v>1</v>
      </c>
      <c r="D376" s="7">
        <v>0</v>
      </c>
      <c r="E376" s="7">
        <v>1</v>
      </c>
      <c r="F376" s="7">
        <v>2</v>
      </c>
      <c r="G376" s="7" t="b">
        <v>1</v>
      </c>
      <c r="H376" s="7">
        <v>1</v>
      </c>
      <c r="I376" s="7">
        <v>2</v>
      </c>
      <c r="J376" s="7">
        <v>0.18</v>
      </c>
      <c r="K376" s="9">
        <v>0.16669999999999999</v>
      </c>
      <c r="L376" s="9">
        <v>0.43</v>
      </c>
      <c r="M376" s="9">
        <v>0.25369999999999998</v>
      </c>
      <c r="N376" s="9">
        <v>0</v>
      </c>
      <c r="O376" s="9">
        <v>8</v>
      </c>
      <c r="P376" s="9">
        <v>8</v>
      </c>
      <c r="Q376" s="7" t="str">
        <f t="shared" si="10"/>
        <v>MONDAY</v>
      </c>
      <c r="R376" t="str">
        <f t="shared" si="11"/>
        <v>Mist</v>
      </c>
    </row>
    <row r="377" spans="1:18" x14ac:dyDescent="0.25">
      <c r="A377" s="7">
        <v>376</v>
      </c>
      <c r="B377" s="8">
        <v>40560</v>
      </c>
      <c r="C377" s="7">
        <v>1</v>
      </c>
      <c r="D377" s="7">
        <v>0</v>
      </c>
      <c r="E377" s="7">
        <v>1</v>
      </c>
      <c r="F377" s="7">
        <v>3</v>
      </c>
      <c r="G377" s="7" t="b">
        <v>1</v>
      </c>
      <c r="H377" s="7">
        <v>1</v>
      </c>
      <c r="I377" s="7">
        <v>2</v>
      </c>
      <c r="J377" s="7">
        <v>0.18</v>
      </c>
      <c r="K377" s="9">
        <v>0.18179999999999999</v>
      </c>
      <c r="L377" s="9">
        <v>0.43</v>
      </c>
      <c r="M377" s="9">
        <v>0.19400000000000001</v>
      </c>
      <c r="N377" s="9">
        <v>0</v>
      </c>
      <c r="O377" s="9">
        <v>2</v>
      </c>
      <c r="P377" s="9">
        <v>2</v>
      </c>
      <c r="Q377" s="7" t="str">
        <f t="shared" si="10"/>
        <v>MONDAY</v>
      </c>
      <c r="R377" t="str">
        <f t="shared" si="11"/>
        <v>Mist</v>
      </c>
    </row>
    <row r="378" spans="1:18" x14ac:dyDescent="0.25">
      <c r="A378" s="7">
        <v>377</v>
      </c>
      <c r="B378" s="8">
        <v>40560</v>
      </c>
      <c r="C378" s="7">
        <v>1</v>
      </c>
      <c r="D378" s="7">
        <v>0</v>
      </c>
      <c r="E378" s="7">
        <v>1</v>
      </c>
      <c r="F378" s="7">
        <v>4</v>
      </c>
      <c r="G378" s="7" t="b">
        <v>1</v>
      </c>
      <c r="H378" s="7">
        <v>1</v>
      </c>
      <c r="I378" s="7">
        <v>2</v>
      </c>
      <c r="J378" s="7">
        <v>0.18</v>
      </c>
      <c r="K378" s="9">
        <v>0.19700000000000001</v>
      </c>
      <c r="L378" s="9">
        <v>0.43</v>
      </c>
      <c r="M378" s="9">
        <v>0.1343</v>
      </c>
      <c r="N378" s="9">
        <v>1</v>
      </c>
      <c r="O378" s="9">
        <v>2</v>
      </c>
      <c r="P378" s="9">
        <v>3</v>
      </c>
      <c r="Q378" s="7" t="str">
        <f t="shared" si="10"/>
        <v>MONDAY</v>
      </c>
      <c r="R378" t="str">
        <f t="shared" si="11"/>
        <v>Mist</v>
      </c>
    </row>
    <row r="379" spans="1:18" x14ac:dyDescent="0.25">
      <c r="A379" s="7">
        <v>378</v>
      </c>
      <c r="B379" s="8">
        <v>40560</v>
      </c>
      <c r="C379" s="7">
        <v>1</v>
      </c>
      <c r="D379" s="7">
        <v>0</v>
      </c>
      <c r="E379" s="7">
        <v>1</v>
      </c>
      <c r="F379" s="7">
        <v>5</v>
      </c>
      <c r="G379" s="7" t="b">
        <v>1</v>
      </c>
      <c r="H379" s="7">
        <v>1</v>
      </c>
      <c r="I379" s="7">
        <v>2</v>
      </c>
      <c r="J379" s="7">
        <v>0.18</v>
      </c>
      <c r="K379" s="9">
        <v>0.19700000000000001</v>
      </c>
      <c r="L379" s="9">
        <v>0.43</v>
      </c>
      <c r="M379" s="9">
        <v>0.16420000000000001</v>
      </c>
      <c r="N379" s="9">
        <v>0</v>
      </c>
      <c r="O379" s="9">
        <v>1</v>
      </c>
      <c r="P379" s="9">
        <v>1</v>
      </c>
      <c r="Q379" s="7" t="str">
        <f t="shared" si="10"/>
        <v>MONDAY</v>
      </c>
      <c r="R379" t="str">
        <f t="shared" si="11"/>
        <v>Mist</v>
      </c>
    </row>
    <row r="380" spans="1:18" x14ac:dyDescent="0.25">
      <c r="A380" s="7">
        <v>379</v>
      </c>
      <c r="B380" s="8">
        <v>40560</v>
      </c>
      <c r="C380" s="7">
        <v>1</v>
      </c>
      <c r="D380" s="7">
        <v>0</v>
      </c>
      <c r="E380" s="7">
        <v>1</v>
      </c>
      <c r="F380" s="7">
        <v>6</v>
      </c>
      <c r="G380" s="7" t="b">
        <v>1</v>
      </c>
      <c r="H380" s="7">
        <v>1</v>
      </c>
      <c r="I380" s="7">
        <v>2</v>
      </c>
      <c r="J380" s="7">
        <v>0.18</v>
      </c>
      <c r="K380" s="9">
        <v>0.18179999999999999</v>
      </c>
      <c r="L380" s="9">
        <v>0.43</v>
      </c>
      <c r="M380" s="9">
        <v>0.19400000000000001</v>
      </c>
      <c r="N380" s="9">
        <v>0</v>
      </c>
      <c r="O380" s="9">
        <v>5</v>
      </c>
      <c r="P380" s="9">
        <v>5</v>
      </c>
      <c r="Q380" s="7" t="str">
        <f t="shared" si="10"/>
        <v>MONDAY</v>
      </c>
      <c r="R380" t="str">
        <f t="shared" si="11"/>
        <v>Mist</v>
      </c>
    </row>
    <row r="381" spans="1:18" x14ac:dyDescent="0.25">
      <c r="A381" s="7">
        <v>380</v>
      </c>
      <c r="B381" s="8">
        <v>40560</v>
      </c>
      <c r="C381" s="7">
        <v>1</v>
      </c>
      <c r="D381" s="7">
        <v>0</v>
      </c>
      <c r="E381" s="7">
        <v>1</v>
      </c>
      <c r="F381" s="7">
        <v>7</v>
      </c>
      <c r="G381" s="7" t="b">
        <v>1</v>
      </c>
      <c r="H381" s="7">
        <v>1</v>
      </c>
      <c r="I381" s="7">
        <v>2</v>
      </c>
      <c r="J381" s="7">
        <v>0.16</v>
      </c>
      <c r="K381" s="9">
        <v>0.18179999999999999</v>
      </c>
      <c r="L381" s="9">
        <v>0.5</v>
      </c>
      <c r="M381" s="9">
        <v>0.1343</v>
      </c>
      <c r="N381" s="9">
        <v>4</v>
      </c>
      <c r="O381" s="9">
        <v>9</v>
      </c>
      <c r="P381" s="9">
        <v>13</v>
      </c>
      <c r="Q381" s="7" t="str">
        <f t="shared" si="10"/>
        <v>MONDAY</v>
      </c>
      <c r="R381" t="str">
        <f t="shared" si="11"/>
        <v>Mist</v>
      </c>
    </row>
    <row r="382" spans="1:18" x14ac:dyDescent="0.25">
      <c r="A382" s="7">
        <v>381</v>
      </c>
      <c r="B382" s="8">
        <v>40560</v>
      </c>
      <c r="C382" s="7">
        <v>1</v>
      </c>
      <c r="D382" s="7">
        <v>0</v>
      </c>
      <c r="E382" s="7">
        <v>1</v>
      </c>
      <c r="F382" s="7">
        <v>8</v>
      </c>
      <c r="G382" s="7" t="b">
        <v>1</v>
      </c>
      <c r="H382" s="7">
        <v>1</v>
      </c>
      <c r="I382" s="7">
        <v>2</v>
      </c>
      <c r="J382" s="7">
        <v>0.16</v>
      </c>
      <c r="K382" s="9">
        <v>0.1515</v>
      </c>
      <c r="L382" s="9">
        <v>0.47</v>
      </c>
      <c r="M382" s="9">
        <v>0.22389999999999999</v>
      </c>
      <c r="N382" s="9">
        <v>3</v>
      </c>
      <c r="O382" s="9">
        <v>30</v>
      </c>
      <c r="P382" s="9">
        <v>33</v>
      </c>
      <c r="Q382" s="7" t="str">
        <f t="shared" si="10"/>
        <v>MONDAY</v>
      </c>
      <c r="R382" t="str">
        <f t="shared" si="11"/>
        <v>Mist</v>
      </c>
    </row>
    <row r="383" spans="1:18" x14ac:dyDescent="0.25">
      <c r="A383" s="7">
        <v>382</v>
      </c>
      <c r="B383" s="8">
        <v>40560</v>
      </c>
      <c r="C383" s="7">
        <v>1</v>
      </c>
      <c r="D383" s="7">
        <v>0</v>
      </c>
      <c r="E383" s="7">
        <v>1</v>
      </c>
      <c r="F383" s="7">
        <v>9</v>
      </c>
      <c r="G383" s="7" t="b">
        <v>1</v>
      </c>
      <c r="H383" s="7">
        <v>1</v>
      </c>
      <c r="I383" s="7">
        <v>2</v>
      </c>
      <c r="J383" s="7">
        <v>0.16</v>
      </c>
      <c r="K383" s="9">
        <v>0.1515</v>
      </c>
      <c r="L383" s="9">
        <v>0.47</v>
      </c>
      <c r="M383" s="9">
        <v>0.22389999999999999</v>
      </c>
      <c r="N383" s="9">
        <v>8</v>
      </c>
      <c r="O383" s="9">
        <v>39</v>
      </c>
      <c r="P383" s="9">
        <v>47</v>
      </c>
      <c r="Q383" s="7" t="str">
        <f t="shared" si="10"/>
        <v>MONDAY</v>
      </c>
      <c r="R383" t="str">
        <f t="shared" si="11"/>
        <v>Mist</v>
      </c>
    </row>
    <row r="384" spans="1:18" x14ac:dyDescent="0.25">
      <c r="A384" s="7">
        <v>383</v>
      </c>
      <c r="B384" s="8">
        <v>40560</v>
      </c>
      <c r="C384" s="7">
        <v>1</v>
      </c>
      <c r="D384" s="7">
        <v>0</v>
      </c>
      <c r="E384" s="7">
        <v>1</v>
      </c>
      <c r="F384" s="7">
        <v>10</v>
      </c>
      <c r="G384" s="7" t="b">
        <v>1</v>
      </c>
      <c r="H384" s="7">
        <v>1</v>
      </c>
      <c r="I384" s="7">
        <v>2</v>
      </c>
      <c r="J384" s="7">
        <v>0.16</v>
      </c>
      <c r="K384" s="9">
        <v>0.1515</v>
      </c>
      <c r="L384" s="9">
        <v>0.5</v>
      </c>
      <c r="M384" s="9">
        <v>0.25369999999999998</v>
      </c>
      <c r="N384" s="9">
        <v>7</v>
      </c>
      <c r="O384" s="9">
        <v>50</v>
      </c>
      <c r="P384" s="9">
        <v>57</v>
      </c>
      <c r="Q384" s="7" t="str">
        <f t="shared" si="10"/>
        <v>MONDAY</v>
      </c>
      <c r="R384" t="str">
        <f t="shared" si="11"/>
        <v>Mist</v>
      </c>
    </row>
    <row r="385" spans="1:18" x14ac:dyDescent="0.25">
      <c r="A385" s="7">
        <v>384</v>
      </c>
      <c r="B385" s="8">
        <v>40560</v>
      </c>
      <c r="C385" s="7">
        <v>1</v>
      </c>
      <c r="D385" s="7">
        <v>0</v>
      </c>
      <c r="E385" s="7">
        <v>1</v>
      </c>
      <c r="F385" s="7">
        <v>11</v>
      </c>
      <c r="G385" s="7" t="b">
        <v>1</v>
      </c>
      <c r="H385" s="7">
        <v>1</v>
      </c>
      <c r="I385" s="7">
        <v>2</v>
      </c>
      <c r="J385" s="7">
        <v>0.16</v>
      </c>
      <c r="K385" s="9">
        <v>0.1515</v>
      </c>
      <c r="L385" s="9">
        <v>0.55000000000000004</v>
      </c>
      <c r="M385" s="9">
        <v>0.19400000000000001</v>
      </c>
      <c r="N385" s="9">
        <v>9</v>
      </c>
      <c r="O385" s="9">
        <v>55</v>
      </c>
      <c r="P385" s="9">
        <v>64</v>
      </c>
      <c r="Q385" s="7" t="str">
        <f t="shared" si="10"/>
        <v>MONDAY</v>
      </c>
      <c r="R385" t="str">
        <f t="shared" si="11"/>
        <v>Mist</v>
      </c>
    </row>
    <row r="386" spans="1:18" x14ac:dyDescent="0.25">
      <c r="A386" s="7">
        <v>385</v>
      </c>
      <c r="B386" s="8">
        <v>40560</v>
      </c>
      <c r="C386" s="7">
        <v>1</v>
      </c>
      <c r="D386" s="7">
        <v>0</v>
      </c>
      <c r="E386" s="7">
        <v>1</v>
      </c>
      <c r="F386" s="7">
        <v>12</v>
      </c>
      <c r="G386" s="7" t="b">
        <v>1</v>
      </c>
      <c r="H386" s="7">
        <v>1</v>
      </c>
      <c r="I386" s="7">
        <v>2</v>
      </c>
      <c r="J386" s="7">
        <v>0.18</v>
      </c>
      <c r="K386" s="9">
        <v>0.19700000000000001</v>
      </c>
      <c r="L386" s="9">
        <v>0.47</v>
      </c>
      <c r="M386" s="9">
        <v>0.1343</v>
      </c>
      <c r="N386" s="9">
        <v>10</v>
      </c>
      <c r="O386" s="9">
        <v>70</v>
      </c>
      <c r="P386" s="9">
        <v>80</v>
      </c>
      <c r="Q386" s="7" t="str">
        <f t="shared" ref="Q386:Q449" si="12">CHOOSE(H386+1, "SUNDAY", "MONDAY","TUESDAY", "WENESDAY","THUSDAY", "FRIDAY", "SATARDAY")</f>
        <v>MONDAY</v>
      </c>
      <c r="R386" t="str">
        <f t="shared" ref="R386:R449" si="13">IF(I386=1,"Clear",IF(I386=2,"Mist",IF(I386=3,"Light Rain/Snow","Heavy Rain")))</f>
        <v>Mist</v>
      </c>
    </row>
    <row r="387" spans="1:18" x14ac:dyDescent="0.25">
      <c r="A387" s="7">
        <v>386</v>
      </c>
      <c r="B387" s="8">
        <v>40560</v>
      </c>
      <c r="C387" s="7">
        <v>1</v>
      </c>
      <c r="D387" s="7">
        <v>0</v>
      </c>
      <c r="E387" s="7">
        <v>1</v>
      </c>
      <c r="F387" s="7">
        <v>13</v>
      </c>
      <c r="G387" s="7" t="b">
        <v>1</v>
      </c>
      <c r="H387" s="7">
        <v>1</v>
      </c>
      <c r="I387" s="7">
        <v>2</v>
      </c>
      <c r="J387" s="7">
        <v>0.18</v>
      </c>
      <c r="K387" s="9">
        <v>0.19700000000000001</v>
      </c>
      <c r="L387" s="9">
        <v>0.47</v>
      </c>
      <c r="M387" s="9">
        <v>0.1343</v>
      </c>
      <c r="N387" s="9">
        <v>13</v>
      </c>
      <c r="O387" s="9">
        <v>80</v>
      </c>
      <c r="P387" s="9">
        <v>93</v>
      </c>
      <c r="Q387" s="7" t="str">
        <f t="shared" si="12"/>
        <v>MONDAY</v>
      </c>
      <c r="R387" t="str">
        <f t="shared" si="13"/>
        <v>Mist</v>
      </c>
    </row>
    <row r="388" spans="1:18" x14ac:dyDescent="0.25">
      <c r="A388" s="7">
        <v>387</v>
      </c>
      <c r="B388" s="8">
        <v>40560</v>
      </c>
      <c r="C388" s="7">
        <v>1</v>
      </c>
      <c r="D388" s="7">
        <v>0</v>
      </c>
      <c r="E388" s="7">
        <v>1</v>
      </c>
      <c r="F388" s="7">
        <v>14</v>
      </c>
      <c r="G388" s="7" t="b">
        <v>1</v>
      </c>
      <c r="H388" s="7">
        <v>1</v>
      </c>
      <c r="I388" s="7">
        <v>2</v>
      </c>
      <c r="J388" s="7">
        <v>0.18</v>
      </c>
      <c r="K388" s="9">
        <v>0.21210000000000001</v>
      </c>
      <c r="L388" s="9">
        <v>0.43</v>
      </c>
      <c r="M388" s="9">
        <v>0.1045</v>
      </c>
      <c r="N388" s="9">
        <v>12</v>
      </c>
      <c r="O388" s="9">
        <v>74</v>
      </c>
      <c r="P388" s="9">
        <v>86</v>
      </c>
      <c r="Q388" s="7" t="str">
        <f t="shared" si="12"/>
        <v>MONDAY</v>
      </c>
      <c r="R388" t="str">
        <f t="shared" si="13"/>
        <v>Mist</v>
      </c>
    </row>
    <row r="389" spans="1:18" x14ac:dyDescent="0.25">
      <c r="A389" s="7">
        <v>388</v>
      </c>
      <c r="B389" s="8">
        <v>40560</v>
      </c>
      <c r="C389" s="7">
        <v>1</v>
      </c>
      <c r="D389" s="7">
        <v>0</v>
      </c>
      <c r="E389" s="7">
        <v>1</v>
      </c>
      <c r="F389" s="7">
        <v>15</v>
      </c>
      <c r="G389" s="7" t="b">
        <v>1</v>
      </c>
      <c r="H389" s="7">
        <v>1</v>
      </c>
      <c r="I389" s="7">
        <v>2</v>
      </c>
      <c r="J389" s="7">
        <v>0.2</v>
      </c>
      <c r="K389" s="9">
        <v>0.21210000000000001</v>
      </c>
      <c r="L389" s="9">
        <v>0.47</v>
      </c>
      <c r="M389" s="9">
        <v>0.16420000000000001</v>
      </c>
      <c r="N389" s="9">
        <v>21</v>
      </c>
      <c r="O389" s="9">
        <v>72</v>
      </c>
      <c r="P389" s="9">
        <v>93</v>
      </c>
      <c r="Q389" s="7" t="str">
        <f t="shared" si="12"/>
        <v>MONDAY</v>
      </c>
      <c r="R389" t="str">
        <f t="shared" si="13"/>
        <v>Mist</v>
      </c>
    </row>
    <row r="390" spans="1:18" x14ac:dyDescent="0.25">
      <c r="A390" s="7">
        <v>389</v>
      </c>
      <c r="B390" s="8">
        <v>40560</v>
      </c>
      <c r="C390" s="7">
        <v>1</v>
      </c>
      <c r="D390" s="7">
        <v>0</v>
      </c>
      <c r="E390" s="7">
        <v>1</v>
      </c>
      <c r="F390" s="7">
        <v>16</v>
      </c>
      <c r="G390" s="7" t="b">
        <v>1</v>
      </c>
      <c r="H390" s="7">
        <v>1</v>
      </c>
      <c r="I390" s="7">
        <v>2</v>
      </c>
      <c r="J390" s="7">
        <v>0.2</v>
      </c>
      <c r="K390" s="9">
        <v>0.21210000000000001</v>
      </c>
      <c r="L390" s="9">
        <v>0.47</v>
      </c>
      <c r="M390" s="9">
        <v>0.16420000000000001</v>
      </c>
      <c r="N390" s="9">
        <v>6</v>
      </c>
      <c r="O390" s="9">
        <v>76</v>
      </c>
      <c r="P390" s="9">
        <v>82</v>
      </c>
      <c r="Q390" s="7" t="str">
        <f t="shared" si="12"/>
        <v>MONDAY</v>
      </c>
      <c r="R390" t="str">
        <f t="shared" si="13"/>
        <v>Mist</v>
      </c>
    </row>
    <row r="391" spans="1:18" x14ac:dyDescent="0.25">
      <c r="A391" s="7">
        <v>390</v>
      </c>
      <c r="B391" s="8">
        <v>40560</v>
      </c>
      <c r="C391" s="7">
        <v>1</v>
      </c>
      <c r="D391" s="7">
        <v>0</v>
      </c>
      <c r="E391" s="7">
        <v>1</v>
      </c>
      <c r="F391" s="7">
        <v>17</v>
      </c>
      <c r="G391" s="7" t="b">
        <v>1</v>
      </c>
      <c r="H391" s="7">
        <v>1</v>
      </c>
      <c r="I391" s="7">
        <v>1</v>
      </c>
      <c r="J391" s="7">
        <v>0.2</v>
      </c>
      <c r="K391" s="9">
        <v>0.19700000000000001</v>
      </c>
      <c r="L391" s="9">
        <v>0.51</v>
      </c>
      <c r="M391" s="9">
        <v>0.19400000000000001</v>
      </c>
      <c r="N391" s="9">
        <v>4</v>
      </c>
      <c r="O391" s="9">
        <v>67</v>
      </c>
      <c r="P391" s="9">
        <v>71</v>
      </c>
      <c r="Q391" s="7" t="str">
        <f t="shared" si="12"/>
        <v>MONDAY</v>
      </c>
      <c r="R391" t="str">
        <f t="shared" si="13"/>
        <v>Clear</v>
      </c>
    </row>
    <row r="392" spans="1:18" x14ac:dyDescent="0.25">
      <c r="A392" s="7">
        <v>391</v>
      </c>
      <c r="B392" s="8">
        <v>40560</v>
      </c>
      <c r="C392" s="7">
        <v>1</v>
      </c>
      <c r="D392" s="7">
        <v>0</v>
      </c>
      <c r="E392" s="7">
        <v>1</v>
      </c>
      <c r="F392" s="7">
        <v>18</v>
      </c>
      <c r="G392" s="7" t="b">
        <v>1</v>
      </c>
      <c r="H392" s="7">
        <v>1</v>
      </c>
      <c r="I392" s="7">
        <v>2</v>
      </c>
      <c r="J392" s="7">
        <v>0.18</v>
      </c>
      <c r="K392" s="9">
        <v>0.16669999999999999</v>
      </c>
      <c r="L392" s="9">
        <v>0.55000000000000004</v>
      </c>
      <c r="M392" s="9">
        <v>0.25369999999999998</v>
      </c>
      <c r="N392" s="9">
        <v>7</v>
      </c>
      <c r="O392" s="9">
        <v>85</v>
      </c>
      <c r="P392" s="9">
        <v>92</v>
      </c>
      <c r="Q392" s="7" t="str">
        <f t="shared" si="12"/>
        <v>MONDAY</v>
      </c>
      <c r="R392" t="str">
        <f t="shared" si="13"/>
        <v>Mist</v>
      </c>
    </row>
    <row r="393" spans="1:18" x14ac:dyDescent="0.25">
      <c r="A393" s="7">
        <v>392</v>
      </c>
      <c r="B393" s="8">
        <v>40560</v>
      </c>
      <c r="C393" s="7">
        <v>1</v>
      </c>
      <c r="D393" s="7">
        <v>0</v>
      </c>
      <c r="E393" s="7">
        <v>1</v>
      </c>
      <c r="F393" s="7">
        <v>19</v>
      </c>
      <c r="G393" s="7" t="b">
        <v>1</v>
      </c>
      <c r="H393" s="7">
        <v>1</v>
      </c>
      <c r="I393" s="7">
        <v>3</v>
      </c>
      <c r="J393" s="7">
        <v>0.18</v>
      </c>
      <c r="K393" s="9">
        <v>0.18179999999999999</v>
      </c>
      <c r="L393" s="9">
        <v>0.59</v>
      </c>
      <c r="M393" s="9">
        <v>0.19400000000000001</v>
      </c>
      <c r="N393" s="9">
        <v>2</v>
      </c>
      <c r="O393" s="9">
        <v>58</v>
      </c>
      <c r="P393" s="9">
        <v>60</v>
      </c>
      <c r="Q393" s="7" t="str">
        <f t="shared" si="12"/>
        <v>MONDAY</v>
      </c>
      <c r="R393" t="str">
        <f t="shared" si="13"/>
        <v>Light Rain/Snow</v>
      </c>
    </row>
    <row r="394" spans="1:18" x14ac:dyDescent="0.25">
      <c r="A394" s="7">
        <v>393</v>
      </c>
      <c r="B394" s="8">
        <v>40560</v>
      </c>
      <c r="C394" s="7">
        <v>1</v>
      </c>
      <c r="D394" s="7">
        <v>0</v>
      </c>
      <c r="E394" s="7">
        <v>1</v>
      </c>
      <c r="F394" s="7">
        <v>20</v>
      </c>
      <c r="G394" s="7" t="b">
        <v>1</v>
      </c>
      <c r="H394" s="7">
        <v>1</v>
      </c>
      <c r="I394" s="7">
        <v>3</v>
      </c>
      <c r="J394" s="7">
        <v>0.16</v>
      </c>
      <c r="K394" s="9">
        <v>0.1515</v>
      </c>
      <c r="L394" s="9">
        <v>0.8</v>
      </c>
      <c r="M394" s="9">
        <v>0.19400000000000001</v>
      </c>
      <c r="N394" s="9">
        <v>4</v>
      </c>
      <c r="O394" s="9">
        <v>29</v>
      </c>
      <c r="P394" s="9">
        <v>33</v>
      </c>
      <c r="Q394" s="7" t="str">
        <f t="shared" si="12"/>
        <v>MONDAY</v>
      </c>
      <c r="R394" t="str">
        <f t="shared" si="13"/>
        <v>Light Rain/Snow</v>
      </c>
    </row>
    <row r="395" spans="1:18" x14ac:dyDescent="0.25">
      <c r="A395" s="7">
        <v>394</v>
      </c>
      <c r="B395" s="8">
        <v>40560</v>
      </c>
      <c r="C395" s="7">
        <v>1</v>
      </c>
      <c r="D395" s="7">
        <v>0</v>
      </c>
      <c r="E395" s="7">
        <v>1</v>
      </c>
      <c r="F395" s="7">
        <v>21</v>
      </c>
      <c r="G395" s="7" t="b">
        <v>1</v>
      </c>
      <c r="H395" s="7">
        <v>1</v>
      </c>
      <c r="I395" s="7">
        <v>3</v>
      </c>
      <c r="J395" s="7">
        <v>0.16</v>
      </c>
      <c r="K395" s="9">
        <v>0.1515</v>
      </c>
      <c r="L395" s="9">
        <v>0.8</v>
      </c>
      <c r="M395" s="9">
        <v>0.19400000000000001</v>
      </c>
      <c r="N395" s="9">
        <v>3</v>
      </c>
      <c r="O395" s="9">
        <v>24</v>
      </c>
      <c r="P395" s="9">
        <v>27</v>
      </c>
      <c r="Q395" s="7" t="str">
        <f t="shared" si="12"/>
        <v>MONDAY</v>
      </c>
      <c r="R395" t="str">
        <f t="shared" si="13"/>
        <v>Light Rain/Snow</v>
      </c>
    </row>
    <row r="396" spans="1:18" x14ac:dyDescent="0.25">
      <c r="A396" s="7">
        <v>395</v>
      </c>
      <c r="B396" s="8">
        <v>40560</v>
      </c>
      <c r="C396" s="7">
        <v>1</v>
      </c>
      <c r="D396" s="7">
        <v>0</v>
      </c>
      <c r="E396" s="7">
        <v>1</v>
      </c>
      <c r="F396" s="7">
        <v>22</v>
      </c>
      <c r="G396" s="7" t="b">
        <v>1</v>
      </c>
      <c r="H396" s="7">
        <v>1</v>
      </c>
      <c r="I396" s="7">
        <v>3</v>
      </c>
      <c r="J396" s="7">
        <v>0.14000000000000001</v>
      </c>
      <c r="K396" s="9">
        <v>0.1212</v>
      </c>
      <c r="L396" s="9">
        <v>0.93</v>
      </c>
      <c r="M396" s="9">
        <v>0.25369999999999998</v>
      </c>
      <c r="N396" s="9">
        <v>0</v>
      </c>
      <c r="O396" s="9">
        <v>13</v>
      </c>
      <c r="P396" s="9">
        <v>13</v>
      </c>
      <c r="Q396" s="7" t="str">
        <f t="shared" si="12"/>
        <v>MONDAY</v>
      </c>
      <c r="R396" t="str">
        <f t="shared" si="13"/>
        <v>Light Rain/Snow</v>
      </c>
    </row>
    <row r="397" spans="1:18" x14ac:dyDescent="0.25">
      <c r="A397" s="7">
        <v>396</v>
      </c>
      <c r="B397" s="8">
        <v>40560</v>
      </c>
      <c r="C397" s="7">
        <v>1</v>
      </c>
      <c r="D397" s="7">
        <v>0</v>
      </c>
      <c r="E397" s="7">
        <v>1</v>
      </c>
      <c r="F397" s="7">
        <v>23</v>
      </c>
      <c r="G397" s="7" t="b">
        <v>1</v>
      </c>
      <c r="H397" s="7">
        <v>1</v>
      </c>
      <c r="I397" s="7">
        <v>3</v>
      </c>
      <c r="J397" s="7">
        <v>0.16</v>
      </c>
      <c r="K397" s="9">
        <v>0.13639999999999999</v>
      </c>
      <c r="L397" s="9">
        <v>0.86</v>
      </c>
      <c r="M397" s="9">
        <v>0.28360000000000002</v>
      </c>
      <c r="N397" s="9">
        <v>1</v>
      </c>
      <c r="O397" s="9">
        <v>3</v>
      </c>
      <c r="P397" s="9">
        <v>4</v>
      </c>
      <c r="Q397" s="7" t="str">
        <f t="shared" si="12"/>
        <v>MONDAY</v>
      </c>
      <c r="R397" t="str">
        <f t="shared" si="13"/>
        <v>Light Rain/Snow</v>
      </c>
    </row>
    <row r="398" spans="1:18" x14ac:dyDescent="0.25">
      <c r="A398" s="7">
        <v>397</v>
      </c>
      <c r="B398" s="8">
        <v>40561</v>
      </c>
      <c r="C398" s="7">
        <v>1</v>
      </c>
      <c r="D398" s="7">
        <v>0</v>
      </c>
      <c r="E398" s="7">
        <v>1</v>
      </c>
      <c r="F398" s="7">
        <v>12</v>
      </c>
      <c r="G398" s="7" t="b">
        <v>0</v>
      </c>
      <c r="H398" s="7">
        <v>2</v>
      </c>
      <c r="I398" s="7">
        <v>2</v>
      </c>
      <c r="J398" s="7">
        <v>0.2</v>
      </c>
      <c r="K398" s="9">
        <v>0.18179999999999999</v>
      </c>
      <c r="L398" s="9">
        <v>0.86</v>
      </c>
      <c r="M398" s="9">
        <v>0.32840000000000003</v>
      </c>
      <c r="N398" s="9">
        <v>0</v>
      </c>
      <c r="O398" s="9">
        <v>3</v>
      </c>
      <c r="P398" s="9">
        <v>3</v>
      </c>
      <c r="Q398" s="7" t="str">
        <f t="shared" si="12"/>
        <v>TUESDAY</v>
      </c>
      <c r="R398" t="str">
        <f t="shared" si="13"/>
        <v>Mist</v>
      </c>
    </row>
    <row r="399" spans="1:18" x14ac:dyDescent="0.25">
      <c r="A399" s="7">
        <v>398</v>
      </c>
      <c r="B399" s="8">
        <v>40561</v>
      </c>
      <c r="C399" s="7">
        <v>1</v>
      </c>
      <c r="D399" s="7">
        <v>0</v>
      </c>
      <c r="E399" s="7">
        <v>1</v>
      </c>
      <c r="F399" s="7">
        <v>13</v>
      </c>
      <c r="G399" s="7" t="b">
        <v>0</v>
      </c>
      <c r="H399" s="7">
        <v>2</v>
      </c>
      <c r="I399" s="7">
        <v>2</v>
      </c>
      <c r="J399" s="7">
        <v>0.2</v>
      </c>
      <c r="K399" s="9">
        <v>0.19700000000000001</v>
      </c>
      <c r="L399" s="9">
        <v>0.86</v>
      </c>
      <c r="M399" s="9">
        <v>0.22389999999999999</v>
      </c>
      <c r="N399" s="9">
        <v>0</v>
      </c>
      <c r="O399" s="9">
        <v>22</v>
      </c>
      <c r="P399" s="9">
        <v>22</v>
      </c>
      <c r="Q399" s="7" t="str">
        <f t="shared" si="12"/>
        <v>TUESDAY</v>
      </c>
      <c r="R399" t="str">
        <f t="shared" si="13"/>
        <v>Mist</v>
      </c>
    </row>
    <row r="400" spans="1:18" x14ac:dyDescent="0.25">
      <c r="A400" s="7">
        <v>399</v>
      </c>
      <c r="B400" s="8">
        <v>40561</v>
      </c>
      <c r="C400" s="7">
        <v>1</v>
      </c>
      <c r="D400" s="7">
        <v>0</v>
      </c>
      <c r="E400" s="7">
        <v>1</v>
      </c>
      <c r="F400" s="7">
        <v>14</v>
      </c>
      <c r="G400" s="7" t="b">
        <v>0</v>
      </c>
      <c r="H400" s="7">
        <v>2</v>
      </c>
      <c r="I400" s="7">
        <v>2</v>
      </c>
      <c r="J400" s="7">
        <v>0.22</v>
      </c>
      <c r="K400" s="9">
        <v>0.2273</v>
      </c>
      <c r="L400" s="9">
        <v>0.8</v>
      </c>
      <c r="M400" s="9">
        <v>0.16420000000000001</v>
      </c>
      <c r="N400" s="9">
        <v>2</v>
      </c>
      <c r="O400" s="9">
        <v>26</v>
      </c>
      <c r="P400" s="9">
        <v>28</v>
      </c>
      <c r="Q400" s="7" t="str">
        <f t="shared" si="12"/>
        <v>TUESDAY</v>
      </c>
      <c r="R400" t="str">
        <f t="shared" si="13"/>
        <v>Mist</v>
      </c>
    </row>
    <row r="401" spans="1:18" x14ac:dyDescent="0.25">
      <c r="A401" s="7">
        <v>400</v>
      </c>
      <c r="B401" s="8">
        <v>40561</v>
      </c>
      <c r="C401" s="7">
        <v>1</v>
      </c>
      <c r="D401" s="7">
        <v>0</v>
      </c>
      <c r="E401" s="7">
        <v>1</v>
      </c>
      <c r="F401" s="7">
        <v>15</v>
      </c>
      <c r="G401" s="7" t="b">
        <v>0</v>
      </c>
      <c r="H401" s="7">
        <v>2</v>
      </c>
      <c r="I401" s="7">
        <v>2</v>
      </c>
      <c r="J401" s="7">
        <v>0.22</v>
      </c>
      <c r="K401" s="9">
        <v>0.2273</v>
      </c>
      <c r="L401" s="9">
        <v>0.87</v>
      </c>
      <c r="M401" s="9">
        <v>0.16420000000000001</v>
      </c>
      <c r="N401" s="9">
        <v>3</v>
      </c>
      <c r="O401" s="9">
        <v>32</v>
      </c>
      <c r="P401" s="9">
        <v>35</v>
      </c>
      <c r="Q401" s="7" t="str">
        <f t="shared" si="12"/>
        <v>TUESDAY</v>
      </c>
      <c r="R401" t="str">
        <f t="shared" si="13"/>
        <v>Mist</v>
      </c>
    </row>
    <row r="402" spans="1:18" x14ac:dyDescent="0.25">
      <c r="A402" s="7">
        <v>401</v>
      </c>
      <c r="B402" s="8">
        <v>40561</v>
      </c>
      <c r="C402" s="7">
        <v>1</v>
      </c>
      <c r="D402" s="7">
        <v>0</v>
      </c>
      <c r="E402" s="7">
        <v>1</v>
      </c>
      <c r="F402" s="7">
        <v>16</v>
      </c>
      <c r="G402" s="7" t="b">
        <v>0</v>
      </c>
      <c r="H402" s="7">
        <v>2</v>
      </c>
      <c r="I402" s="7">
        <v>2</v>
      </c>
      <c r="J402" s="7">
        <v>0.22</v>
      </c>
      <c r="K402" s="9">
        <v>0.2273</v>
      </c>
      <c r="L402" s="9">
        <v>0.87</v>
      </c>
      <c r="M402" s="9">
        <v>0.19400000000000001</v>
      </c>
      <c r="N402" s="9">
        <v>0</v>
      </c>
      <c r="O402" s="9">
        <v>61</v>
      </c>
      <c r="P402" s="9">
        <v>61</v>
      </c>
      <c r="Q402" s="7" t="str">
        <f t="shared" si="12"/>
        <v>TUESDAY</v>
      </c>
      <c r="R402" t="str">
        <f t="shared" si="13"/>
        <v>Mist</v>
      </c>
    </row>
    <row r="403" spans="1:18" x14ac:dyDescent="0.25">
      <c r="A403" s="7">
        <v>402</v>
      </c>
      <c r="B403" s="8">
        <v>40561</v>
      </c>
      <c r="C403" s="7">
        <v>1</v>
      </c>
      <c r="D403" s="7">
        <v>0</v>
      </c>
      <c r="E403" s="7">
        <v>1</v>
      </c>
      <c r="F403" s="7">
        <v>17</v>
      </c>
      <c r="G403" s="7" t="b">
        <v>0</v>
      </c>
      <c r="H403" s="7">
        <v>2</v>
      </c>
      <c r="I403" s="7">
        <v>2</v>
      </c>
      <c r="J403" s="7">
        <v>0.22</v>
      </c>
      <c r="K403" s="9">
        <v>0.2273</v>
      </c>
      <c r="L403" s="9">
        <v>0.82</v>
      </c>
      <c r="M403" s="9">
        <v>0.19400000000000001</v>
      </c>
      <c r="N403" s="9">
        <v>1</v>
      </c>
      <c r="O403" s="9">
        <v>124</v>
      </c>
      <c r="P403" s="9">
        <v>125</v>
      </c>
      <c r="Q403" s="7" t="str">
        <f t="shared" si="12"/>
        <v>TUESDAY</v>
      </c>
      <c r="R403" t="str">
        <f t="shared" si="13"/>
        <v>Mist</v>
      </c>
    </row>
    <row r="404" spans="1:18" x14ac:dyDescent="0.25">
      <c r="A404" s="7">
        <v>403</v>
      </c>
      <c r="B404" s="8">
        <v>40561</v>
      </c>
      <c r="C404" s="7">
        <v>1</v>
      </c>
      <c r="D404" s="7">
        <v>0</v>
      </c>
      <c r="E404" s="7">
        <v>1</v>
      </c>
      <c r="F404" s="7">
        <v>18</v>
      </c>
      <c r="G404" s="7" t="b">
        <v>0</v>
      </c>
      <c r="H404" s="7">
        <v>2</v>
      </c>
      <c r="I404" s="7">
        <v>2</v>
      </c>
      <c r="J404" s="7">
        <v>0.22</v>
      </c>
      <c r="K404" s="9">
        <v>0.2273</v>
      </c>
      <c r="L404" s="9">
        <v>0.8</v>
      </c>
      <c r="M404" s="9">
        <v>0.16420000000000001</v>
      </c>
      <c r="N404" s="9">
        <v>1</v>
      </c>
      <c r="O404" s="9">
        <v>132</v>
      </c>
      <c r="P404" s="9">
        <v>133</v>
      </c>
      <c r="Q404" s="7" t="str">
        <f t="shared" si="12"/>
        <v>TUESDAY</v>
      </c>
      <c r="R404" t="str">
        <f t="shared" si="13"/>
        <v>Mist</v>
      </c>
    </row>
    <row r="405" spans="1:18" x14ac:dyDescent="0.25">
      <c r="A405" s="7">
        <v>404</v>
      </c>
      <c r="B405" s="8">
        <v>40561</v>
      </c>
      <c r="C405" s="7">
        <v>1</v>
      </c>
      <c r="D405" s="7">
        <v>0</v>
      </c>
      <c r="E405" s="7">
        <v>1</v>
      </c>
      <c r="F405" s="7">
        <v>19</v>
      </c>
      <c r="G405" s="7" t="b">
        <v>0</v>
      </c>
      <c r="H405" s="7">
        <v>2</v>
      </c>
      <c r="I405" s="7">
        <v>2</v>
      </c>
      <c r="J405" s="7">
        <v>0.22</v>
      </c>
      <c r="K405" s="9">
        <v>0.2273</v>
      </c>
      <c r="L405" s="9">
        <v>0.8</v>
      </c>
      <c r="M405" s="9">
        <v>0.1343</v>
      </c>
      <c r="N405" s="9">
        <v>1</v>
      </c>
      <c r="O405" s="9">
        <v>98</v>
      </c>
      <c r="P405" s="9">
        <v>99</v>
      </c>
      <c r="Q405" s="7" t="str">
        <f t="shared" si="12"/>
        <v>TUESDAY</v>
      </c>
      <c r="R405" t="str">
        <f t="shared" si="13"/>
        <v>Mist</v>
      </c>
    </row>
    <row r="406" spans="1:18" x14ac:dyDescent="0.25">
      <c r="A406" s="7">
        <v>405</v>
      </c>
      <c r="B406" s="8">
        <v>40561</v>
      </c>
      <c r="C406" s="7">
        <v>1</v>
      </c>
      <c r="D406" s="7">
        <v>0</v>
      </c>
      <c r="E406" s="7">
        <v>1</v>
      </c>
      <c r="F406" s="7">
        <v>20</v>
      </c>
      <c r="G406" s="7" t="b">
        <v>0</v>
      </c>
      <c r="H406" s="7">
        <v>2</v>
      </c>
      <c r="I406" s="7">
        <v>2</v>
      </c>
      <c r="J406" s="7">
        <v>0.22</v>
      </c>
      <c r="K406" s="9">
        <v>0.2727</v>
      </c>
      <c r="L406" s="9">
        <v>0.87</v>
      </c>
      <c r="M406" s="9">
        <v>0</v>
      </c>
      <c r="N406" s="9">
        <v>0</v>
      </c>
      <c r="O406" s="9">
        <v>83</v>
      </c>
      <c r="P406" s="9">
        <v>83</v>
      </c>
      <c r="Q406" s="7" t="str">
        <f t="shared" si="12"/>
        <v>TUESDAY</v>
      </c>
      <c r="R406" t="str">
        <f t="shared" si="13"/>
        <v>Mist</v>
      </c>
    </row>
    <row r="407" spans="1:18" x14ac:dyDescent="0.25">
      <c r="A407" s="7">
        <v>406</v>
      </c>
      <c r="B407" s="8">
        <v>40561</v>
      </c>
      <c r="C407" s="7">
        <v>1</v>
      </c>
      <c r="D407" s="7">
        <v>0</v>
      </c>
      <c r="E407" s="7">
        <v>1</v>
      </c>
      <c r="F407" s="7">
        <v>21</v>
      </c>
      <c r="G407" s="7" t="b">
        <v>0</v>
      </c>
      <c r="H407" s="7">
        <v>2</v>
      </c>
      <c r="I407" s="7">
        <v>2</v>
      </c>
      <c r="J407" s="7">
        <v>0.22</v>
      </c>
      <c r="K407" s="9">
        <v>0.2424</v>
      </c>
      <c r="L407" s="9">
        <v>0.93</v>
      </c>
      <c r="M407" s="9">
        <v>0.1045</v>
      </c>
      <c r="N407" s="9">
        <v>0</v>
      </c>
      <c r="O407" s="9">
        <v>41</v>
      </c>
      <c r="P407" s="9">
        <v>41</v>
      </c>
      <c r="Q407" s="7" t="str">
        <f t="shared" si="12"/>
        <v>TUESDAY</v>
      </c>
      <c r="R407" t="str">
        <f t="shared" si="13"/>
        <v>Mist</v>
      </c>
    </row>
    <row r="408" spans="1:18" x14ac:dyDescent="0.25">
      <c r="A408" s="7">
        <v>407</v>
      </c>
      <c r="B408" s="8">
        <v>40561</v>
      </c>
      <c r="C408" s="7">
        <v>1</v>
      </c>
      <c r="D408" s="7">
        <v>0</v>
      </c>
      <c r="E408" s="7">
        <v>1</v>
      </c>
      <c r="F408" s="7">
        <v>22</v>
      </c>
      <c r="G408" s="7" t="b">
        <v>0</v>
      </c>
      <c r="H408" s="7">
        <v>2</v>
      </c>
      <c r="I408" s="7">
        <v>2</v>
      </c>
      <c r="J408" s="7">
        <v>0.22</v>
      </c>
      <c r="K408" s="9">
        <v>0.2576</v>
      </c>
      <c r="L408" s="9">
        <v>0.93</v>
      </c>
      <c r="M408" s="9">
        <v>8.9599999999999999E-2</v>
      </c>
      <c r="N408" s="9">
        <v>0</v>
      </c>
      <c r="O408" s="9">
        <v>33</v>
      </c>
      <c r="P408" s="9">
        <v>33</v>
      </c>
      <c r="Q408" s="7" t="str">
        <f t="shared" si="12"/>
        <v>TUESDAY</v>
      </c>
      <c r="R408" t="str">
        <f t="shared" si="13"/>
        <v>Mist</v>
      </c>
    </row>
    <row r="409" spans="1:18" x14ac:dyDescent="0.25">
      <c r="A409" s="7">
        <v>408</v>
      </c>
      <c r="B409" s="8">
        <v>40561</v>
      </c>
      <c r="C409" s="7">
        <v>1</v>
      </c>
      <c r="D409" s="7">
        <v>0</v>
      </c>
      <c r="E409" s="7">
        <v>1</v>
      </c>
      <c r="F409" s="7">
        <v>23</v>
      </c>
      <c r="G409" s="7" t="b">
        <v>0</v>
      </c>
      <c r="H409" s="7">
        <v>2</v>
      </c>
      <c r="I409" s="7">
        <v>2</v>
      </c>
      <c r="J409" s="7">
        <v>0.22</v>
      </c>
      <c r="K409" s="9">
        <v>0.2727</v>
      </c>
      <c r="L409" s="9">
        <v>0.93</v>
      </c>
      <c r="M409" s="9">
        <v>0</v>
      </c>
      <c r="N409" s="9">
        <v>1</v>
      </c>
      <c r="O409" s="9">
        <v>19</v>
      </c>
      <c r="P409" s="9">
        <v>20</v>
      </c>
      <c r="Q409" s="7" t="str">
        <f t="shared" si="12"/>
        <v>TUESDAY</v>
      </c>
      <c r="R409" t="str">
        <f t="shared" si="13"/>
        <v>Mist</v>
      </c>
    </row>
    <row r="410" spans="1:18" x14ac:dyDescent="0.25">
      <c r="A410" s="7">
        <v>409</v>
      </c>
      <c r="B410" s="8">
        <v>40562</v>
      </c>
      <c r="C410" s="7">
        <v>1</v>
      </c>
      <c r="D410" s="7">
        <v>0</v>
      </c>
      <c r="E410" s="7">
        <v>1</v>
      </c>
      <c r="F410" s="7">
        <v>0</v>
      </c>
      <c r="G410" s="7" t="b">
        <v>0</v>
      </c>
      <c r="H410" s="7">
        <v>3</v>
      </c>
      <c r="I410" s="7">
        <v>2</v>
      </c>
      <c r="J410" s="7">
        <v>0.22</v>
      </c>
      <c r="K410" s="9">
        <v>0.2727</v>
      </c>
      <c r="L410" s="9">
        <v>0.93</v>
      </c>
      <c r="M410" s="9">
        <v>0</v>
      </c>
      <c r="N410" s="9">
        <v>0</v>
      </c>
      <c r="O410" s="9">
        <v>3</v>
      </c>
      <c r="P410" s="9">
        <v>3</v>
      </c>
      <c r="Q410" s="7" t="str">
        <f t="shared" si="12"/>
        <v>WENESDAY</v>
      </c>
      <c r="R410" t="str">
        <f t="shared" si="13"/>
        <v>Mist</v>
      </c>
    </row>
    <row r="411" spans="1:18" x14ac:dyDescent="0.25">
      <c r="A411" s="7">
        <v>410</v>
      </c>
      <c r="B411" s="8">
        <v>40562</v>
      </c>
      <c r="C411" s="7">
        <v>1</v>
      </c>
      <c r="D411" s="7">
        <v>0</v>
      </c>
      <c r="E411" s="7">
        <v>1</v>
      </c>
      <c r="F411" s="7">
        <v>1</v>
      </c>
      <c r="G411" s="7" t="b">
        <v>0</v>
      </c>
      <c r="H411" s="7">
        <v>3</v>
      </c>
      <c r="I411" s="7">
        <v>3</v>
      </c>
      <c r="J411" s="7">
        <v>0.22</v>
      </c>
      <c r="K411" s="9">
        <v>0.2273</v>
      </c>
      <c r="L411" s="9">
        <v>0.93</v>
      </c>
      <c r="M411" s="9">
        <v>0.1343</v>
      </c>
      <c r="N411" s="9">
        <v>1</v>
      </c>
      <c r="O411" s="9">
        <v>6</v>
      </c>
      <c r="P411" s="9">
        <v>7</v>
      </c>
      <c r="Q411" s="7" t="str">
        <f t="shared" si="12"/>
        <v>WENESDAY</v>
      </c>
      <c r="R411" t="str">
        <f t="shared" si="13"/>
        <v>Light Rain/Snow</v>
      </c>
    </row>
    <row r="412" spans="1:18" x14ac:dyDescent="0.25">
      <c r="A412" s="7">
        <v>411</v>
      </c>
      <c r="B412" s="8">
        <v>40562</v>
      </c>
      <c r="C412" s="7">
        <v>1</v>
      </c>
      <c r="D412" s="7">
        <v>0</v>
      </c>
      <c r="E412" s="7">
        <v>1</v>
      </c>
      <c r="F412" s="7">
        <v>2</v>
      </c>
      <c r="G412" s="7" t="b">
        <v>0</v>
      </c>
      <c r="H412" s="7">
        <v>3</v>
      </c>
      <c r="I412" s="7">
        <v>3</v>
      </c>
      <c r="J412" s="7">
        <v>0.22</v>
      </c>
      <c r="K412" s="9">
        <v>0.2273</v>
      </c>
      <c r="L412" s="9">
        <v>0.93</v>
      </c>
      <c r="M412" s="9">
        <v>0.1343</v>
      </c>
      <c r="N412" s="9">
        <v>0</v>
      </c>
      <c r="O412" s="9">
        <v>3</v>
      </c>
      <c r="P412" s="9">
        <v>3</v>
      </c>
      <c r="Q412" s="7" t="str">
        <f t="shared" si="12"/>
        <v>WENESDAY</v>
      </c>
      <c r="R412" t="str">
        <f t="shared" si="13"/>
        <v>Light Rain/Snow</v>
      </c>
    </row>
    <row r="413" spans="1:18" x14ac:dyDescent="0.25">
      <c r="A413" s="7">
        <v>412</v>
      </c>
      <c r="B413" s="8">
        <v>40562</v>
      </c>
      <c r="C413" s="7">
        <v>1</v>
      </c>
      <c r="D413" s="7">
        <v>0</v>
      </c>
      <c r="E413" s="7">
        <v>1</v>
      </c>
      <c r="F413" s="7">
        <v>4</v>
      </c>
      <c r="G413" s="7" t="b">
        <v>0</v>
      </c>
      <c r="H413" s="7">
        <v>3</v>
      </c>
      <c r="I413" s="7">
        <v>3</v>
      </c>
      <c r="J413" s="7">
        <v>0.22</v>
      </c>
      <c r="K413" s="9">
        <v>0.2273</v>
      </c>
      <c r="L413" s="9">
        <v>0.93</v>
      </c>
      <c r="M413" s="9">
        <v>0.1343</v>
      </c>
      <c r="N413" s="9">
        <v>1</v>
      </c>
      <c r="O413" s="9">
        <v>1</v>
      </c>
      <c r="P413" s="9">
        <v>2</v>
      </c>
      <c r="Q413" s="7" t="str">
        <f t="shared" si="12"/>
        <v>WENESDAY</v>
      </c>
      <c r="R413" t="str">
        <f t="shared" si="13"/>
        <v>Light Rain/Snow</v>
      </c>
    </row>
    <row r="414" spans="1:18" x14ac:dyDescent="0.25">
      <c r="A414" s="7">
        <v>413</v>
      </c>
      <c r="B414" s="8">
        <v>40562</v>
      </c>
      <c r="C414" s="7">
        <v>1</v>
      </c>
      <c r="D414" s="7">
        <v>0</v>
      </c>
      <c r="E414" s="7">
        <v>1</v>
      </c>
      <c r="F414" s="7">
        <v>5</v>
      </c>
      <c r="G414" s="7" t="b">
        <v>0</v>
      </c>
      <c r="H414" s="7">
        <v>3</v>
      </c>
      <c r="I414" s="7">
        <v>2</v>
      </c>
      <c r="J414" s="7">
        <v>0.22</v>
      </c>
      <c r="K414" s="9">
        <v>0.2576</v>
      </c>
      <c r="L414" s="9">
        <v>0.93</v>
      </c>
      <c r="M414" s="9">
        <v>8.9599999999999999E-2</v>
      </c>
      <c r="N414" s="9">
        <v>0</v>
      </c>
      <c r="O414" s="9">
        <v>7</v>
      </c>
      <c r="P414" s="9">
        <v>7</v>
      </c>
      <c r="Q414" s="7" t="str">
        <f t="shared" si="12"/>
        <v>WENESDAY</v>
      </c>
      <c r="R414" t="str">
        <f t="shared" si="13"/>
        <v>Mist</v>
      </c>
    </row>
    <row r="415" spans="1:18" x14ac:dyDescent="0.25">
      <c r="A415" s="7">
        <v>414</v>
      </c>
      <c r="B415" s="8">
        <v>40562</v>
      </c>
      <c r="C415" s="7">
        <v>1</v>
      </c>
      <c r="D415" s="7">
        <v>0</v>
      </c>
      <c r="E415" s="7">
        <v>1</v>
      </c>
      <c r="F415" s="7">
        <v>6</v>
      </c>
      <c r="G415" s="7" t="b">
        <v>0</v>
      </c>
      <c r="H415" s="7">
        <v>3</v>
      </c>
      <c r="I415" s="7">
        <v>2</v>
      </c>
      <c r="J415" s="7">
        <v>0.22</v>
      </c>
      <c r="K415" s="9">
        <v>0.2576</v>
      </c>
      <c r="L415" s="9">
        <v>0.93</v>
      </c>
      <c r="M415" s="9">
        <v>8.9599999999999999E-2</v>
      </c>
      <c r="N415" s="9">
        <v>0</v>
      </c>
      <c r="O415" s="9">
        <v>32</v>
      </c>
      <c r="P415" s="9">
        <v>32</v>
      </c>
      <c r="Q415" s="7" t="str">
        <f t="shared" si="12"/>
        <v>WENESDAY</v>
      </c>
      <c r="R415" t="str">
        <f t="shared" si="13"/>
        <v>Mist</v>
      </c>
    </row>
    <row r="416" spans="1:18" x14ac:dyDescent="0.25">
      <c r="A416" s="7">
        <v>415</v>
      </c>
      <c r="B416" s="8">
        <v>40562</v>
      </c>
      <c r="C416" s="7">
        <v>1</v>
      </c>
      <c r="D416" s="7">
        <v>0</v>
      </c>
      <c r="E416" s="7">
        <v>1</v>
      </c>
      <c r="F416" s="7">
        <v>7</v>
      </c>
      <c r="G416" s="7" t="b">
        <v>0</v>
      </c>
      <c r="H416" s="7">
        <v>3</v>
      </c>
      <c r="I416" s="7">
        <v>2</v>
      </c>
      <c r="J416" s="7">
        <v>0.24</v>
      </c>
      <c r="K416" s="9">
        <v>0.2576</v>
      </c>
      <c r="L416" s="9">
        <v>0.92</v>
      </c>
      <c r="M416" s="9">
        <v>0.1045</v>
      </c>
      <c r="N416" s="9">
        <v>1</v>
      </c>
      <c r="O416" s="9">
        <v>89</v>
      </c>
      <c r="P416" s="9">
        <v>90</v>
      </c>
      <c r="Q416" s="7" t="str">
        <f t="shared" si="12"/>
        <v>WENESDAY</v>
      </c>
      <c r="R416" t="str">
        <f t="shared" si="13"/>
        <v>Mist</v>
      </c>
    </row>
    <row r="417" spans="1:18" x14ac:dyDescent="0.25">
      <c r="A417" s="7">
        <v>416</v>
      </c>
      <c r="B417" s="8">
        <v>40562</v>
      </c>
      <c r="C417" s="7">
        <v>1</v>
      </c>
      <c r="D417" s="7">
        <v>0</v>
      </c>
      <c r="E417" s="7">
        <v>1</v>
      </c>
      <c r="F417" s="7">
        <v>8</v>
      </c>
      <c r="G417" s="7" t="b">
        <v>0</v>
      </c>
      <c r="H417" s="7">
        <v>3</v>
      </c>
      <c r="I417" s="7">
        <v>2</v>
      </c>
      <c r="J417" s="7">
        <v>0.24</v>
      </c>
      <c r="K417" s="9">
        <v>0.2576</v>
      </c>
      <c r="L417" s="9">
        <v>0.93</v>
      </c>
      <c r="M417" s="9">
        <v>0.1045</v>
      </c>
      <c r="N417" s="9">
        <v>1</v>
      </c>
      <c r="O417" s="9">
        <v>196</v>
      </c>
      <c r="P417" s="9">
        <v>197</v>
      </c>
      <c r="Q417" s="7" t="str">
        <f t="shared" si="12"/>
        <v>WENESDAY</v>
      </c>
      <c r="R417" t="str">
        <f t="shared" si="13"/>
        <v>Mist</v>
      </c>
    </row>
    <row r="418" spans="1:18" x14ac:dyDescent="0.25">
      <c r="A418" s="7">
        <v>417</v>
      </c>
      <c r="B418" s="8">
        <v>40562</v>
      </c>
      <c r="C418" s="7">
        <v>1</v>
      </c>
      <c r="D418" s="7">
        <v>0</v>
      </c>
      <c r="E418" s="7">
        <v>1</v>
      </c>
      <c r="F418" s="7">
        <v>9</v>
      </c>
      <c r="G418" s="7" t="b">
        <v>0</v>
      </c>
      <c r="H418" s="7">
        <v>3</v>
      </c>
      <c r="I418" s="7">
        <v>2</v>
      </c>
      <c r="J418" s="7">
        <v>0.24</v>
      </c>
      <c r="K418" s="9">
        <v>0.2576</v>
      </c>
      <c r="L418" s="9">
        <v>0.93</v>
      </c>
      <c r="M418" s="9">
        <v>0.1045</v>
      </c>
      <c r="N418" s="9">
        <v>2</v>
      </c>
      <c r="O418" s="9">
        <v>107</v>
      </c>
      <c r="P418" s="9">
        <v>109</v>
      </c>
      <c r="Q418" s="7" t="str">
        <f t="shared" si="12"/>
        <v>WENESDAY</v>
      </c>
      <c r="R418" t="str">
        <f t="shared" si="13"/>
        <v>Mist</v>
      </c>
    </row>
    <row r="419" spans="1:18" x14ac:dyDescent="0.25">
      <c r="A419" s="7">
        <v>418</v>
      </c>
      <c r="B419" s="8">
        <v>40562</v>
      </c>
      <c r="C419" s="7">
        <v>1</v>
      </c>
      <c r="D419" s="7">
        <v>0</v>
      </c>
      <c r="E419" s="7">
        <v>1</v>
      </c>
      <c r="F419" s="7">
        <v>10</v>
      </c>
      <c r="G419" s="7" t="b">
        <v>0</v>
      </c>
      <c r="H419" s="7">
        <v>3</v>
      </c>
      <c r="I419" s="7">
        <v>2</v>
      </c>
      <c r="J419" s="7">
        <v>0.26</v>
      </c>
      <c r="K419" s="9">
        <v>0.2727</v>
      </c>
      <c r="L419" s="9">
        <v>0.93</v>
      </c>
      <c r="M419" s="9">
        <v>0.1343</v>
      </c>
      <c r="N419" s="9">
        <v>1</v>
      </c>
      <c r="O419" s="9">
        <v>46</v>
      </c>
      <c r="P419" s="9">
        <v>47</v>
      </c>
      <c r="Q419" s="7" t="str">
        <f t="shared" si="12"/>
        <v>WENESDAY</v>
      </c>
      <c r="R419" t="str">
        <f t="shared" si="13"/>
        <v>Mist</v>
      </c>
    </row>
    <row r="420" spans="1:18" x14ac:dyDescent="0.25">
      <c r="A420" s="7">
        <v>419</v>
      </c>
      <c r="B420" s="8">
        <v>40562</v>
      </c>
      <c r="C420" s="7">
        <v>1</v>
      </c>
      <c r="D420" s="7">
        <v>0</v>
      </c>
      <c r="E420" s="7">
        <v>1</v>
      </c>
      <c r="F420" s="7">
        <v>11</v>
      </c>
      <c r="G420" s="7" t="b">
        <v>0</v>
      </c>
      <c r="H420" s="7">
        <v>3</v>
      </c>
      <c r="I420" s="7">
        <v>2</v>
      </c>
      <c r="J420" s="7">
        <v>0.28000000000000003</v>
      </c>
      <c r="K420" s="9">
        <v>0.30299999999999999</v>
      </c>
      <c r="L420" s="9">
        <v>0.87</v>
      </c>
      <c r="M420" s="9">
        <v>8.9599999999999999E-2</v>
      </c>
      <c r="N420" s="9">
        <v>5</v>
      </c>
      <c r="O420" s="9">
        <v>47</v>
      </c>
      <c r="P420" s="9">
        <v>52</v>
      </c>
      <c r="Q420" s="7" t="str">
        <f t="shared" si="12"/>
        <v>WENESDAY</v>
      </c>
      <c r="R420" t="str">
        <f t="shared" si="13"/>
        <v>Mist</v>
      </c>
    </row>
    <row r="421" spans="1:18" x14ac:dyDescent="0.25">
      <c r="A421" s="7">
        <v>420</v>
      </c>
      <c r="B421" s="8">
        <v>40562</v>
      </c>
      <c r="C421" s="7">
        <v>1</v>
      </c>
      <c r="D421" s="7">
        <v>0</v>
      </c>
      <c r="E421" s="7">
        <v>1</v>
      </c>
      <c r="F421" s="7">
        <v>12</v>
      </c>
      <c r="G421" s="7" t="b">
        <v>0</v>
      </c>
      <c r="H421" s="7">
        <v>3</v>
      </c>
      <c r="I421" s="7">
        <v>2</v>
      </c>
      <c r="J421" s="7">
        <v>0.3</v>
      </c>
      <c r="K421" s="9">
        <v>0.31819999999999998</v>
      </c>
      <c r="L421" s="9">
        <v>0.81</v>
      </c>
      <c r="M421" s="9">
        <v>8.9599999999999999E-2</v>
      </c>
      <c r="N421" s="9">
        <v>5</v>
      </c>
      <c r="O421" s="9">
        <v>65</v>
      </c>
      <c r="P421" s="9">
        <v>70</v>
      </c>
      <c r="Q421" s="7" t="str">
        <f t="shared" si="12"/>
        <v>WENESDAY</v>
      </c>
      <c r="R421" t="str">
        <f t="shared" si="13"/>
        <v>Mist</v>
      </c>
    </row>
    <row r="422" spans="1:18" x14ac:dyDescent="0.25">
      <c r="A422" s="7">
        <v>421</v>
      </c>
      <c r="B422" s="8">
        <v>40562</v>
      </c>
      <c r="C422" s="7">
        <v>1</v>
      </c>
      <c r="D422" s="7">
        <v>0</v>
      </c>
      <c r="E422" s="7">
        <v>1</v>
      </c>
      <c r="F422" s="7">
        <v>13</v>
      </c>
      <c r="G422" s="7" t="b">
        <v>0</v>
      </c>
      <c r="H422" s="7">
        <v>3</v>
      </c>
      <c r="I422" s="7">
        <v>1</v>
      </c>
      <c r="J422" s="7">
        <v>0.4</v>
      </c>
      <c r="K422" s="9">
        <v>0.40910000000000002</v>
      </c>
      <c r="L422" s="9">
        <v>0.62</v>
      </c>
      <c r="M422" s="9">
        <v>0.28360000000000002</v>
      </c>
      <c r="N422" s="9">
        <v>11</v>
      </c>
      <c r="O422" s="9">
        <v>67</v>
      </c>
      <c r="P422" s="9">
        <v>78</v>
      </c>
      <c r="Q422" s="7" t="str">
        <f t="shared" si="12"/>
        <v>WENESDAY</v>
      </c>
      <c r="R422" t="str">
        <f t="shared" si="13"/>
        <v>Clear</v>
      </c>
    </row>
    <row r="423" spans="1:18" x14ac:dyDescent="0.25">
      <c r="A423" s="7">
        <v>422</v>
      </c>
      <c r="B423" s="8">
        <v>40562</v>
      </c>
      <c r="C423" s="7">
        <v>1</v>
      </c>
      <c r="D423" s="7">
        <v>0</v>
      </c>
      <c r="E423" s="7">
        <v>1</v>
      </c>
      <c r="F423" s="7">
        <v>14</v>
      </c>
      <c r="G423" s="7" t="b">
        <v>0</v>
      </c>
      <c r="H423" s="7">
        <v>3</v>
      </c>
      <c r="I423" s="7">
        <v>1</v>
      </c>
      <c r="J423" s="7">
        <v>0.4</v>
      </c>
      <c r="K423" s="9">
        <v>0.40910000000000002</v>
      </c>
      <c r="L423" s="9">
        <v>0.57999999999999996</v>
      </c>
      <c r="M423" s="9">
        <v>0.25369999999999998</v>
      </c>
      <c r="N423" s="9">
        <v>7</v>
      </c>
      <c r="O423" s="9">
        <v>68</v>
      </c>
      <c r="P423" s="9">
        <v>75</v>
      </c>
      <c r="Q423" s="7" t="str">
        <f t="shared" si="12"/>
        <v>WENESDAY</v>
      </c>
      <c r="R423" t="str">
        <f t="shared" si="13"/>
        <v>Clear</v>
      </c>
    </row>
    <row r="424" spans="1:18" x14ac:dyDescent="0.25">
      <c r="A424" s="7">
        <v>423</v>
      </c>
      <c r="B424" s="8">
        <v>40562</v>
      </c>
      <c r="C424" s="7">
        <v>1</v>
      </c>
      <c r="D424" s="7">
        <v>0</v>
      </c>
      <c r="E424" s="7">
        <v>1</v>
      </c>
      <c r="F424" s="7">
        <v>15</v>
      </c>
      <c r="G424" s="7" t="b">
        <v>0</v>
      </c>
      <c r="H424" s="7">
        <v>3</v>
      </c>
      <c r="I424" s="7">
        <v>1</v>
      </c>
      <c r="J424" s="7">
        <v>0.4</v>
      </c>
      <c r="K424" s="9">
        <v>0.40910000000000002</v>
      </c>
      <c r="L424" s="9">
        <v>0.54</v>
      </c>
      <c r="M424" s="9">
        <v>0.28360000000000002</v>
      </c>
      <c r="N424" s="9">
        <v>4</v>
      </c>
      <c r="O424" s="9">
        <v>78</v>
      </c>
      <c r="P424" s="9">
        <v>82</v>
      </c>
      <c r="Q424" s="7" t="str">
        <f t="shared" si="12"/>
        <v>WENESDAY</v>
      </c>
      <c r="R424" t="str">
        <f t="shared" si="13"/>
        <v>Clear</v>
      </c>
    </row>
    <row r="425" spans="1:18" x14ac:dyDescent="0.25">
      <c r="A425" s="7">
        <v>424</v>
      </c>
      <c r="B425" s="8">
        <v>40562</v>
      </c>
      <c r="C425" s="7">
        <v>1</v>
      </c>
      <c r="D425" s="7">
        <v>0</v>
      </c>
      <c r="E425" s="7">
        <v>1</v>
      </c>
      <c r="F425" s="7">
        <v>16</v>
      </c>
      <c r="G425" s="7" t="b">
        <v>0</v>
      </c>
      <c r="H425" s="7">
        <v>3</v>
      </c>
      <c r="I425" s="7">
        <v>1</v>
      </c>
      <c r="J425" s="7">
        <v>0.38</v>
      </c>
      <c r="K425" s="9">
        <v>0.39389999999999997</v>
      </c>
      <c r="L425" s="9">
        <v>0.57999999999999996</v>
      </c>
      <c r="M425" s="9">
        <v>0.3881</v>
      </c>
      <c r="N425" s="9">
        <v>10</v>
      </c>
      <c r="O425" s="9">
        <v>94</v>
      </c>
      <c r="P425" s="9">
        <v>104</v>
      </c>
      <c r="Q425" s="7" t="str">
        <f t="shared" si="12"/>
        <v>WENESDAY</v>
      </c>
      <c r="R425" t="str">
        <f t="shared" si="13"/>
        <v>Clear</v>
      </c>
    </row>
    <row r="426" spans="1:18" x14ac:dyDescent="0.25">
      <c r="A426" s="7">
        <v>425</v>
      </c>
      <c r="B426" s="8">
        <v>40562</v>
      </c>
      <c r="C426" s="7">
        <v>1</v>
      </c>
      <c r="D426" s="7">
        <v>0</v>
      </c>
      <c r="E426" s="7">
        <v>1</v>
      </c>
      <c r="F426" s="7">
        <v>17</v>
      </c>
      <c r="G426" s="7" t="b">
        <v>0</v>
      </c>
      <c r="H426" s="7">
        <v>3</v>
      </c>
      <c r="I426" s="7">
        <v>1</v>
      </c>
      <c r="J426" s="7">
        <v>0.36</v>
      </c>
      <c r="K426" s="9">
        <v>0.33329999999999999</v>
      </c>
      <c r="L426" s="9">
        <v>0.56999999999999995</v>
      </c>
      <c r="M426" s="9">
        <v>0.32840000000000003</v>
      </c>
      <c r="N426" s="9">
        <v>7</v>
      </c>
      <c r="O426" s="9">
        <v>190</v>
      </c>
      <c r="P426" s="9">
        <v>197</v>
      </c>
      <c r="Q426" s="7" t="str">
        <f t="shared" si="12"/>
        <v>WENESDAY</v>
      </c>
      <c r="R426" t="str">
        <f t="shared" si="13"/>
        <v>Clear</v>
      </c>
    </row>
    <row r="427" spans="1:18" x14ac:dyDescent="0.25">
      <c r="A427" s="7">
        <v>426</v>
      </c>
      <c r="B427" s="8">
        <v>40562</v>
      </c>
      <c r="C427" s="7">
        <v>1</v>
      </c>
      <c r="D427" s="7">
        <v>0</v>
      </c>
      <c r="E427" s="7">
        <v>1</v>
      </c>
      <c r="F427" s="7">
        <v>18</v>
      </c>
      <c r="G427" s="7" t="b">
        <v>0</v>
      </c>
      <c r="H427" s="7">
        <v>3</v>
      </c>
      <c r="I427" s="7">
        <v>1</v>
      </c>
      <c r="J427" s="7">
        <v>0.34</v>
      </c>
      <c r="K427" s="9">
        <v>0.31819999999999998</v>
      </c>
      <c r="L427" s="9">
        <v>0.61</v>
      </c>
      <c r="M427" s="9">
        <v>0.28360000000000002</v>
      </c>
      <c r="N427" s="9">
        <v>5</v>
      </c>
      <c r="O427" s="9">
        <v>156</v>
      </c>
      <c r="P427" s="9">
        <v>161</v>
      </c>
      <c r="Q427" s="7" t="str">
        <f t="shared" si="12"/>
        <v>WENESDAY</v>
      </c>
      <c r="R427" t="str">
        <f t="shared" si="13"/>
        <v>Clear</v>
      </c>
    </row>
    <row r="428" spans="1:18" x14ac:dyDescent="0.25">
      <c r="A428" s="7">
        <v>427</v>
      </c>
      <c r="B428" s="8">
        <v>40562</v>
      </c>
      <c r="C428" s="7">
        <v>1</v>
      </c>
      <c r="D428" s="7">
        <v>0</v>
      </c>
      <c r="E428" s="7">
        <v>1</v>
      </c>
      <c r="F428" s="7">
        <v>19</v>
      </c>
      <c r="G428" s="7" t="b">
        <v>0</v>
      </c>
      <c r="H428" s="7">
        <v>3</v>
      </c>
      <c r="I428" s="7">
        <v>1</v>
      </c>
      <c r="J428" s="7">
        <v>0.32</v>
      </c>
      <c r="K428" s="9">
        <v>0.28789999999999999</v>
      </c>
      <c r="L428" s="9">
        <v>0.56999999999999995</v>
      </c>
      <c r="M428" s="9">
        <v>0.41789999999999999</v>
      </c>
      <c r="N428" s="9">
        <v>4</v>
      </c>
      <c r="O428" s="9">
        <v>108</v>
      </c>
      <c r="P428" s="9">
        <v>112</v>
      </c>
      <c r="Q428" s="7" t="str">
        <f t="shared" si="12"/>
        <v>WENESDAY</v>
      </c>
      <c r="R428" t="str">
        <f t="shared" si="13"/>
        <v>Clear</v>
      </c>
    </row>
    <row r="429" spans="1:18" x14ac:dyDescent="0.25">
      <c r="A429" s="7">
        <v>428</v>
      </c>
      <c r="B429" s="8">
        <v>40562</v>
      </c>
      <c r="C429" s="7">
        <v>1</v>
      </c>
      <c r="D429" s="7">
        <v>0</v>
      </c>
      <c r="E429" s="7">
        <v>1</v>
      </c>
      <c r="F429" s="7">
        <v>20</v>
      </c>
      <c r="G429" s="7" t="b">
        <v>0</v>
      </c>
      <c r="H429" s="7">
        <v>3</v>
      </c>
      <c r="I429" s="7">
        <v>1</v>
      </c>
      <c r="J429" s="7">
        <v>0.32</v>
      </c>
      <c r="K429" s="9">
        <v>0.30299999999999999</v>
      </c>
      <c r="L429" s="9">
        <v>0.49</v>
      </c>
      <c r="M429" s="9">
        <v>0.29849999999999999</v>
      </c>
      <c r="N429" s="9">
        <v>2</v>
      </c>
      <c r="O429" s="9">
        <v>74</v>
      </c>
      <c r="P429" s="9">
        <v>76</v>
      </c>
      <c r="Q429" s="7" t="str">
        <f t="shared" si="12"/>
        <v>WENESDAY</v>
      </c>
      <c r="R429" t="str">
        <f t="shared" si="13"/>
        <v>Clear</v>
      </c>
    </row>
    <row r="430" spans="1:18" x14ac:dyDescent="0.25">
      <c r="A430" s="7">
        <v>429</v>
      </c>
      <c r="B430" s="8">
        <v>40562</v>
      </c>
      <c r="C430" s="7">
        <v>1</v>
      </c>
      <c r="D430" s="7">
        <v>0</v>
      </c>
      <c r="E430" s="7">
        <v>1</v>
      </c>
      <c r="F430" s="7">
        <v>21</v>
      </c>
      <c r="G430" s="7" t="b">
        <v>0</v>
      </c>
      <c r="H430" s="7">
        <v>3</v>
      </c>
      <c r="I430" s="7">
        <v>1</v>
      </c>
      <c r="J430" s="7">
        <v>0.32</v>
      </c>
      <c r="K430" s="9">
        <v>0.28789999999999999</v>
      </c>
      <c r="L430" s="9">
        <v>0.49</v>
      </c>
      <c r="M430" s="9">
        <v>0.41789999999999999</v>
      </c>
      <c r="N430" s="9">
        <v>4</v>
      </c>
      <c r="O430" s="9">
        <v>55</v>
      </c>
      <c r="P430" s="9">
        <v>59</v>
      </c>
      <c r="Q430" s="7" t="str">
        <f t="shared" si="12"/>
        <v>WENESDAY</v>
      </c>
      <c r="R430" t="str">
        <f t="shared" si="13"/>
        <v>Clear</v>
      </c>
    </row>
    <row r="431" spans="1:18" x14ac:dyDescent="0.25">
      <c r="A431" s="7">
        <v>430</v>
      </c>
      <c r="B431" s="8">
        <v>40562</v>
      </c>
      <c r="C431" s="7">
        <v>1</v>
      </c>
      <c r="D431" s="7">
        <v>0</v>
      </c>
      <c r="E431" s="7">
        <v>1</v>
      </c>
      <c r="F431" s="7">
        <v>22</v>
      </c>
      <c r="G431" s="7" t="b">
        <v>0</v>
      </c>
      <c r="H431" s="7">
        <v>3</v>
      </c>
      <c r="I431" s="7">
        <v>1</v>
      </c>
      <c r="J431" s="7">
        <v>0.3</v>
      </c>
      <c r="K431" s="9">
        <v>0.30299999999999999</v>
      </c>
      <c r="L431" s="9">
        <v>0.52</v>
      </c>
      <c r="M431" s="9">
        <v>0.16420000000000001</v>
      </c>
      <c r="N431" s="9">
        <v>6</v>
      </c>
      <c r="O431" s="9">
        <v>53</v>
      </c>
      <c r="P431" s="9">
        <v>59</v>
      </c>
      <c r="Q431" s="7" t="str">
        <f t="shared" si="12"/>
        <v>WENESDAY</v>
      </c>
      <c r="R431" t="str">
        <f t="shared" si="13"/>
        <v>Clear</v>
      </c>
    </row>
    <row r="432" spans="1:18" x14ac:dyDescent="0.25">
      <c r="A432" s="7">
        <v>431</v>
      </c>
      <c r="B432" s="8">
        <v>40562</v>
      </c>
      <c r="C432" s="7">
        <v>1</v>
      </c>
      <c r="D432" s="7">
        <v>0</v>
      </c>
      <c r="E432" s="7">
        <v>1</v>
      </c>
      <c r="F432" s="7">
        <v>23</v>
      </c>
      <c r="G432" s="7" t="b">
        <v>0</v>
      </c>
      <c r="H432" s="7">
        <v>3</v>
      </c>
      <c r="I432" s="7">
        <v>1</v>
      </c>
      <c r="J432" s="7">
        <v>0.3</v>
      </c>
      <c r="K432" s="9">
        <v>0.2727</v>
      </c>
      <c r="L432" s="9">
        <v>0.52</v>
      </c>
      <c r="M432" s="9">
        <v>0.4627</v>
      </c>
      <c r="N432" s="9">
        <v>1</v>
      </c>
      <c r="O432" s="9">
        <v>27</v>
      </c>
      <c r="P432" s="9">
        <v>28</v>
      </c>
      <c r="Q432" s="7" t="str">
        <f t="shared" si="12"/>
        <v>WENESDAY</v>
      </c>
      <c r="R432" t="str">
        <f t="shared" si="13"/>
        <v>Clear</v>
      </c>
    </row>
    <row r="433" spans="1:18" x14ac:dyDescent="0.25">
      <c r="A433" s="7">
        <v>432</v>
      </c>
      <c r="B433" s="8">
        <v>40563</v>
      </c>
      <c r="C433" s="7">
        <v>1</v>
      </c>
      <c r="D433" s="7">
        <v>0</v>
      </c>
      <c r="E433" s="7">
        <v>1</v>
      </c>
      <c r="F433" s="7">
        <v>0</v>
      </c>
      <c r="G433" s="7" t="b">
        <v>0</v>
      </c>
      <c r="H433" s="7">
        <v>4</v>
      </c>
      <c r="I433" s="7">
        <v>1</v>
      </c>
      <c r="J433" s="7">
        <v>0.26</v>
      </c>
      <c r="K433" s="9">
        <v>0.2273</v>
      </c>
      <c r="L433" s="9">
        <v>0.56000000000000005</v>
      </c>
      <c r="M433" s="9">
        <v>0.3881</v>
      </c>
      <c r="N433" s="9">
        <v>5</v>
      </c>
      <c r="O433" s="9">
        <v>8</v>
      </c>
      <c r="P433" s="9">
        <v>13</v>
      </c>
      <c r="Q433" s="7" t="str">
        <f t="shared" si="12"/>
        <v>THUSDAY</v>
      </c>
      <c r="R433" t="str">
        <f t="shared" si="13"/>
        <v>Clear</v>
      </c>
    </row>
    <row r="434" spans="1:18" x14ac:dyDescent="0.25">
      <c r="A434" s="7">
        <v>433</v>
      </c>
      <c r="B434" s="8">
        <v>40563</v>
      </c>
      <c r="C434" s="7">
        <v>1</v>
      </c>
      <c r="D434" s="7">
        <v>0</v>
      </c>
      <c r="E434" s="7">
        <v>1</v>
      </c>
      <c r="F434" s="7">
        <v>1</v>
      </c>
      <c r="G434" s="7" t="b">
        <v>0</v>
      </c>
      <c r="H434" s="7">
        <v>4</v>
      </c>
      <c r="I434" s="7">
        <v>1</v>
      </c>
      <c r="J434" s="7">
        <v>0.26</v>
      </c>
      <c r="K434" s="9">
        <v>0.2727</v>
      </c>
      <c r="L434" s="9">
        <v>0.56000000000000005</v>
      </c>
      <c r="M434" s="9">
        <v>0</v>
      </c>
      <c r="N434" s="9">
        <v>2</v>
      </c>
      <c r="O434" s="9">
        <v>3</v>
      </c>
      <c r="P434" s="9">
        <v>5</v>
      </c>
      <c r="Q434" s="7" t="str">
        <f t="shared" si="12"/>
        <v>THUSDAY</v>
      </c>
      <c r="R434" t="str">
        <f t="shared" si="13"/>
        <v>Clear</v>
      </c>
    </row>
    <row r="435" spans="1:18" x14ac:dyDescent="0.25">
      <c r="A435" s="7">
        <v>434</v>
      </c>
      <c r="B435" s="8">
        <v>40563</v>
      </c>
      <c r="C435" s="7">
        <v>1</v>
      </c>
      <c r="D435" s="7">
        <v>0</v>
      </c>
      <c r="E435" s="7">
        <v>1</v>
      </c>
      <c r="F435" s="7">
        <v>2</v>
      </c>
      <c r="G435" s="7" t="b">
        <v>0</v>
      </c>
      <c r="H435" s="7">
        <v>4</v>
      </c>
      <c r="I435" s="7">
        <v>1</v>
      </c>
      <c r="J435" s="7">
        <v>0.26</v>
      </c>
      <c r="K435" s="9">
        <v>0.2727</v>
      </c>
      <c r="L435" s="9">
        <v>0.56000000000000005</v>
      </c>
      <c r="M435" s="9">
        <v>0</v>
      </c>
      <c r="N435" s="9">
        <v>0</v>
      </c>
      <c r="O435" s="9">
        <v>2</v>
      </c>
      <c r="P435" s="9">
        <v>2</v>
      </c>
      <c r="Q435" s="7" t="str">
        <f t="shared" si="12"/>
        <v>THUSDAY</v>
      </c>
      <c r="R435" t="str">
        <f t="shared" si="13"/>
        <v>Clear</v>
      </c>
    </row>
    <row r="436" spans="1:18" x14ac:dyDescent="0.25">
      <c r="A436" s="7">
        <v>435</v>
      </c>
      <c r="B436" s="8">
        <v>40563</v>
      </c>
      <c r="C436" s="7">
        <v>1</v>
      </c>
      <c r="D436" s="7">
        <v>0</v>
      </c>
      <c r="E436" s="7">
        <v>1</v>
      </c>
      <c r="F436" s="7">
        <v>3</v>
      </c>
      <c r="G436" s="7" t="b">
        <v>0</v>
      </c>
      <c r="H436" s="7">
        <v>4</v>
      </c>
      <c r="I436" s="7">
        <v>1</v>
      </c>
      <c r="J436" s="7">
        <v>0.26</v>
      </c>
      <c r="K436" s="9">
        <v>0.2576</v>
      </c>
      <c r="L436" s="9">
        <v>0.56000000000000005</v>
      </c>
      <c r="M436" s="9">
        <v>0.16420000000000001</v>
      </c>
      <c r="N436" s="9">
        <v>0</v>
      </c>
      <c r="O436" s="9">
        <v>1</v>
      </c>
      <c r="P436" s="9">
        <v>1</v>
      </c>
      <c r="Q436" s="7" t="str">
        <f t="shared" si="12"/>
        <v>THUSDAY</v>
      </c>
      <c r="R436" t="str">
        <f t="shared" si="13"/>
        <v>Clear</v>
      </c>
    </row>
    <row r="437" spans="1:18" x14ac:dyDescent="0.25">
      <c r="A437" s="7">
        <v>436</v>
      </c>
      <c r="B437" s="8">
        <v>40563</v>
      </c>
      <c r="C437" s="7">
        <v>1</v>
      </c>
      <c r="D437" s="7">
        <v>0</v>
      </c>
      <c r="E437" s="7">
        <v>1</v>
      </c>
      <c r="F437" s="7">
        <v>4</v>
      </c>
      <c r="G437" s="7" t="b">
        <v>0</v>
      </c>
      <c r="H437" s="7">
        <v>4</v>
      </c>
      <c r="I437" s="7">
        <v>1</v>
      </c>
      <c r="J437" s="7">
        <v>0.26</v>
      </c>
      <c r="K437" s="9">
        <v>0.2576</v>
      </c>
      <c r="L437" s="9">
        <v>0.56000000000000005</v>
      </c>
      <c r="M437" s="9">
        <v>0.16420000000000001</v>
      </c>
      <c r="N437" s="9">
        <v>0</v>
      </c>
      <c r="O437" s="9">
        <v>1</v>
      </c>
      <c r="P437" s="9">
        <v>1</v>
      </c>
      <c r="Q437" s="7" t="str">
        <f t="shared" si="12"/>
        <v>THUSDAY</v>
      </c>
      <c r="R437" t="str">
        <f t="shared" si="13"/>
        <v>Clear</v>
      </c>
    </row>
    <row r="438" spans="1:18" x14ac:dyDescent="0.25">
      <c r="A438" s="7">
        <v>437</v>
      </c>
      <c r="B438" s="8">
        <v>40563</v>
      </c>
      <c r="C438" s="7">
        <v>1</v>
      </c>
      <c r="D438" s="7">
        <v>0</v>
      </c>
      <c r="E438" s="7">
        <v>1</v>
      </c>
      <c r="F438" s="7">
        <v>5</v>
      </c>
      <c r="G438" s="7" t="b">
        <v>0</v>
      </c>
      <c r="H438" s="7">
        <v>4</v>
      </c>
      <c r="I438" s="7">
        <v>1</v>
      </c>
      <c r="J438" s="7">
        <v>0.24</v>
      </c>
      <c r="K438" s="9">
        <v>0.2273</v>
      </c>
      <c r="L438" s="9">
        <v>0.6</v>
      </c>
      <c r="M438" s="9">
        <v>0.22389999999999999</v>
      </c>
      <c r="N438" s="9">
        <v>0</v>
      </c>
      <c r="O438" s="9">
        <v>6</v>
      </c>
      <c r="P438" s="9">
        <v>6</v>
      </c>
      <c r="Q438" s="7" t="str">
        <f t="shared" si="12"/>
        <v>THUSDAY</v>
      </c>
      <c r="R438" t="str">
        <f t="shared" si="13"/>
        <v>Clear</v>
      </c>
    </row>
    <row r="439" spans="1:18" x14ac:dyDescent="0.25">
      <c r="A439" s="7">
        <v>438</v>
      </c>
      <c r="B439" s="8">
        <v>40563</v>
      </c>
      <c r="C439" s="7">
        <v>1</v>
      </c>
      <c r="D439" s="7">
        <v>0</v>
      </c>
      <c r="E439" s="7">
        <v>1</v>
      </c>
      <c r="F439" s="7">
        <v>6</v>
      </c>
      <c r="G439" s="7" t="b">
        <v>0</v>
      </c>
      <c r="H439" s="7">
        <v>4</v>
      </c>
      <c r="I439" s="7">
        <v>1</v>
      </c>
      <c r="J439" s="7">
        <v>0.22</v>
      </c>
      <c r="K439" s="9">
        <v>0.21210000000000001</v>
      </c>
      <c r="L439" s="9">
        <v>0.6</v>
      </c>
      <c r="M439" s="9">
        <v>0.22389999999999999</v>
      </c>
      <c r="N439" s="9">
        <v>0</v>
      </c>
      <c r="O439" s="9">
        <v>35</v>
      </c>
      <c r="P439" s="9">
        <v>35</v>
      </c>
      <c r="Q439" s="7" t="str">
        <f t="shared" si="12"/>
        <v>THUSDAY</v>
      </c>
      <c r="R439" t="str">
        <f t="shared" si="13"/>
        <v>Clear</v>
      </c>
    </row>
    <row r="440" spans="1:18" x14ac:dyDescent="0.25">
      <c r="A440" s="7">
        <v>439</v>
      </c>
      <c r="B440" s="8">
        <v>40563</v>
      </c>
      <c r="C440" s="7">
        <v>1</v>
      </c>
      <c r="D440" s="7">
        <v>0</v>
      </c>
      <c r="E440" s="7">
        <v>1</v>
      </c>
      <c r="F440" s="7">
        <v>7</v>
      </c>
      <c r="G440" s="7" t="b">
        <v>0</v>
      </c>
      <c r="H440" s="7">
        <v>4</v>
      </c>
      <c r="I440" s="7">
        <v>1</v>
      </c>
      <c r="J440" s="7">
        <v>0.22</v>
      </c>
      <c r="K440" s="9">
        <v>0.21210000000000001</v>
      </c>
      <c r="L440" s="9">
        <v>0.55000000000000004</v>
      </c>
      <c r="M440" s="9">
        <v>0.22389999999999999</v>
      </c>
      <c r="N440" s="9">
        <v>1</v>
      </c>
      <c r="O440" s="9">
        <v>100</v>
      </c>
      <c r="P440" s="9">
        <v>101</v>
      </c>
      <c r="Q440" s="7" t="str">
        <f t="shared" si="12"/>
        <v>THUSDAY</v>
      </c>
      <c r="R440" t="str">
        <f t="shared" si="13"/>
        <v>Clear</v>
      </c>
    </row>
    <row r="441" spans="1:18" x14ac:dyDescent="0.25">
      <c r="A441" s="7">
        <v>440</v>
      </c>
      <c r="B441" s="8">
        <v>40563</v>
      </c>
      <c r="C441" s="7">
        <v>1</v>
      </c>
      <c r="D441" s="7">
        <v>0</v>
      </c>
      <c r="E441" s="7">
        <v>1</v>
      </c>
      <c r="F441" s="7">
        <v>8</v>
      </c>
      <c r="G441" s="7" t="b">
        <v>0</v>
      </c>
      <c r="H441" s="7">
        <v>4</v>
      </c>
      <c r="I441" s="7">
        <v>1</v>
      </c>
      <c r="J441" s="7">
        <v>0.22</v>
      </c>
      <c r="K441" s="9">
        <v>0.21210000000000001</v>
      </c>
      <c r="L441" s="9">
        <v>0.55000000000000004</v>
      </c>
      <c r="M441" s="9">
        <v>0.28360000000000002</v>
      </c>
      <c r="N441" s="9">
        <v>2</v>
      </c>
      <c r="O441" s="9">
        <v>247</v>
      </c>
      <c r="P441" s="9">
        <v>249</v>
      </c>
      <c r="Q441" s="7" t="str">
        <f t="shared" si="12"/>
        <v>THUSDAY</v>
      </c>
      <c r="R441" t="str">
        <f t="shared" si="13"/>
        <v>Clear</v>
      </c>
    </row>
    <row r="442" spans="1:18" x14ac:dyDescent="0.25">
      <c r="A442" s="7">
        <v>441</v>
      </c>
      <c r="B442" s="8">
        <v>40563</v>
      </c>
      <c r="C442" s="7">
        <v>1</v>
      </c>
      <c r="D442" s="7">
        <v>0</v>
      </c>
      <c r="E442" s="7">
        <v>1</v>
      </c>
      <c r="F442" s="7">
        <v>9</v>
      </c>
      <c r="G442" s="7" t="b">
        <v>0</v>
      </c>
      <c r="H442" s="7">
        <v>4</v>
      </c>
      <c r="I442" s="7">
        <v>2</v>
      </c>
      <c r="J442" s="7">
        <v>0.24</v>
      </c>
      <c r="K442" s="9">
        <v>0.2273</v>
      </c>
      <c r="L442" s="9">
        <v>0.52</v>
      </c>
      <c r="M442" s="9">
        <v>0.22389999999999999</v>
      </c>
      <c r="N442" s="9">
        <v>3</v>
      </c>
      <c r="O442" s="9">
        <v>140</v>
      </c>
      <c r="P442" s="9">
        <v>143</v>
      </c>
      <c r="Q442" s="7" t="str">
        <f t="shared" si="12"/>
        <v>THUSDAY</v>
      </c>
      <c r="R442" t="str">
        <f t="shared" si="13"/>
        <v>Mist</v>
      </c>
    </row>
    <row r="443" spans="1:18" x14ac:dyDescent="0.25">
      <c r="A443" s="7">
        <v>442</v>
      </c>
      <c r="B443" s="8">
        <v>40563</v>
      </c>
      <c r="C443" s="7">
        <v>1</v>
      </c>
      <c r="D443" s="7">
        <v>0</v>
      </c>
      <c r="E443" s="7">
        <v>1</v>
      </c>
      <c r="F443" s="7">
        <v>10</v>
      </c>
      <c r="G443" s="7" t="b">
        <v>0</v>
      </c>
      <c r="H443" s="7">
        <v>4</v>
      </c>
      <c r="I443" s="7">
        <v>1</v>
      </c>
      <c r="J443" s="7">
        <v>0.26</v>
      </c>
      <c r="K443" s="9">
        <v>0.2273</v>
      </c>
      <c r="L443" s="9">
        <v>0.48</v>
      </c>
      <c r="M443" s="9">
        <v>0.29849999999999999</v>
      </c>
      <c r="N443" s="9">
        <v>1</v>
      </c>
      <c r="O443" s="9">
        <v>56</v>
      </c>
      <c r="P443" s="9">
        <v>57</v>
      </c>
      <c r="Q443" s="7" t="str">
        <f t="shared" si="12"/>
        <v>THUSDAY</v>
      </c>
      <c r="R443" t="str">
        <f t="shared" si="13"/>
        <v>Clear</v>
      </c>
    </row>
    <row r="444" spans="1:18" x14ac:dyDescent="0.25">
      <c r="A444" s="7">
        <v>443</v>
      </c>
      <c r="B444" s="8">
        <v>40563</v>
      </c>
      <c r="C444" s="7">
        <v>1</v>
      </c>
      <c r="D444" s="7">
        <v>0</v>
      </c>
      <c r="E444" s="7">
        <v>1</v>
      </c>
      <c r="F444" s="7">
        <v>11</v>
      </c>
      <c r="G444" s="7" t="b">
        <v>0</v>
      </c>
      <c r="H444" s="7">
        <v>4</v>
      </c>
      <c r="I444" s="7">
        <v>2</v>
      </c>
      <c r="J444" s="7">
        <v>0.28000000000000003</v>
      </c>
      <c r="K444" s="9">
        <v>0.2727</v>
      </c>
      <c r="L444" s="9">
        <v>0.45</v>
      </c>
      <c r="M444" s="9">
        <v>0.16420000000000001</v>
      </c>
      <c r="N444" s="9">
        <v>5</v>
      </c>
      <c r="O444" s="9">
        <v>63</v>
      </c>
      <c r="P444" s="9">
        <v>68</v>
      </c>
      <c r="Q444" s="7" t="str">
        <f t="shared" si="12"/>
        <v>THUSDAY</v>
      </c>
      <c r="R444" t="str">
        <f t="shared" si="13"/>
        <v>Mist</v>
      </c>
    </row>
    <row r="445" spans="1:18" x14ac:dyDescent="0.25">
      <c r="A445" s="7">
        <v>444</v>
      </c>
      <c r="B445" s="8">
        <v>40563</v>
      </c>
      <c r="C445" s="7">
        <v>1</v>
      </c>
      <c r="D445" s="7">
        <v>0</v>
      </c>
      <c r="E445" s="7">
        <v>1</v>
      </c>
      <c r="F445" s="7">
        <v>12</v>
      </c>
      <c r="G445" s="7" t="b">
        <v>0</v>
      </c>
      <c r="H445" s="7">
        <v>4</v>
      </c>
      <c r="I445" s="7">
        <v>2</v>
      </c>
      <c r="J445" s="7">
        <v>0.3</v>
      </c>
      <c r="K445" s="9">
        <v>0.33329999999999999</v>
      </c>
      <c r="L445" s="9">
        <v>0.42</v>
      </c>
      <c r="M445" s="9">
        <v>0</v>
      </c>
      <c r="N445" s="9">
        <v>7</v>
      </c>
      <c r="O445" s="9">
        <v>77</v>
      </c>
      <c r="P445" s="9">
        <v>84</v>
      </c>
      <c r="Q445" s="7" t="str">
        <f t="shared" si="12"/>
        <v>THUSDAY</v>
      </c>
      <c r="R445" t="str">
        <f t="shared" si="13"/>
        <v>Mist</v>
      </c>
    </row>
    <row r="446" spans="1:18" x14ac:dyDescent="0.25">
      <c r="A446" s="7">
        <v>445</v>
      </c>
      <c r="B446" s="8">
        <v>40563</v>
      </c>
      <c r="C446" s="7">
        <v>1</v>
      </c>
      <c r="D446" s="7">
        <v>0</v>
      </c>
      <c r="E446" s="7">
        <v>1</v>
      </c>
      <c r="F446" s="7">
        <v>13</v>
      </c>
      <c r="G446" s="7" t="b">
        <v>0</v>
      </c>
      <c r="H446" s="7">
        <v>4</v>
      </c>
      <c r="I446" s="7">
        <v>2</v>
      </c>
      <c r="J446" s="7">
        <v>0.28000000000000003</v>
      </c>
      <c r="K446" s="9">
        <v>0.28789999999999999</v>
      </c>
      <c r="L446" s="9">
        <v>0.45</v>
      </c>
      <c r="M446" s="9">
        <v>0.1045</v>
      </c>
      <c r="N446" s="9">
        <v>12</v>
      </c>
      <c r="O446" s="9">
        <v>86</v>
      </c>
      <c r="P446" s="9">
        <v>98</v>
      </c>
      <c r="Q446" s="7" t="str">
        <f t="shared" si="12"/>
        <v>THUSDAY</v>
      </c>
      <c r="R446" t="str">
        <f t="shared" si="13"/>
        <v>Mist</v>
      </c>
    </row>
    <row r="447" spans="1:18" x14ac:dyDescent="0.25">
      <c r="A447" s="7">
        <v>446</v>
      </c>
      <c r="B447" s="8">
        <v>40563</v>
      </c>
      <c r="C447" s="7">
        <v>1</v>
      </c>
      <c r="D447" s="7">
        <v>0</v>
      </c>
      <c r="E447" s="7">
        <v>1</v>
      </c>
      <c r="F447" s="7">
        <v>14</v>
      </c>
      <c r="G447" s="7" t="b">
        <v>0</v>
      </c>
      <c r="H447" s="7">
        <v>4</v>
      </c>
      <c r="I447" s="7">
        <v>2</v>
      </c>
      <c r="J447" s="7">
        <v>0.3</v>
      </c>
      <c r="K447" s="9">
        <v>0.30299999999999999</v>
      </c>
      <c r="L447" s="9">
        <v>0.45</v>
      </c>
      <c r="M447" s="9">
        <v>0.1343</v>
      </c>
      <c r="N447" s="9">
        <v>6</v>
      </c>
      <c r="O447" s="9">
        <v>75</v>
      </c>
      <c r="P447" s="9">
        <v>81</v>
      </c>
      <c r="Q447" s="7" t="str">
        <f t="shared" si="12"/>
        <v>THUSDAY</v>
      </c>
      <c r="R447" t="str">
        <f t="shared" si="13"/>
        <v>Mist</v>
      </c>
    </row>
    <row r="448" spans="1:18" x14ac:dyDescent="0.25">
      <c r="A448" s="7">
        <v>447</v>
      </c>
      <c r="B448" s="8">
        <v>40563</v>
      </c>
      <c r="C448" s="7">
        <v>1</v>
      </c>
      <c r="D448" s="7">
        <v>0</v>
      </c>
      <c r="E448" s="7">
        <v>1</v>
      </c>
      <c r="F448" s="7">
        <v>15</v>
      </c>
      <c r="G448" s="7" t="b">
        <v>0</v>
      </c>
      <c r="H448" s="7">
        <v>4</v>
      </c>
      <c r="I448" s="7">
        <v>2</v>
      </c>
      <c r="J448" s="7">
        <v>0.32</v>
      </c>
      <c r="K448" s="9">
        <v>0.31819999999999998</v>
      </c>
      <c r="L448" s="9">
        <v>0.45</v>
      </c>
      <c r="M448" s="9">
        <v>0.19400000000000001</v>
      </c>
      <c r="N448" s="9">
        <v>8</v>
      </c>
      <c r="O448" s="9">
        <v>62</v>
      </c>
      <c r="P448" s="9">
        <v>70</v>
      </c>
      <c r="Q448" s="7" t="str">
        <f t="shared" si="12"/>
        <v>THUSDAY</v>
      </c>
      <c r="R448" t="str">
        <f t="shared" si="13"/>
        <v>Mist</v>
      </c>
    </row>
    <row r="449" spans="1:18" x14ac:dyDescent="0.25">
      <c r="A449" s="7">
        <v>448</v>
      </c>
      <c r="B449" s="8">
        <v>40563</v>
      </c>
      <c r="C449" s="7">
        <v>1</v>
      </c>
      <c r="D449" s="7">
        <v>0</v>
      </c>
      <c r="E449" s="7">
        <v>1</v>
      </c>
      <c r="F449" s="7">
        <v>16</v>
      </c>
      <c r="G449" s="7" t="b">
        <v>0</v>
      </c>
      <c r="H449" s="7">
        <v>4</v>
      </c>
      <c r="I449" s="7">
        <v>2</v>
      </c>
      <c r="J449" s="7">
        <v>0.3</v>
      </c>
      <c r="K449" s="9">
        <v>0.30299999999999999</v>
      </c>
      <c r="L449" s="9">
        <v>0.49</v>
      </c>
      <c r="M449" s="9">
        <v>0.1343</v>
      </c>
      <c r="N449" s="9">
        <v>8</v>
      </c>
      <c r="O449" s="9">
        <v>83</v>
      </c>
      <c r="P449" s="9">
        <v>91</v>
      </c>
      <c r="Q449" s="7" t="str">
        <f t="shared" si="12"/>
        <v>THUSDAY</v>
      </c>
      <c r="R449" t="str">
        <f t="shared" si="13"/>
        <v>Mist</v>
      </c>
    </row>
    <row r="450" spans="1:18" x14ac:dyDescent="0.25">
      <c r="A450" s="7">
        <v>449</v>
      </c>
      <c r="B450" s="8">
        <v>40563</v>
      </c>
      <c r="C450" s="7">
        <v>1</v>
      </c>
      <c r="D450" s="7">
        <v>0</v>
      </c>
      <c r="E450" s="7">
        <v>1</v>
      </c>
      <c r="F450" s="7">
        <v>17</v>
      </c>
      <c r="G450" s="7" t="b">
        <v>0</v>
      </c>
      <c r="H450" s="7">
        <v>4</v>
      </c>
      <c r="I450" s="7">
        <v>2</v>
      </c>
      <c r="J450" s="7">
        <v>0.3</v>
      </c>
      <c r="K450" s="9">
        <v>0.31819999999999998</v>
      </c>
      <c r="L450" s="9">
        <v>0.49</v>
      </c>
      <c r="M450" s="9">
        <v>0.1045</v>
      </c>
      <c r="N450" s="9">
        <v>8</v>
      </c>
      <c r="O450" s="9">
        <v>207</v>
      </c>
      <c r="P450" s="9">
        <v>215</v>
      </c>
      <c r="Q450" s="7" t="str">
        <f t="shared" ref="Q450:Q513" si="14">CHOOSE(H450+1, "SUNDAY", "MONDAY","TUESDAY", "WENESDAY","THUSDAY", "FRIDAY", "SATARDAY")</f>
        <v>THUSDAY</v>
      </c>
      <c r="R450" t="str">
        <f t="shared" ref="R450:R513" si="15">IF(I450=1,"Clear",IF(I450=2,"Mist",IF(I450=3,"Light Rain/Snow","Heavy Rain")))</f>
        <v>Mist</v>
      </c>
    </row>
    <row r="451" spans="1:18" x14ac:dyDescent="0.25">
      <c r="A451" s="7">
        <v>450</v>
      </c>
      <c r="B451" s="8">
        <v>40563</v>
      </c>
      <c r="C451" s="7">
        <v>1</v>
      </c>
      <c r="D451" s="7">
        <v>0</v>
      </c>
      <c r="E451" s="7">
        <v>1</v>
      </c>
      <c r="F451" s="7">
        <v>18</v>
      </c>
      <c r="G451" s="7" t="b">
        <v>0</v>
      </c>
      <c r="H451" s="7">
        <v>4</v>
      </c>
      <c r="I451" s="7">
        <v>2</v>
      </c>
      <c r="J451" s="7">
        <v>0.26</v>
      </c>
      <c r="K451" s="9">
        <v>0.2576</v>
      </c>
      <c r="L451" s="9">
        <v>0.56000000000000005</v>
      </c>
      <c r="M451" s="9">
        <v>0.19400000000000001</v>
      </c>
      <c r="N451" s="9">
        <v>1</v>
      </c>
      <c r="O451" s="9">
        <v>184</v>
      </c>
      <c r="P451" s="9">
        <v>185</v>
      </c>
      <c r="Q451" s="7" t="str">
        <f t="shared" si="14"/>
        <v>THUSDAY</v>
      </c>
      <c r="R451" t="str">
        <f t="shared" si="15"/>
        <v>Mist</v>
      </c>
    </row>
    <row r="452" spans="1:18" x14ac:dyDescent="0.25">
      <c r="A452" s="7">
        <v>451</v>
      </c>
      <c r="B452" s="8">
        <v>40563</v>
      </c>
      <c r="C452" s="7">
        <v>1</v>
      </c>
      <c r="D452" s="7">
        <v>0</v>
      </c>
      <c r="E452" s="7">
        <v>1</v>
      </c>
      <c r="F452" s="7">
        <v>19</v>
      </c>
      <c r="G452" s="7" t="b">
        <v>0</v>
      </c>
      <c r="H452" s="7">
        <v>4</v>
      </c>
      <c r="I452" s="7">
        <v>1</v>
      </c>
      <c r="J452" s="7">
        <v>0.26</v>
      </c>
      <c r="K452" s="9">
        <v>0.2273</v>
      </c>
      <c r="L452" s="9">
        <v>0.56000000000000005</v>
      </c>
      <c r="M452" s="9">
        <v>0.32840000000000003</v>
      </c>
      <c r="N452" s="9">
        <v>6</v>
      </c>
      <c r="O452" s="9">
        <v>146</v>
      </c>
      <c r="P452" s="9">
        <v>152</v>
      </c>
      <c r="Q452" s="7" t="str">
        <f t="shared" si="14"/>
        <v>THUSDAY</v>
      </c>
      <c r="R452" t="str">
        <f t="shared" si="15"/>
        <v>Clear</v>
      </c>
    </row>
    <row r="453" spans="1:18" x14ac:dyDescent="0.25">
      <c r="A453" s="7">
        <v>452</v>
      </c>
      <c r="B453" s="8">
        <v>40563</v>
      </c>
      <c r="C453" s="7">
        <v>1</v>
      </c>
      <c r="D453" s="7">
        <v>0</v>
      </c>
      <c r="E453" s="7">
        <v>1</v>
      </c>
      <c r="F453" s="7">
        <v>20</v>
      </c>
      <c r="G453" s="7" t="b">
        <v>0</v>
      </c>
      <c r="H453" s="7">
        <v>4</v>
      </c>
      <c r="I453" s="7">
        <v>2</v>
      </c>
      <c r="J453" s="7">
        <v>0.26</v>
      </c>
      <c r="K453" s="9">
        <v>0.2424</v>
      </c>
      <c r="L453" s="9">
        <v>0.6</v>
      </c>
      <c r="M453" s="9">
        <v>0.28360000000000002</v>
      </c>
      <c r="N453" s="9">
        <v>2</v>
      </c>
      <c r="O453" s="9">
        <v>124</v>
      </c>
      <c r="P453" s="9">
        <v>126</v>
      </c>
      <c r="Q453" s="7" t="str">
        <f t="shared" si="14"/>
        <v>THUSDAY</v>
      </c>
      <c r="R453" t="str">
        <f t="shared" si="15"/>
        <v>Mist</v>
      </c>
    </row>
    <row r="454" spans="1:18" x14ac:dyDescent="0.25">
      <c r="A454" s="7">
        <v>453</v>
      </c>
      <c r="B454" s="8">
        <v>40563</v>
      </c>
      <c r="C454" s="7">
        <v>1</v>
      </c>
      <c r="D454" s="7">
        <v>0</v>
      </c>
      <c r="E454" s="7">
        <v>1</v>
      </c>
      <c r="F454" s="7">
        <v>21</v>
      </c>
      <c r="G454" s="7" t="b">
        <v>0</v>
      </c>
      <c r="H454" s="7">
        <v>4</v>
      </c>
      <c r="I454" s="7">
        <v>2</v>
      </c>
      <c r="J454" s="7">
        <v>0.24</v>
      </c>
      <c r="K454" s="9">
        <v>0.2273</v>
      </c>
      <c r="L454" s="9">
        <v>0.6</v>
      </c>
      <c r="M454" s="9">
        <v>0.25369999999999998</v>
      </c>
      <c r="N454" s="9">
        <v>3</v>
      </c>
      <c r="O454" s="9">
        <v>54</v>
      </c>
      <c r="P454" s="9">
        <v>57</v>
      </c>
      <c r="Q454" s="7" t="str">
        <f t="shared" si="14"/>
        <v>THUSDAY</v>
      </c>
      <c r="R454" t="str">
        <f t="shared" si="15"/>
        <v>Mist</v>
      </c>
    </row>
    <row r="455" spans="1:18" x14ac:dyDescent="0.25">
      <c r="A455" s="7">
        <v>454</v>
      </c>
      <c r="B455" s="8">
        <v>40563</v>
      </c>
      <c r="C455" s="7">
        <v>1</v>
      </c>
      <c r="D455" s="7">
        <v>0</v>
      </c>
      <c r="E455" s="7">
        <v>1</v>
      </c>
      <c r="F455" s="7">
        <v>22</v>
      </c>
      <c r="G455" s="7" t="b">
        <v>0</v>
      </c>
      <c r="H455" s="7">
        <v>4</v>
      </c>
      <c r="I455" s="7">
        <v>2</v>
      </c>
      <c r="J455" s="7">
        <v>0.24</v>
      </c>
      <c r="K455" s="9">
        <v>0.21210000000000001</v>
      </c>
      <c r="L455" s="9">
        <v>0.65</v>
      </c>
      <c r="M455" s="9">
        <v>0.28360000000000002</v>
      </c>
      <c r="N455" s="9">
        <v>0</v>
      </c>
      <c r="O455" s="9">
        <v>56</v>
      </c>
      <c r="P455" s="9">
        <v>56</v>
      </c>
      <c r="Q455" s="7" t="str">
        <f t="shared" si="14"/>
        <v>THUSDAY</v>
      </c>
      <c r="R455" t="str">
        <f t="shared" si="15"/>
        <v>Mist</v>
      </c>
    </row>
    <row r="456" spans="1:18" x14ac:dyDescent="0.25">
      <c r="A456" s="7">
        <v>455</v>
      </c>
      <c r="B456" s="8">
        <v>40563</v>
      </c>
      <c r="C456" s="7">
        <v>1</v>
      </c>
      <c r="D456" s="7">
        <v>0</v>
      </c>
      <c r="E456" s="7">
        <v>1</v>
      </c>
      <c r="F456" s="7">
        <v>23</v>
      </c>
      <c r="G456" s="7" t="b">
        <v>0</v>
      </c>
      <c r="H456" s="7">
        <v>4</v>
      </c>
      <c r="I456" s="7">
        <v>2</v>
      </c>
      <c r="J456" s="7">
        <v>0.24</v>
      </c>
      <c r="K456" s="9">
        <v>0.21210000000000001</v>
      </c>
      <c r="L456" s="9">
        <v>0.65</v>
      </c>
      <c r="M456" s="9">
        <v>0.32840000000000003</v>
      </c>
      <c r="N456" s="9">
        <v>3</v>
      </c>
      <c r="O456" s="9">
        <v>28</v>
      </c>
      <c r="P456" s="9">
        <v>31</v>
      </c>
      <c r="Q456" s="7" t="str">
        <f t="shared" si="14"/>
        <v>THUSDAY</v>
      </c>
      <c r="R456" t="str">
        <f t="shared" si="15"/>
        <v>Mist</v>
      </c>
    </row>
    <row r="457" spans="1:18" x14ac:dyDescent="0.25">
      <c r="A457" s="7">
        <v>456</v>
      </c>
      <c r="B457" s="8">
        <v>40564</v>
      </c>
      <c r="C457" s="7">
        <v>1</v>
      </c>
      <c r="D457" s="7">
        <v>0</v>
      </c>
      <c r="E457" s="7">
        <v>1</v>
      </c>
      <c r="F457" s="7">
        <v>0</v>
      </c>
      <c r="G457" s="7" t="b">
        <v>0</v>
      </c>
      <c r="H457" s="7">
        <v>5</v>
      </c>
      <c r="I457" s="7">
        <v>2</v>
      </c>
      <c r="J457" s="7">
        <v>0.24</v>
      </c>
      <c r="K457" s="9">
        <v>0.2273</v>
      </c>
      <c r="L457" s="9">
        <v>0.7</v>
      </c>
      <c r="M457" s="9">
        <v>0.25369999999999998</v>
      </c>
      <c r="N457" s="9">
        <v>1</v>
      </c>
      <c r="O457" s="9">
        <v>20</v>
      </c>
      <c r="P457" s="9">
        <v>21</v>
      </c>
      <c r="Q457" s="7" t="str">
        <f t="shared" si="14"/>
        <v>FRIDAY</v>
      </c>
      <c r="R457" t="str">
        <f t="shared" si="15"/>
        <v>Mist</v>
      </c>
    </row>
    <row r="458" spans="1:18" x14ac:dyDescent="0.25">
      <c r="A458" s="7">
        <v>457</v>
      </c>
      <c r="B458" s="8">
        <v>40564</v>
      </c>
      <c r="C458" s="7">
        <v>1</v>
      </c>
      <c r="D458" s="7">
        <v>0</v>
      </c>
      <c r="E458" s="7">
        <v>1</v>
      </c>
      <c r="F458" s="7">
        <v>1</v>
      </c>
      <c r="G458" s="7" t="b">
        <v>0</v>
      </c>
      <c r="H458" s="7">
        <v>5</v>
      </c>
      <c r="I458" s="7">
        <v>2</v>
      </c>
      <c r="J458" s="7">
        <v>0.24</v>
      </c>
      <c r="K458" s="9">
        <v>0.2273</v>
      </c>
      <c r="L458" s="9">
        <v>0.7</v>
      </c>
      <c r="M458" s="9">
        <v>0.25369999999999998</v>
      </c>
      <c r="N458" s="9">
        <v>0</v>
      </c>
      <c r="O458" s="9">
        <v>6</v>
      </c>
      <c r="P458" s="9">
        <v>6</v>
      </c>
      <c r="Q458" s="7" t="str">
        <f t="shared" si="14"/>
        <v>FRIDAY</v>
      </c>
      <c r="R458" t="str">
        <f t="shared" si="15"/>
        <v>Mist</v>
      </c>
    </row>
    <row r="459" spans="1:18" x14ac:dyDescent="0.25">
      <c r="A459" s="7">
        <v>458</v>
      </c>
      <c r="B459" s="8">
        <v>40564</v>
      </c>
      <c r="C459" s="7">
        <v>1</v>
      </c>
      <c r="D459" s="7">
        <v>0</v>
      </c>
      <c r="E459" s="7">
        <v>1</v>
      </c>
      <c r="F459" s="7">
        <v>2</v>
      </c>
      <c r="G459" s="7" t="b">
        <v>0</v>
      </c>
      <c r="H459" s="7">
        <v>5</v>
      </c>
      <c r="I459" s="7">
        <v>3</v>
      </c>
      <c r="J459" s="7">
        <v>0.24</v>
      </c>
      <c r="K459" s="9">
        <v>0.2424</v>
      </c>
      <c r="L459" s="9">
        <v>0.75</v>
      </c>
      <c r="M459" s="9">
        <v>0.16420000000000001</v>
      </c>
      <c r="N459" s="9">
        <v>0</v>
      </c>
      <c r="O459" s="9">
        <v>2</v>
      </c>
      <c r="P459" s="9">
        <v>2</v>
      </c>
      <c r="Q459" s="7" t="str">
        <f t="shared" si="14"/>
        <v>FRIDAY</v>
      </c>
      <c r="R459" t="str">
        <f t="shared" si="15"/>
        <v>Light Rain/Snow</v>
      </c>
    </row>
    <row r="460" spans="1:18" x14ac:dyDescent="0.25">
      <c r="A460" s="7">
        <v>459</v>
      </c>
      <c r="B460" s="8">
        <v>40564</v>
      </c>
      <c r="C460" s="7">
        <v>1</v>
      </c>
      <c r="D460" s="7">
        <v>0</v>
      </c>
      <c r="E460" s="7">
        <v>1</v>
      </c>
      <c r="F460" s="7">
        <v>3</v>
      </c>
      <c r="G460" s="7" t="b">
        <v>0</v>
      </c>
      <c r="H460" s="7">
        <v>5</v>
      </c>
      <c r="I460" s="7">
        <v>3</v>
      </c>
      <c r="J460" s="7">
        <v>0.22</v>
      </c>
      <c r="K460" s="9">
        <v>0.21210000000000001</v>
      </c>
      <c r="L460" s="9">
        <v>0.8</v>
      </c>
      <c r="M460" s="9">
        <v>0.29849999999999999</v>
      </c>
      <c r="N460" s="9">
        <v>0</v>
      </c>
      <c r="O460" s="9">
        <v>1</v>
      </c>
      <c r="P460" s="9">
        <v>1</v>
      </c>
      <c r="Q460" s="7" t="str">
        <f t="shared" si="14"/>
        <v>FRIDAY</v>
      </c>
      <c r="R460" t="str">
        <f t="shared" si="15"/>
        <v>Light Rain/Snow</v>
      </c>
    </row>
    <row r="461" spans="1:18" x14ac:dyDescent="0.25">
      <c r="A461" s="7">
        <v>460</v>
      </c>
      <c r="B461" s="8">
        <v>40564</v>
      </c>
      <c r="C461" s="7">
        <v>1</v>
      </c>
      <c r="D461" s="7">
        <v>0</v>
      </c>
      <c r="E461" s="7">
        <v>1</v>
      </c>
      <c r="F461" s="7">
        <v>4</v>
      </c>
      <c r="G461" s="7" t="b">
        <v>0</v>
      </c>
      <c r="H461" s="7">
        <v>5</v>
      </c>
      <c r="I461" s="7">
        <v>2</v>
      </c>
      <c r="J461" s="7">
        <v>0.22</v>
      </c>
      <c r="K461" s="9">
        <v>0.2576</v>
      </c>
      <c r="L461" s="9">
        <v>0.87</v>
      </c>
      <c r="M461" s="9">
        <v>8.9599999999999999E-2</v>
      </c>
      <c r="N461" s="9">
        <v>0</v>
      </c>
      <c r="O461" s="9">
        <v>1</v>
      </c>
      <c r="P461" s="9">
        <v>1</v>
      </c>
      <c r="Q461" s="7" t="str">
        <f t="shared" si="14"/>
        <v>FRIDAY</v>
      </c>
      <c r="R461" t="str">
        <f t="shared" si="15"/>
        <v>Mist</v>
      </c>
    </row>
    <row r="462" spans="1:18" x14ac:dyDescent="0.25">
      <c r="A462" s="7">
        <v>461</v>
      </c>
      <c r="B462" s="8">
        <v>40564</v>
      </c>
      <c r="C462" s="7">
        <v>1</v>
      </c>
      <c r="D462" s="7">
        <v>0</v>
      </c>
      <c r="E462" s="7">
        <v>1</v>
      </c>
      <c r="F462" s="7">
        <v>5</v>
      </c>
      <c r="G462" s="7" t="b">
        <v>0</v>
      </c>
      <c r="H462" s="7">
        <v>5</v>
      </c>
      <c r="I462" s="7">
        <v>1</v>
      </c>
      <c r="J462" s="7">
        <v>0.24</v>
      </c>
      <c r="K462" s="9">
        <v>0.19700000000000001</v>
      </c>
      <c r="L462" s="9">
        <v>0.6</v>
      </c>
      <c r="M462" s="9">
        <v>0.41789999999999999</v>
      </c>
      <c r="N462" s="9">
        <v>1</v>
      </c>
      <c r="O462" s="9">
        <v>4</v>
      </c>
      <c r="P462" s="9">
        <v>5</v>
      </c>
      <c r="Q462" s="7" t="str">
        <f t="shared" si="14"/>
        <v>FRIDAY</v>
      </c>
      <c r="R462" t="str">
        <f t="shared" si="15"/>
        <v>Clear</v>
      </c>
    </row>
    <row r="463" spans="1:18" x14ac:dyDescent="0.25">
      <c r="A463" s="7">
        <v>462</v>
      </c>
      <c r="B463" s="8">
        <v>40564</v>
      </c>
      <c r="C463" s="7">
        <v>1</v>
      </c>
      <c r="D463" s="7">
        <v>0</v>
      </c>
      <c r="E463" s="7">
        <v>1</v>
      </c>
      <c r="F463" s="7">
        <v>6</v>
      </c>
      <c r="G463" s="7" t="b">
        <v>0</v>
      </c>
      <c r="H463" s="7">
        <v>5</v>
      </c>
      <c r="I463" s="7">
        <v>1</v>
      </c>
      <c r="J463" s="7">
        <v>0.22</v>
      </c>
      <c r="K463" s="9">
        <v>0.21210000000000001</v>
      </c>
      <c r="L463" s="9">
        <v>0.55000000000000004</v>
      </c>
      <c r="M463" s="9">
        <v>0.25369999999999998</v>
      </c>
      <c r="N463" s="9">
        <v>0</v>
      </c>
      <c r="O463" s="9">
        <v>27</v>
      </c>
      <c r="P463" s="9">
        <v>27</v>
      </c>
      <c r="Q463" s="7" t="str">
        <f t="shared" si="14"/>
        <v>FRIDAY</v>
      </c>
      <c r="R463" t="str">
        <f t="shared" si="15"/>
        <v>Clear</v>
      </c>
    </row>
    <row r="464" spans="1:18" x14ac:dyDescent="0.25">
      <c r="A464" s="7">
        <v>463</v>
      </c>
      <c r="B464" s="8">
        <v>40564</v>
      </c>
      <c r="C464" s="7">
        <v>1</v>
      </c>
      <c r="D464" s="7">
        <v>0</v>
      </c>
      <c r="E464" s="7">
        <v>1</v>
      </c>
      <c r="F464" s="7">
        <v>7</v>
      </c>
      <c r="G464" s="7" t="b">
        <v>0</v>
      </c>
      <c r="H464" s="7">
        <v>5</v>
      </c>
      <c r="I464" s="7">
        <v>1</v>
      </c>
      <c r="J464" s="7">
        <v>0.2</v>
      </c>
      <c r="K464" s="9">
        <v>0.18179999999999999</v>
      </c>
      <c r="L464" s="9">
        <v>0.51</v>
      </c>
      <c r="M464" s="9">
        <v>0.28360000000000002</v>
      </c>
      <c r="N464" s="9">
        <v>2</v>
      </c>
      <c r="O464" s="9">
        <v>66</v>
      </c>
      <c r="P464" s="9">
        <v>68</v>
      </c>
      <c r="Q464" s="7" t="str">
        <f t="shared" si="14"/>
        <v>FRIDAY</v>
      </c>
      <c r="R464" t="str">
        <f t="shared" si="15"/>
        <v>Clear</v>
      </c>
    </row>
    <row r="465" spans="1:18" x14ac:dyDescent="0.25">
      <c r="A465" s="7">
        <v>464</v>
      </c>
      <c r="B465" s="8">
        <v>40564</v>
      </c>
      <c r="C465" s="7">
        <v>1</v>
      </c>
      <c r="D465" s="7">
        <v>0</v>
      </c>
      <c r="E465" s="7">
        <v>1</v>
      </c>
      <c r="F465" s="7">
        <v>8</v>
      </c>
      <c r="G465" s="7" t="b">
        <v>0</v>
      </c>
      <c r="H465" s="7">
        <v>5</v>
      </c>
      <c r="I465" s="7">
        <v>1</v>
      </c>
      <c r="J465" s="7">
        <v>0.2</v>
      </c>
      <c r="K465" s="9">
        <v>0.18179999999999999</v>
      </c>
      <c r="L465" s="9">
        <v>0.47</v>
      </c>
      <c r="M465" s="9">
        <v>0.32840000000000003</v>
      </c>
      <c r="N465" s="9">
        <v>7</v>
      </c>
      <c r="O465" s="9">
        <v>210</v>
      </c>
      <c r="P465" s="9">
        <v>217</v>
      </c>
      <c r="Q465" s="7" t="str">
        <f t="shared" si="14"/>
        <v>FRIDAY</v>
      </c>
      <c r="R465" t="str">
        <f t="shared" si="15"/>
        <v>Clear</v>
      </c>
    </row>
    <row r="466" spans="1:18" x14ac:dyDescent="0.25">
      <c r="A466" s="7">
        <v>465</v>
      </c>
      <c r="B466" s="8">
        <v>40564</v>
      </c>
      <c r="C466" s="7">
        <v>1</v>
      </c>
      <c r="D466" s="7">
        <v>0</v>
      </c>
      <c r="E466" s="7">
        <v>1</v>
      </c>
      <c r="F466" s="7">
        <v>9</v>
      </c>
      <c r="G466" s="7" t="b">
        <v>0</v>
      </c>
      <c r="H466" s="7">
        <v>5</v>
      </c>
      <c r="I466" s="7">
        <v>1</v>
      </c>
      <c r="J466" s="7">
        <v>0.2</v>
      </c>
      <c r="K466" s="9">
        <v>0.18179999999999999</v>
      </c>
      <c r="L466" s="9">
        <v>0.51</v>
      </c>
      <c r="M466" s="9">
        <v>0.35820000000000002</v>
      </c>
      <c r="N466" s="9">
        <v>7</v>
      </c>
      <c r="O466" s="9">
        <v>159</v>
      </c>
      <c r="P466" s="9">
        <v>166</v>
      </c>
      <c r="Q466" s="7" t="str">
        <f t="shared" si="14"/>
        <v>FRIDAY</v>
      </c>
      <c r="R466" t="str">
        <f t="shared" si="15"/>
        <v>Clear</v>
      </c>
    </row>
    <row r="467" spans="1:18" x14ac:dyDescent="0.25">
      <c r="A467" s="7">
        <v>466</v>
      </c>
      <c r="B467" s="8">
        <v>40564</v>
      </c>
      <c r="C467" s="7">
        <v>1</v>
      </c>
      <c r="D467" s="7">
        <v>0</v>
      </c>
      <c r="E467" s="7">
        <v>1</v>
      </c>
      <c r="F467" s="7">
        <v>10</v>
      </c>
      <c r="G467" s="7" t="b">
        <v>0</v>
      </c>
      <c r="H467" s="7">
        <v>5</v>
      </c>
      <c r="I467" s="7">
        <v>1</v>
      </c>
      <c r="J467" s="7">
        <v>0.2</v>
      </c>
      <c r="K467" s="9">
        <v>0.16669999999999999</v>
      </c>
      <c r="L467" s="9">
        <v>0.47</v>
      </c>
      <c r="M467" s="9">
        <v>0.4627</v>
      </c>
      <c r="N467" s="9">
        <v>6</v>
      </c>
      <c r="O467" s="9">
        <v>57</v>
      </c>
      <c r="P467" s="9">
        <v>63</v>
      </c>
      <c r="Q467" s="7" t="str">
        <f t="shared" si="14"/>
        <v>FRIDAY</v>
      </c>
      <c r="R467" t="str">
        <f t="shared" si="15"/>
        <v>Clear</v>
      </c>
    </row>
    <row r="468" spans="1:18" x14ac:dyDescent="0.25">
      <c r="A468" s="7">
        <v>467</v>
      </c>
      <c r="B468" s="8">
        <v>40564</v>
      </c>
      <c r="C468" s="7">
        <v>1</v>
      </c>
      <c r="D468" s="7">
        <v>0</v>
      </c>
      <c r="E468" s="7">
        <v>1</v>
      </c>
      <c r="F468" s="7">
        <v>11</v>
      </c>
      <c r="G468" s="7" t="b">
        <v>0</v>
      </c>
      <c r="H468" s="7">
        <v>5</v>
      </c>
      <c r="I468" s="7">
        <v>1</v>
      </c>
      <c r="J468" s="7">
        <v>0.22</v>
      </c>
      <c r="K468" s="9">
        <v>0.18179999999999999</v>
      </c>
      <c r="L468" s="9">
        <v>0.41</v>
      </c>
      <c r="M468" s="9">
        <v>0.4627</v>
      </c>
      <c r="N468" s="9">
        <v>6</v>
      </c>
      <c r="O468" s="9">
        <v>53</v>
      </c>
      <c r="P468" s="9">
        <v>59</v>
      </c>
      <c r="Q468" s="7" t="str">
        <f t="shared" si="14"/>
        <v>FRIDAY</v>
      </c>
      <c r="R468" t="str">
        <f t="shared" si="15"/>
        <v>Clear</v>
      </c>
    </row>
    <row r="469" spans="1:18" x14ac:dyDescent="0.25">
      <c r="A469" s="7">
        <v>468</v>
      </c>
      <c r="B469" s="8">
        <v>40564</v>
      </c>
      <c r="C469" s="7">
        <v>1</v>
      </c>
      <c r="D469" s="7">
        <v>0</v>
      </c>
      <c r="E469" s="7">
        <v>1</v>
      </c>
      <c r="F469" s="7">
        <v>12</v>
      </c>
      <c r="G469" s="7" t="b">
        <v>0</v>
      </c>
      <c r="H469" s="7">
        <v>5</v>
      </c>
      <c r="I469" s="7">
        <v>1</v>
      </c>
      <c r="J469" s="7">
        <v>0.22</v>
      </c>
      <c r="K469" s="9">
        <v>0.18179999999999999</v>
      </c>
      <c r="L469" s="9">
        <v>0.27</v>
      </c>
      <c r="M469" s="9">
        <v>0.58209999999999995</v>
      </c>
      <c r="N469" s="9">
        <v>11</v>
      </c>
      <c r="O469" s="9">
        <v>67</v>
      </c>
      <c r="P469" s="9">
        <v>78</v>
      </c>
      <c r="Q469" s="7" t="str">
        <f t="shared" si="14"/>
        <v>FRIDAY</v>
      </c>
      <c r="R469" t="str">
        <f t="shared" si="15"/>
        <v>Clear</v>
      </c>
    </row>
    <row r="470" spans="1:18" x14ac:dyDescent="0.25">
      <c r="A470" s="7">
        <v>469</v>
      </c>
      <c r="B470" s="8">
        <v>40564</v>
      </c>
      <c r="C470" s="7">
        <v>1</v>
      </c>
      <c r="D470" s="7">
        <v>0</v>
      </c>
      <c r="E470" s="7">
        <v>1</v>
      </c>
      <c r="F470" s="7">
        <v>13</v>
      </c>
      <c r="G470" s="7" t="b">
        <v>0</v>
      </c>
      <c r="H470" s="7">
        <v>5</v>
      </c>
      <c r="I470" s="7">
        <v>1</v>
      </c>
      <c r="J470" s="7">
        <v>0.2</v>
      </c>
      <c r="K470" s="9">
        <v>0.1515</v>
      </c>
      <c r="L470" s="9">
        <v>0.21</v>
      </c>
      <c r="M470" s="9">
        <v>0.58209999999999995</v>
      </c>
      <c r="N470" s="9">
        <v>8</v>
      </c>
      <c r="O470" s="9">
        <v>65</v>
      </c>
      <c r="P470" s="9">
        <v>73</v>
      </c>
      <c r="Q470" s="7" t="str">
        <f t="shared" si="14"/>
        <v>FRIDAY</v>
      </c>
      <c r="R470" t="str">
        <f t="shared" si="15"/>
        <v>Clear</v>
      </c>
    </row>
    <row r="471" spans="1:18" x14ac:dyDescent="0.25">
      <c r="A471" s="7">
        <v>470</v>
      </c>
      <c r="B471" s="8">
        <v>40564</v>
      </c>
      <c r="C471" s="7">
        <v>1</v>
      </c>
      <c r="D471" s="7">
        <v>0</v>
      </c>
      <c r="E471" s="7">
        <v>1</v>
      </c>
      <c r="F471" s="7">
        <v>14</v>
      </c>
      <c r="G471" s="7" t="b">
        <v>0</v>
      </c>
      <c r="H471" s="7">
        <v>5</v>
      </c>
      <c r="I471" s="7">
        <v>1</v>
      </c>
      <c r="J471" s="7">
        <v>0.2</v>
      </c>
      <c r="K471" s="9">
        <v>0.1515</v>
      </c>
      <c r="L471" s="9">
        <v>0.25</v>
      </c>
      <c r="M471" s="9">
        <v>0.52239999999999998</v>
      </c>
      <c r="N471" s="9">
        <v>6</v>
      </c>
      <c r="O471" s="9">
        <v>56</v>
      </c>
      <c r="P471" s="9">
        <v>62</v>
      </c>
      <c r="Q471" s="7" t="str">
        <f t="shared" si="14"/>
        <v>FRIDAY</v>
      </c>
      <c r="R471" t="str">
        <f t="shared" si="15"/>
        <v>Clear</v>
      </c>
    </row>
    <row r="472" spans="1:18" x14ac:dyDescent="0.25">
      <c r="A472" s="7">
        <v>471</v>
      </c>
      <c r="B472" s="8">
        <v>40564</v>
      </c>
      <c r="C472" s="7">
        <v>1</v>
      </c>
      <c r="D472" s="7">
        <v>0</v>
      </c>
      <c r="E472" s="7">
        <v>1</v>
      </c>
      <c r="F472" s="7">
        <v>15</v>
      </c>
      <c r="G472" s="7" t="b">
        <v>0</v>
      </c>
      <c r="H472" s="7">
        <v>5</v>
      </c>
      <c r="I472" s="7">
        <v>1</v>
      </c>
      <c r="J472" s="7">
        <v>0.16</v>
      </c>
      <c r="K472" s="9">
        <v>0.1212</v>
      </c>
      <c r="L472" s="9">
        <v>0.26</v>
      </c>
      <c r="M472" s="9">
        <v>0.44779999999999998</v>
      </c>
      <c r="N472" s="9">
        <v>4</v>
      </c>
      <c r="O472" s="9">
        <v>61</v>
      </c>
      <c r="P472" s="9">
        <v>65</v>
      </c>
      <c r="Q472" s="7" t="str">
        <f t="shared" si="14"/>
        <v>FRIDAY</v>
      </c>
      <c r="R472" t="str">
        <f t="shared" si="15"/>
        <v>Clear</v>
      </c>
    </row>
    <row r="473" spans="1:18" x14ac:dyDescent="0.25">
      <c r="A473" s="7">
        <v>472</v>
      </c>
      <c r="B473" s="8">
        <v>40564</v>
      </c>
      <c r="C473" s="7">
        <v>1</v>
      </c>
      <c r="D473" s="7">
        <v>0</v>
      </c>
      <c r="E473" s="7">
        <v>1</v>
      </c>
      <c r="F473" s="7">
        <v>16</v>
      </c>
      <c r="G473" s="7" t="b">
        <v>0</v>
      </c>
      <c r="H473" s="7">
        <v>5</v>
      </c>
      <c r="I473" s="7">
        <v>1</v>
      </c>
      <c r="J473" s="7">
        <v>0.16</v>
      </c>
      <c r="K473" s="9">
        <v>0.13639999999999999</v>
      </c>
      <c r="L473" s="9">
        <v>0.26</v>
      </c>
      <c r="M473" s="9">
        <v>0.35820000000000002</v>
      </c>
      <c r="N473" s="9">
        <v>0</v>
      </c>
      <c r="O473" s="9">
        <v>97</v>
      </c>
      <c r="P473" s="9">
        <v>97</v>
      </c>
      <c r="Q473" s="7" t="str">
        <f t="shared" si="14"/>
        <v>FRIDAY</v>
      </c>
      <c r="R473" t="str">
        <f t="shared" si="15"/>
        <v>Clear</v>
      </c>
    </row>
    <row r="474" spans="1:18" x14ac:dyDescent="0.25">
      <c r="A474" s="7">
        <v>473</v>
      </c>
      <c r="B474" s="8">
        <v>40564</v>
      </c>
      <c r="C474" s="7">
        <v>1</v>
      </c>
      <c r="D474" s="7">
        <v>0</v>
      </c>
      <c r="E474" s="7">
        <v>1</v>
      </c>
      <c r="F474" s="7">
        <v>17</v>
      </c>
      <c r="G474" s="7" t="b">
        <v>0</v>
      </c>
      <c r="H474" s="7">
        <v>5</v>
      </c>
      <c r="I474" s="7">
        <v>1</v>
      </c>
      <c r="J474" s="7">
        <v>0.14000000000000001</v>
      </c>
      <c r="K474" s="9">
        <v>0.1212</v>
      </c>
      <c r="L474" s="9">
        <v>0.28000000000000003</v>
      </c>
      <c r="M474" s="9">
        <v>0.35820000000000002</v>
      </c>
      <c r="N474" s="9">
        <v>10</v>
      </c>
      <c r="O474" s="9">
        <v>151</v>
      </c>
      <c r="P474" s="9">
        <v>161</v>
      </c>
      <c r="Q474" s="7" t="str">
        <f t="shared" si="14"/>
        <v>FRIDAY</v>
      </c>
      <c r="R474" t="str">
        <f t="shared" si="15"/>
        <v>Clear</v>
      </c>
    </row>
    <row r="475" spans="1:18" x14ac:dyDescent="0.25">
      <c r="A475" s="7">
        <v>474</v>
      </c>
      <c r="B475" s="8">
        <v>40564</v>
      </c>
      <c r="C475" s="7">
        <v>1</v>
      </c>
      <c r="D475" s="7">
        <v>0</v>
      </c>
      <c r="E475" s="7">
        <v>1</v>
      </c>
      <c r="F475" s="7">
        <v>18</v>
      </c>
      <c r="G475" s="7" t="b">
        <v>0</v>
      </c>
      <c r="H475" s="7">
        <v>5</v>
      </c>
      <c r="I475" s="7">
        <v>1</v>
      </c>
      <c r="J475" s="7">
        <v>0.12</v>
      </c>
      <c r="K475" s="9">
        <v>0.1212</v>
      </c>
      <c r="L475" s="9">
        <v>0.3</v>
      </c>
      <c r="M475" s="9">
        <v>0.25369999999999998</v>
      </c>
      <c r="N475" s="9">
        <v>1</v>
      </c>
      <c r="O475" s="9">
        <v>119</v>
      </c>
      <c r="P475" s="9">
        <v>120</v>
      </c>
      <c r="Q475" s="7" t="str">
        <f t="shared" si="14"/>
        <v>FRIDAY</v>
      </c>
      <c r="R475" t="str">
        <f t="shared" si="15"/>
        <v>Clear</v>
      </c>
    </row>
    <row r="476" spans="1:18" x14ac:dyDescent="0.25">
      <c r="A476" s="7">
        <v>475</v>
      </c>
      <c r="B476" s="8">
        <v>40564</v>
      </c>
      <c r="C476" s="7">
        <v>1</v>
      </c>
      <c r="D476" s="7">
        <v>0</v>
      </c>
      <c r="E476" s="7">
        <v>1</v>
      </c>
      <c r="F476" s="7">
        <v>19</v>
      </c>
      <c r="G476" s="7" t="b">
        <v>0</v>
      </c>
      <c r="H476" s="7">
        <v>5</v>
      </c>
      <c r="I476" s="7">
        <v>1</v>
      </c>
      <c r="J476" s="7">
        <v>0.12</v>
      </c>
      <c r="K476" s="9">
        <v>0.1061</v>
      </c>
      <c r="L476" s="9">
        <v>0.3</v>
      </c>
      <c r="M476" s="9">
        <v>0.32840000000000003</v>
      </c>
      <c r="N476" s="9">
        <v>3</v>
      </c>
      <c r="O476" s="9">
        <v>93</v>
      </c>
      <c r="P476" s="9">
        <v>96</v>
      </c>
      <c r="Q476" s="7" t="str">
        <f t="shared" si="14"/>
        <v>FRIDAY</v>
      </c>
      <c r="R476" t="str">
        <f t="shared" si="15"/>
        <v>Clear</v>
      </c>
    </row>
    <row r="477" spans="1:18" x14ac:dyDescent="0.25">
      <c r="A477" s="7">
        <v>476</v>
      </c>
      <c r="B477" s="8">
        <v>40564</v>
      </c>
      <c r="C477" s="7">
        <v>1</v>
      </c>
      <c r="D477" s="7">
        <v>0</v>
      </c>
      <c r="E477" s="7">
        <v>1</v>
      </c>
      <c r="F477" s="7">
        <v>20</v>
      </c>
      <c r="G477" s="7" t="b">
        <v>0</v>
      </c>
      <c r="H477" s="7">
        <v>5</v>
      </c>
      <c r="I477" s="7">
        <v>1</v>
      </c>
      <c r="J477" s="7">
        <v>0.1</v>
      </c>
      <c r="K477" s="9">
        <v>7.5800000000000006E-2</v>
      </c>
      <c r="L477" s="9">
        <v>0.33</v>
      </c>
      <c r="M477" s="9">
        <v>0.41789999999999999</v>
      </c>
      <c r="N477" s="9">
        <v>1</v>
      </c>
      <c r="O477" s="9">
        <v>52</v>
      </c>
      <c r="P477" s="9">
        <v>53</v>
      </c>
      <c r="Q477" s="7" t="str">
        <f t="shared" si="14"/>
        <v>FRIDAY</v>
      </c>
      <c r="R477" t="str">
        <f t="shared" si="15"/>
        <v>Clear</v>
      </c>
    </row>
    <row r="478" spans="1:18" x14ac:dyDescent="0.25">
      <c r="A478" s="7">
        <v>477</v>
      </c>
      <c r="B478" s="8">
        <v>40564</v>
      </c>
      <c r="C478" s="7">
        <v>1</v>
      </c>
      <c r="D478" s="7">
        <v>0</v>
      </c>
      <c r="E478" s="7">
        <v>1</v>
      </c>
      <c r="F478" s="7">
        <v>21</v>
      </c>
      <c r="G478" s="7" t="b">
        <v>0</v>
      </c>
      <c r="H478" s="7">
        <v>5</v>
      </c>
      <c r="I478" s="7">
        <v>1</v>
      </c>
      <c r="J478" s="7">
        <v>0.08</v>
      </c>
      <c r="K478" s="9">
        <v>7.5800000000000006E-2</v>
      </c>
      <c r="L478" s="9">
        <v>0.38</v>
      </c>
      <c r="M478" s="9">
        <v>0.28360000000000002</v>
      </c>
      <c r="N478" s="9">
        <v>0</v>
      </c>
      <c r="O478" s="9">
        <v>41</v>
      </c>
      <c r="P478" s="9">
        <v>41</v>
      </c>
      <c r="Q478" s="7" t="str">
        <f t="shared" si="14"/>
        <v>FRIDAY</v>
      </c>
      <c r="R478" t="str">
        <f t="shared" si="15"/>
        <v>Clear</v>
      </c>
    </row>
    <row r="479" spans="1:18" x14ac:dyDescent="0.25">
      <c r="A479" s="7">
        <v>478</v>
      </c>
      <c r="B479" s="8">
        <v>40564</v>
      </c>
      <c r="C479" s="7">
        <v>1</v>
      </c>
      <c r="D479" s="7">
        <v>0</v>
      </c>
      <c r="E479" s="7">
        <v>1</v>
      </c>
      <c r="F479" s="7">
        <v>22</v>
      </c>
      <c r="G479" s="7" t="b">
        <v>0</v>
      </c>
      <c r="H479" s="7">
        <v>5</v>
      </c>
      <c r="I479" s="7">
        <v>1</v>
      </c>
      <c r="J479" s="7">
        <v>0.06</v>
      </c>
      <c r="K479" s="9">
        <v>3.0300000000000001E-2</v>
      </c>
      <c r="L479" s="9">
        <v>0.41</v>
      </c>
      <c r="M479" s="9">
        <v>0.3881</v>
      </c>
      <c r="N479" s="9">
        <v>1</v>
      </c>
      <c r="O479" s="9">
        <v>33</v>
      </c>
      <c r="P479" s="9">
        <v>34</v>
      </c>
      <c r="Q479" s="7" t="str">
        <f t="shared" si="14"/>
        <v>FRIDAY</v>
      </c>
      <c r="R479" t="str">
        <f t="shared" si="15"/>
        <v>Clear</v>
      </c>
    </row>
    <row r="480" spans="1:18" x14ac:dyDescent="0.25">
      <c r="A480" s="7">
        <v>479</v>
      </c>
      <c r="B480" s="8">
        <v>40564</v>
      </c>
      <c r="C480" s="7">
        <v>1</v>
      </c>
      <c r="D480" s="7">
        <v>0</v>
      </c>
      <c r="E480" s="7">
        <v>1</v>
      </c>
      <c r="F480" s="7">
        <v>23</v>
      </c>
      <c r="G480" s="7" t="b">
        <v>0</v>
      </c>
      <c r="H480" s="7">
        <v>5</v>
      </c>
      <c r="I480" s="7">
        <v>1</v>
      </c>
      <c r="J480" s="7">
        <v>0.06</v>
      </c>
      <c r="K480" s="9">
        <v>4.5499999999999999E-2</v>
      </c>
      <c r="L480" s="9">
        <v>0.38</v>
      </c>
      <c r="M480" s="9">
        <v>0.32840000000000003</v>
      </c>
      <c r="N480" s="9">
        <v>0</v>
      </c>
      <c r="O480" s="9">
        <v>27</v>
      </c>
      <c r="P480" s="9">
        <v>27</v>
      </c>
      <c r="Q480" s="7" t="str">
        <f t="shared" si="14"/>
        <v>FRIDAY</v>
      </c>
      <c r="R480" t="str">
        <f t="shared" si="15"/>
        <v>Clear</v>
      </c>
    </row>
    <row r="481" spans="1:18" x14ac:dyDescent="0.25">
      <c r="A481" s="7">
        <v>480</v>
      </c>
      <c r="B481" s="8">
        <v>40565</v>
      </c>
      <c r="C481" s="7">
        <v>1</v>
      </c>
      <c r="D481" s="7">
        <v>0</v>
      </c>
      <c r="E481" s="7">
        <v>1</v>
      </c>
      <c r="F481" s="7">
        <v>0</v>
      </c>
      <c r="G481" s="7" t="b">
        <v>0</v>
      </c>
      <c r="H481" s="7">
        <v>6</v>
      </c>
      <c r="I481" s="7">
        <v>1</v>
      </c>
      <c r="J481" s="7">
        <v>0.04</v>
      </c>
      <c r="K481" s="9">
        <v>3.0300000000000001E-2</v>
      </c>
      <c r="L481" s="9">
        <v>0.45</v>
      </c>
      <c r="M481" s="9">
        <v>0.25369999999999998</v>
      </c>
      <c r="N481" s="9">
        <v>0</v>
      </c>
      <c r="O481" s="9">
        <v>13</v>
      </c>
      <c r="P481" s="9">
        <v>13</v>
      </c>
      <c r="Q481" s="7" t="str">
        <f t="shared" si="14"/>
        <v>SATARDAY</v>
      </c>
      <c r="R481" t="str">
        <f t="shared" si="15"/>
        <v>Clear</v>
      </c>
    </row>
    <row r="482" spans="1:18" x14ac:dyDescent="0.25">
      <c r="A482" s="7">
        <v>481</v>
      </c>
      <c r="B482" s="8">
        <v>40565</v>
      </c>
      <c r="C482" s="7">
        <v>1</v>
      </c>
      <c r="D482" s="7">
        <v>0</v>
      </c>
      <c r="E482" s="7">
        <v>1</v>
      </c>
      <c r="F482" s="7">
        <v>1</v>
      </c>
      <c r="G482" s="7" t="b">
        <v>0</v>
      </c>
      <c r="H482" s="7">
        <v>6</v>
      </c>
      <c r="I482" s="7">
        <v>2</v>
      </c>
      <c r="J482" s="7">
        <v>0.04</v>
      </c>
      <c r="K482" s="9">
        <v>0</v>
      </c>
      <c r="L482" s="9">
        <v>0.41</v>
      </c>
      <c r="M482" s="9">
        <v>0.3881</v>
      </c>
      <c r="N482" s="9">
        <v>3</v>
      </c>
      <c r="O482" s="9">
        <v>9</v>
      </c>
      <c r="P482" s="9">
        <v>12</v>
      </c>
      <c r="Q482" s="7" t="str">
        <f t="shared" si="14"/>
        <v>SATARDAY</v>
      </c>
      <c r="R482" t="str">
        <f t="shared" si="15"/>
        <v>Mist</v>
      </c>
    </row>
    <row r="483" spans="1:18" x14ac:dyDescent="0.25">
      <c r="A483" s="7">
        <v>482</v>
      </c>
      <c r="B483" s="8">
        <v>40565</v>
      </c>
      <c r="C483" s="7">
        <v>1</v>
      </c>
      <c r="D483" s="7">
        <v>0</v>
      </c>
      <c r="E483" s="7">
        <v>1</v>
      </c>
      <c r="F483" s="7">
        <v>2</v>
      </c>
      <c r="G483" s="7" t="b">
        <v>0</v>
      </c>
      <c r="H483" s="7">
        <v>6</v>
      </c>
      <c r="I483" s="7">
        <v>2</v>
      </c>
      <c r="J483" s="7">
        <v>0.04</v>
      </c>
      <c r="K483" s="9">
        <v>3.0300000000000001E-2</v>
      </c>
      <c r="L483" s="9">
        <v>0.41</v>
      </c>
      <c r="M483" s="9">
        <v>0.25369999999999998</v>
      </c>
      <c r="N483" s="9">
        <v>0</v>
      </c>
      <c r="O483" s="9">
        <v>11</v>
      </c>
      <c r="P483" s="9">
        <v>11</v>
      </c>
      <c r="Q483" s="7" t="str">
        <f t="shared" si="14"/>
        <v>SATARDAY</v>
      </c>
      <c r="R483" t="str">
        <f t="shared" si="15"/>
        <v>Mist</v>
      </c>
    </row>
    <row r="484" spans="1:18" x14ac:dyDescent="0.25">
      <c r="A484" s="7">
        <v>483</v>
      </c>
      <c r="B484" s="8">
        <v>40565</v>
      </c>
      <c r="C484" s="7">
        <v>1</v>
      </c>
      <c r="D484" s="7">
        <v>0</v>
      </c>
      <c r="E484" s="7">
        <v>1</v>
      </c>
      <c r="F484" s="7">
        <v>3</v>
      </c>
      <c r="G484" s="7" t="b">
        <v>0</v>
      </c>
      <c r="H484" s="7">
        <v>6</v>
      </c>
      <c r="I484" s="7">
        <v>2</v>
      </c>
      <c r="J484" s="7">
        <v>0.04</v>
      </c>
      <c r="K484" s="9">
        <v>3.0300000000000001E-2</v>
      </c>
      <c r="L484" s="9">
        <v>0.41</v>
      </c>
      <c r="M484" s="9">
        <v>0.28360000000000002</v>
      </c>
      <c r="N484" s="9">
        <v>1</v>
      </c>
      <c r="O484" s="9">
        <v>6</v>
      </c>
      <c r="P484" s="9">
        <v>7</v>
      </c>
      <c r="Q484" s="7" t="str">
        <f t="shared" si="14"/>
        <v>SATARDAY</v>
      </c>
      <c r="R484" t="str">
        <f t="shared" si="15"/>
        <v>Mist</v>
      </c>
    </row>
    <row r="485" spans="1:18" x14ac:dyDescent="0.25">
      <c r="A485" s="7">
        <v>484</v>
      </c>
      <c r="B485" s="8">
        <v>40565</v>
      </c>
      <c r="C485" s="7">
        <v>1</v>
      </c>
      <c r="D485" s="7">
        <v>0</v>
      </c>
      <c r="E485" s="7">
        <v>1</v>
      </c>
      <c r="F485" s="7">
        <v>4</v>
      </c>
      <c r="G485" s="7" t="b">
        <v>0</v>
      </c>
      <c r="H485" s="7">
        <v>6</v>
      </c>
      <c r="I485" s="7">
        <v>2</v>
      </c>
      <c r="J485" s="7">
        <v>0.02</v>
      </c>
      <c r="K485" s="9">
        <v>1.52E-2</v>
      </c>
      <c r="L485" s="9">
        <v>0.48</v>
      </c>
      <c r="M485" s="9">
        <v>0.29849999999999999</v>
      </c>
      <c r="N485" s="9">
        <v>0</v>
      </c>
      <c r="O485" s="9">
        <v>3</v>
      </c>
      <c r="P485" s="9">
        <v>3</v>
      </c>
      <c r="Q485" s="7" t="str">
        <f t="shared" si="14"/>
        <v>SATARDAY</v>
      </c>
      <c r="R485" t="str">
        <f t="shared" si="15"/>
        <v>Mist</v>
      </c>
    </row>
    <row r="486" spans="1:18" x14ac:dyDescent="0.25">
      <c r="A486" s="7">
        <v>485</v>
      </c>
      <c r="B486" s="8">
        <v>40565</v>
      </c>
      <c r="C486" s="7">
        <v>1</v>
      </c>
      <c r="D486" s="7">
        <v>0</v>
      </c>
      <c r="E486" s="7">
        <v>1</v>
      </c>
      <c r="F486" s="7">
        <v>6</v>
      </c>
      <c r="G486" s="7" t="b">
        <v>0</v>
      </c>
      <c r="H486" s="7">
        <v>6</v>
      </c>
      <c r="I486" s="7">
        <v>2</v>
      </c>
      <c r="J486" s="7">
        <v>0.02</v>
      </c>
      <c r="K486" s="9">
        <v>3.0300000000000001E-2</v>
      </c>
      <c r="L486" s="9">
        <v>0.44</v>
      </c>
      <c r="M486" s="9">
        <v>0.22389999999999999</v>
      </c>
      <c r="N486" s="9">
        <v>0</v>
      </c>
      <c r="O486" s="9">
        <v>2</v>
      </c>
      <c r="P486" s="9">
        <v>2</v>
      </c>
      <c r="Q486" s="7" t="str">
        <f t="shared" si="14"/>
        <v>SATARDAY</v>
      </c>
      <c r="R486" t="str">
        <f t="shared" si="15"/>
        <v>Mist</v>
      </c>
    </row>
    <row r="487" spans="1:18" x14ac:dyDescent="0.25">
      <c r="A487" s="7">
        <v>486</v>
      </c>
      <c r="B487" s="8">
        <v>40565</v>
      </c>
      <c r="C487" s="7">
        <v>1</v>
      </c>
      <c r="D487" s="7">
        <v>0</v>
      </c>
      <c r="E487" s="7">
        <v>1</v>
      </c>
      <c r="F487" s="7">
        <v>7</v>
      </c>
      <c r="G487" s="7" t="b">
        <v>0</v>
      </c>
      <c r="H487" s="7">
        <v>6</v>
      </c>
      <c r="I487" s="7">
        <v>1</v>
      </c>
      <c r="J487" s="7">
        <v>0.02</v>
      </c>
      <c r="K487" s="9">
        <v>1.52E-2</v>
      </c>
      <c r="L487" s="9">
        <v>0.44</v>
      </c>
      <c r="M487" s="9">
        <v>0.28360000000000002</v>
      </c>
      <c r="N487" s="9">
        <v>0</v>
      </c>
      <c r="O487" s="9">
        <v>8</v>
      </c>
      <c r="P487" s="9">
        <v>8</v>
      </c>
      <c r="Q487" s="7" t="str">
        <f t="shared" si="14"/>
        <v>SATARDAY</v>
      </c>
      <c r="R487" t="str">
        <f t="shared" si="15"/>
        <v>Clear</v>
      </c>
    </row>
    <row r="488" spans="1:18" x14ac:dyDescent="0.25">
      <c r="A488" s="7">
        <v>487</v>
      </c>
      <c r="B488" s="8">
        <v>40565</v>
      </c>
      <c r="C488" s="7">
        <v>1</v>
      </c>
      <c r="D488" s="7">
        <v>0</v>
      </c>
      <c r="E488" s="7">
        <v>1</v>
      </c>
      <c r="F488" s="7">
        <v>8</v>
      </c>
      <c r="G488" s="7" t="b">
        <v>0</v>
      </c>
      <c r="H488" s="7">
        <v>6</v>
      </c>
      <c r="I488" s="7">
        <v>1</v>
      </c>
      <c r="J488" s="7">
        <v>0.02</v>
      </c>
      <c r="K488" s="9">
        <v>0</v>
      </c>
      <c r="L488" s="9">
        <v>0.44</v>
      </c>
      <c r="M488" s="9">
        <v>0.32840000000000003</v>
      </c>
      <c r="N488" s="9">
        <v>1</v>
      </c>
      <c r="O488" s="9">
        <v>26</v>
      </c>
      <c r="P488" s="9">
        <v>27</v>
      </c>
      <c r="Q488" s="7" t="str">
        <f t="shared" si="14"/>
        <v>SATARDAY</v>
      </c>
      <c r="R488" t="str">
        <f t="shared" si="15"/>
        <v>Clear</v>
      </c>
    </row>
    <row r="489" spans="1:18" x14ac:dyDescent="0.25">
      <c r="A489" s="7">
        <v>488</v>
      </c>
      <c r="B489" s="8">
        <v>40565</v>
      </c>
      <c r="C489" s="7">
        <v>1</v>
      </c>
      <c r="D489" s="7">
        <v>0</v>
      </c>
      <c r="E489" s="7">
        <v>1</v>
      </c>
      <c r="F489" s="7">
        <v>9</v>
      </c>
      <c r="G489" s="7" t="b">
        <v>0</v>
      </c>
      <c r="H489" s="7">
        <v>6</v>
      </c>
      <c r="I489" s="7">
        <v>1</v>
      </c>
      <c r="J489" s="7">
        <v>0.04</v>
      </c>
      <c r="K489" s="9">
        <v>3.0300000000000001E-2</v>
      </c>
      <c r="L489" s="9">
        <v>0.41</v>
      </c>
      <c r="M489" s="9">
        <v>0.25369999999999998</v>
      </c>
      <c r="N489" s="9">
        <v>3</v>
      </c>
      <c r="O489" s="9">
        <v>37</v>
      </c>
      <c r="P489" s="9">
        <v>40</v>
      </c>
      <c r="Q489" s="7" t="str">
        <f t="shared" si="14"/>
        <v>SATARDAY</v>
      </c>
      <c r="R489" t="str">
        <f t="shared" si="15"/>
        <v>Clear</v>
      </c>
    </row>
    <row r="490" spans="1:18" x14ac:dyDescent="0.25">
      <c r="A490" s="7">
        <v>489</v>
      </c>
      <c r="B490" s="8">
        <v>40565</v>
      </c>
      <c r="C490" s="7">
        <v>1</v>
      </c>
      <c r="D490" s="7">
        <v>0</v>
      </c>
      <c r="E490" s="7">
        <v>1</v>
      </c>
      <c r="F490" s="7">
        <v>10</v>
      </c>
      <c r="G490" s="7" t="b">
        <v>0</v>
      </c>
      <c r="H490" s="7">
        <v>6</v>
      </c>
      <c r="I490" s="7">
        <v>2</v>
      </c>
      <c r="J490" s="7">
        <v>0.04</v>
      </c>
      <c r="K490" s="9">
        <v>6.0600000000000001E-2</v>
      </c>
      <c r="L490" s="9">
        <v>0.41</v>
      </c>
      <c r="M490" s="9">
        <v>0.16420000000000001</v>
      </c>
      <c r="N490" s="9">
        <v>3</v>
      </c>
      <c r="O490" s="9">
        <v>50</v>
      </c>
      <c r="P490" s="9">
        <v>53</v>
      </c>
      <c r="Q490" s="7" t="str">
        <f t="shared" si="14"/>
        <v>SATARDAY</v>
      </c>
      <c r="R490" t="str">
        <f t="shared" si="15"/>
        <v>Mist</v>
      </c>
    </row>
    <row r="491" spans="1:18" x14ac:dyDescent="0.25">
      <c r="A491" s="7">
        <v>490</v>
      </c>
      <c r="B491" s="8">
        <v>40565</v>
      </c>
      <c r="C491" s="7">
        <v>1</v>
      </c>
      <c r="D491" s="7">
        <v>0</v>
      </c>
      <c r="E491" s="7">
        <v>1</v>
      </c>
      <c r="F491" s="7">
        <v>11</v>
      </c>
      <c r="G491" s="7" t="b">
        <v>0</v>
      </c>
      <c r="H491" s="7">
        <v>6</v>
      </c>
      <c r="I491" s="7">
        <v>2</v>
      </c>
      <c r="J491" s="7">
        <v>0.06</v>
      </c>
      <c r="K491" s="9">
        <v>7.5800000000000006E-2</v>
      </c>
      <c r="L491" s="9">
        <v>0.38</v>
      </c>
      <c r="M491" s="9">
        <v>0.1343</v>
      </c>
      <c r="N491" s="9">
        <v>4</v>
      </c>
      <c r="O491" s="9">
        <v>59</v>
      </c>
      <c r="P491" s="9">
        <v>63</v>
      </c>
      <c r="Q491" s="7" t="str">
        <f t="shared" si="14"/>
        <v>SATARDAY</v>
      </c>
      <c r="R491" t="str">
        <f t="shared" si="15"/>
        <v>Mist</v>
      </c>
    </row>
    <row r="492" spans="1:18" x14ac:dyDescent="0.25">
      <c r="A492" s="7">
        <v>491</v>
      </c>
      <c r="B492" s="8">
        <v>40565</v>
      </c>
      <c r="C492" s="7">
        <v>1</v>
      </c>
      <c r="D492" s="7">
        <v>0</v>
      </c>
      <c r="E492" s="7">
        <v>1</v>
      </c>
      <c r="F492" s="7">
        <v>12</v>
      </c>
      <c r="G492" s="7" t="b">
        <v>0</v>
      </c>
      <c r="H492" s="7">
        <v>6</v>
      </c>
      <c r="I492" s="7">
        <v>2</v>
      </c>
      <c r="J492" s="7">
        <v>0.06</v>
      </c>
      <c r="K492" s="9">
        <v>0.1061</v>
      </c>
      <c r="L492" s="9">
        <v>0.38</v>
      </c>
      <c r="M492" s="9">
        <v>0.1045</v>
      </c>
      <c r="N492" s="9">
        <v>10</v>
      </c>
      <c r="O492" s="9">
        <v>60</v>
      </c>
      <c r="P492" s="9">
        <v>70</v>
      </c>
      <c r="Q492" s="7" t="str">
        <f t="shared" si="14"/>
        <v>SATARDAY</v>
      </c>
      <c r="R492" t="str">
        <f t="shared" si="15"/>
        <v>Mist</v>
      </c>
    </row>
    <row r="493" spans="1:18" x14ac:dyDescent="0.25">
      <c r="A493" s="7">
        <v>492</v>
      </c>
      <c r="B493" s="8">
        <v>40565</v>
      </c>
      <c r="C493" s="7">
        <v>1</v>
      </c>
      <c r="D493" s="7">
        <v>0</v>
      </c>
      <c r="E493" s="7">
        <v>1</v>
      </c>
      <c r="F493" s="7">
        <v>13</v>
      </c>
      <c r="G493" s="7" t="b">
        <v>0</v>
      </c>
      <c r="H493" s="7">
        <v>6</v>
      </c>
      <c r="I493" s="7">
        <v>1</v>
      </c>
      <c r="J493" s="7">
        <v>0.08</v>
      </c>
      <c r="K493" s="9">
        <v>0.16669999999999999</v>
      </c>
      <c r="L493" s="9">
        <v>0.35</v>
      </c>
      <c r="M493" s="9">
        <v>0</v>
      </c>
      <c r="N493" s="9">
        <v>12</v>
      </c>
      <c r="O493" s="9">
        <v>72</v>
      </c>
      <c r="P493" s="9">
        <v>84</v>
      </c>
      <c r="Q493" s="7" t="str">
        <f t="shared" si="14"/>
        <v>SATARDAY</v>
      </c>
      <c r="R493" t="str">
        <f t="shared" si="15"/>
        <v>Clear</v>
      </c>
    </row>
    <row r="494" spans="1:18" x14ac:dyDescent="0.25">
      <c r="A494" s="7">
        <v>493</v>
      </c>
      <c r="B494" s="8">
        <v>40565</v>
      </c>
      <c r="C494" s="7">
        <v>1</v>
      </c>
      <c r="D494" s="7">
        <v>0</v>
      </c>
      <c r="E494" s="7">
        <v>1</v>
      </c>
      <c r="F494" s="7">
        <v>14</v>
      </c>
      <c r="G494" s="7" t="b">
        <v>0</v>
      </c>
      <c r="H494" s="7">
        <v>6</v>
      </c>
      <c r="I494" s="7">
        <v>1</v>
      </c>
      <c r="J494" s="7">
        <v>0.1</v>
      </c>
      <c r="K494" s="9">
        <v>0.13639999999999999</v>
      </c>
      <c r="L494" s="9">
        <v>0.33</v>
      </c>
      <c r="M494" s="9">
        <v>0.1045</v>
      </c>
      <c r="N494" s="9">
        <v>11</v>
      </c>
      <c r="O494" s="9">
        <v>64</v>
      </c>
      <c r="P494" s="9">
        <v>75</v>
      </c>
      <c r="Q494" s="7" t="str">
        <f t="shared" si="14"/>
        <v>SATARDAY</v>
      </c>
      <c r="R494" t="str">
        <f t="shared" si="15"/>
        <v>Clear</v>
      </c>
    </row>
    <row r="495" spans="1:18" x14ac:dyDescent="0.25">
      <c r="A495" s="7">
        <v>494</v>
      </c>
      <c r="B495" s="8">
        <v>40565</v>
      </c>
      <c r="C495" s="7">
        <v>1</v>
      </c>
      <c r="D495" s="7">
        <v>0</v>
      </c>
      <c r="E495" s="7">
        <v>1</v>
      </c>
      <c r="F495" s="7">
        <v>15</v>
      </c>
      <c r="G495" s="7" t="b">
        <v>0</v>
      </c>
      <c r="H495" s="7">
        <v>6</v>
      </c>
      <c r="I495" s="7">
        <v>1</v>
      </c>
      <c r="J495" s="7">
        <v>0.12</v>
      </c>
      <c r="K495" s="9">
        <v>0.1515</v>
      </c>
      <c r="L495" s="9">
        <v>0.28000000000000003</v>
      </c>
      <c r="M495" s="9">
        <v>0</v>
      </c>
      <c r="N495" s="9">
        <v>10</v>
      </c>
      <c r="O495" s="9">
        <v>93</v>
      </c>
      <c r="P495" s="9">
        <v>103</v>
      </c>
      <c r="Q495" s="7" t="str">
        <f t="shared" si="14"/>
        <v>SATARDAY</v>
      </c>
      <c r="R495" t="str">
        <f t="shared" si="15"/>
        <v>Clear</v>
      </c>
    </row>
    <row r="496" spans="1:18" x14ac:dyDescent="0.25">
      <c r="A496" s="7">
        <v>495</v>
      </c>
      <c r="B496" s="8">
        <v>40565</v>
      </c>
      <c r="C496" s="7">
        <v>1</v>
      </c>
      <c r="D496" s="7">
        <v>0</v>
      </c>
      <c r="E496" s="7">
        <v>1</v>
      </c>
      <c r="F496" s="7">
        <v>16</v>
      </c>
      <c r="G496" s="7" t="b">
        <v>0</v>
      </c>
      <c r="H496" s="7">
        <v>6</v>
      </c>
      <c r="I496" s="7">
        <v>1</v>
      </c>
      <c r="J496" s="7">
        <v>0.12</v>
      </c>
      <c r="K496" s="9">
        <v>0.13639999999999999</v>
      </c>
      <c r="L496" s="9">
        <v>0.28000000000000003</v>
      </c>
      <c r="M496" s="9">
        <v>0.19400000000000001</v>
      </c>
      <c r="N496" s="9">
        <v>11</v>
      </c>
      <c r="O496" s="9">
        <v>72</v>
      </c>
      <c r="P496" s="9">
        <v>83</v>
      </c>
      <c r="Q496" s="7" t="str">
        <f t="shared" si="14"/>
        <v>SATARDAY</v>
      </c>
      <c r="R496" t="str">
        <f t="shared" si="15"/>
        <v>Clear</v>
      </c>
    </row>
    <row r="497" spans="1:18" x14ac:dyDescent="0.25">
      <c r="A497" s="7">
        <v>496</v>
      </c>
      <c r="B497" s="8">
        <v>40565</v>
      </c>
      <c r="C497" s="7">
        <v>1</v>
      </c>
      <c r="D497" s="7">
        <v>0</v>
      </c>
      <c r="E497" s="7">
        <v>1</v>
      </c>
      <c r="F497" s="7">
        <v>17</v>
      </c>
      <c r="G497" s="7" t="b">
        <v>0</v>
      </c>
      <c r="H497" s="7">
        <v>6</v>
      </c>
      <c r="I497" s="7">
        <v>1</v>
      </c>
      <c r="J497" s="7">
        <v>0.12</v>
      </c>
      <c r="K497" s="9">
        <v>0.19700000000000001</v>
      </c>
      <c r="L497" s="9">
        <v>0.28000000000000003</v>
      </c>
      <c r="M497" s="9">
        <v>0</v>
      </c>
      <c r="N497" s="9">
        <v>8</v>
      </c>
      <c r="O497" s="9">
        <v>59</v>
      </c>
      <c r="P497" s="9">
        <v>67</v>
      </c>
      <c r="Q497" s="7" t="str">
        <f t="shared" si="14"/>
        <v>SATARDAY</v>
      </c>
      <c r="R497" t="str">
        <f t="shared" si="15"/>
        <v>Clear</v>
      </c>
    </row>
    <row r="498" spans="1:18" x14ac:dyDescent="0.25">
      <c r="A498" s="7">
        <v>497</v>
      </c>
      <c r="B498" s="8">
        <v>40565</v>
      </c>
      <c r="C498" s="7">
        <v>1</v>
      </c>
      <c r="D498" s="7">
        <v>0</v>
      </c>
      <c r="E498" s="7">
        <v>1</v>
      </c>
      <c r="F498" s="7">
        <v>18</v>
      </c>
      <c r="G498" s="7" t="b">
        <v>0</v>
      </c>
      <c r="H498" s="7">
        <v>6</v>
      </c>
      <c r="I498" s="7">
        <v>1</v>
      </c>
      <c r="J498" s="7">
        <v>0.08</v>
      </c>
      <c r="K498" s="9">
        <v>9.0899999999999995E-2</v>
      </c>
      <c r="L498" s="9">
        <v>0.35</v>
      </c>
      <c r="M498" s="9">
        <v>0.19400000000000001</v>
      </c>
      <c r="N498" s="9">
        <v>0</v>
      </c>
      <c r="O498" s="9">
        <v>54</v>
      </c>
      <c r="P498" s="9">
        <v>54</v>
      </c>
      <c r="Q498" s="7" t="str">
        <f t="shared" si="14"/>
        <v>SATARDAY</v>
      </c>
      <c r="R498" t="str">
        <f t="shared" si="15"/>
        <v>Clear</v>
      </c>
    </row>
    <row r="499" spans="1:18" x14ac:dyDescent="0.25">
      <c r="A499" s="7">
        <v>498</v>
      </c>
      <c r="B499" s="8">
        <v>40565</v>
      </c>
      <c r="C499" s="7">
        <v>1</v>
      </c>
      <c r="D499" s="7">
        <v>0</v>
      </c>
      <c r="E499" s="7">
        <v>1</v>
      </c>
      <c r="F499" s="7">
        <v>19</v>
      </c>
      <c r="G499" s="7" t="b">
        <v>0</v>
      </c>
      <c r="H499" s="7">
        <v>6</v>
      </c>
      <c r="I499" s="7">
        <v>1</v>
      </c>
      <c r="J499" s="7">
        <v>0.08</v>
      </c>
      <c r="K499" s="9">
        <v>0.1061</v>
      </c>
      <c r="L499" s="9">
        <v>0.35</v>
      </c>
      <c r="M499" s="9">
        <v>0.1343</v>
      </c>
      <c r="N499" s="9">
        <v>6</v>
      </c>
      <c r="O499" s="9">
        <v>53</v>
      </c>
      <c r="P499" s="9">
        <v>59</v>
      </c>
      <c r="Q499" s="7" t="str">
        <f t="shared" si="14"/>
        <v>SATARDAY</v>
      </c>
      <c r="R499" t="str">
        <f t="shared" si="15"/>
        <v>Clear</v>
      </c>
    </row>
    <row r="500" spans="1:18" x14ac:dyDescent="0.25">
      <c r="A500" s="7">
        <v>499</v>
      </c>
      <c r="B500" s="8">
        <v>40565</v>
      </c>
      <c r="C500" s="7">
        <v>1</v>
      </c>
      <c r="D500" s="7">
        <v>0</v>
      </c>
      <c r="E500" s="7">
        <v>1</v>
      </c>
      <c r="F500" s="7">
        <v>20</v>
      </c>
      <c r="G500" s="7" t="b">
        <v>0</v>
      </c>
      <c r="H500" s="7">
        <v>6</v>
      </c>
      <c r="I500" s="7">
        <v>1</v>
      </c>
      <c r="J500" s="7">
        <v>0.06</v>
      </c>
      <c r="K500" s="9">
        <v>7.5800000000000006E-2</v>
      </c>
      <c r="L500" s="9">
        <v>0.45</v>
      </c>
      <c r="M500" s="9">
        <v>0.16420000000000001</v>
      </c>
      <c r="N500" s="9">
        <v>1</v>
      </c>
      <c r="O500" s="9">
        <v>44</v>
      </c>
      <c r="P500" s="9">
        <v>45</v>
      </c>
      <c r="Q500" s="7" t="str">
        <f t="shared" si="14"/>
        <v>SATARDAY</v>
      </c>
      <c r="R500" t="str">
        <f t="shared" si="15"/>
        <v>Clear</v>
      </c>
    </row>
    <row r="501" spans="1:18" x14ac:dyDescent="0.25">
      <c r="A501" s="7">
        <v>500</v>
      </c>
      <c r="B501" s="8">
        <v>40565</v>
      </c>
      <c r="C501" s="7">
        <v>1</v>
      </c>
      <c r="D501" s="7">
        <v>0</v>
      </c>
      <c r="E501" s="7">
        <v>1</v>
      </c>
      <c r="F501" s="7">
        <v>21</v>
      </c>
      <c r="G501" s="7" t="b">
        <v>0</v>
      </c>
      <c r="H501" s="7">
        <v>6</v>
      </c>
      <c r="I501" s="7">
        <v>1</v>
      </c>
      <c r="J501" s="7">
        <v>0.06</v>
      </c>
      <c r="K501" s="9">
        <v>0.1061</v>
      </c>
      <c r="L501" s="9">
        <v>0.41</v>
      </c>
      <c r="M501" s="9">
        <v>8.9599999999999999E-2</v>
      </c>
      <c r="N501" s="9">
        <v>0</v>
      </c>
      <c r="O501" s="9">
        <v>39</v>
      </c>
      <c r="P501" s="9">
        <v>39</v>
      </c>
      <c r="Q501" s="7" t="str">
        <f t="shared" si="14"/>
        <v>SATARDAY</v>
      </c>
      <c r="R501" t="str">
        <f t="shared" si="15"/>
        <v>Clear</v>
      </c>
    </row>
    <row r="502" spans="1:18" x14ac:dyDescent="0.25">
      <c r="A502" s="7">
        <v>501</v>
      </c>
      <c r="B502" s="8">
        <v>40565</v>
      </c>
      <c r="C502" s="7">
        <v>1</v>
      </c>
      <c r="D502" s="7">
        <v>0</v>
      </c>
      <c r="E502" s="7">
        <v>1</v>
      </c>
      <c r="F502" s="7">
        <v>22</v>
      </c>
      <c r="G502" s="7" t="b">
        <v>0</v>
      </c>
      <c r="H502" s="7">
        <v>6</v>
      </c>
      <c r="I502" s="7">
        <v>1</v>
      </c>
      <c r="J502" s="7">
        <v>0.06</v>
      </c>
      <c r="K502" s="9">
        <v>0.1515</v>
      </c>
      <c r="L502" s="9">
        <v>0.49</v>
      </c>
      <c r="M502" s="9">
        <v>0</v>
      </c>
      <c r="N502" s="9">
        <v>7</v>
      </c>
      <c r="O502" s="9">
        <v>23</v>
      </c>
      <c r="P502" s="9">
        <v>30</v>
      </c>
      <c r="Q502" s="7" t="str">
        <f t="shared" si="14"/>
        <v>SATARDAY</v>
      </c>
      <c r="R502" t="str">
        <f t="shared" si="15"/>
        <v>Clear</v>
      </c>
    </row>
    <row r="503" spans="1:18" x14ac:dyDescent="0.25">
      <c r="A503" s="7">
        <v>502</v>
      </c>
      <c r="B503" s="8">
        <v>40565</v>
      </c>
      <c r="C503" s="7">
        <v>1</v>
      </c>
      <c r="D503" s="7">
        <v>0</v>
      </c>
      <c r="E503" s="7">
        <v>1</v>
      </c>
      <c r="F503" s="7">
        <v>23</v>
      </c>
      <c r="G503" s="7" t="b">
        <v>0</v>
      </c>
      <c r="H503" s="7">
        <v>6</v>
      </c>
      <c r="I503" s="7">
        <v>1</v>
      </c>
      <c r="J503" s="7">
        <v>0.04</v>
      </c>
      <c r="K503" s="9">
        <v>7.5800000000000006E-2</v>
      </c>
      <c r="L503" s="9">
        <v>0.56999999999999995</v>
      </c>
      <c r="M503" s="9">
        <v>0.1045</v>
      </c>
      <c r="N503" s="9">
        <v>2</v>
      </c>
      <c r="O503" s="9">
        <v>31</v>
      </c>
      <c r="P503" s="9">
        <v>33</v>
      </c>
      <c r="Q503" s="7" t="str">
        <f t="shared" si="14"/>
        <v>SATARDAY</v>
      </c>
      <c r="R503" t="str">
        <f t="shared" si="15"/>
        <v>Clear</v>
      </c>
    </row>
    <row r="504" spans="1:18" x14ac:dyDescent="0.25">
      <c r="A504" s="7">
        <v>503</v>
      </c>
      <c r="B504" s="8">
        <v>40566</v>
      </c>
      <c r="C504" s="7">
        <v>1</v>
      </c>
      <c r="D504" s="7">
        <v>0</v>
      </c>
      <c r="E504" s="7">
        <v>1</v>
      </c>
      <c r="F504" s="7">
        <v>0</v>
      </c>
      <c r="G504" s="7" t="b">
        <v>0</v>
      </c>
      <c r="H504" s="7">
        <v>0</v>
      </c>
      <c r="I504" s="7">
        <v>1</v>
      </c>
      <c r="J504" s="7">
        <v>0.04</v>
      </c>
      <c r="K504" s="9">
        <v>7.5800000000000006E-2</v>
      </c>
      <c r="L504" s="9">
        <v>0.56999999999999995</v>
      </c>
      <c r="M504" s="9">
        <v>0.1045</v>
      </c>
      <c r="N504" s="9">
        <v>2</v>
      </c>
      <c r="O504" s="9">
        <v>20</v>
      </c>
      <c r="P504" s="9">
        <v>22</v>
      </c>
      <c r="Q504" s="7" t="str">
        <f t="shared" si="14"/>
        <v>SUNDAY</v>
      </c>
      <c r="R504" t="str">
        <f t="shared" si="15"/>
        <v>Clear</v>
      </c>
    </row>
    <row r="505" spans="1:18" x14ac:dyDescent="0.25">
      <c r="A505" s="7">
        <v>504</v>
      </c>
      <c r="B505" s="8">
        <v>40566</v>
      </c>
      <c r="C505" s="7">
        <v>1</v>
      </c>
      <c r="D505" s="7">
        <v>0</v>
      </c>
      <c r="E505" s="7">
        <v>1</v>
      </c>
      <c r="F505" s="7">
        <v>1</v>
      </c>
      <c r="G505" s="7" t="b">
        <v>0</v>
      </c>
      <c r="H505" s="7">
        <v>0</v>
      </c>
      <c r="I505" s="7">
        <v>1</v>
      </c>
      <c r="J505" s="7">
        <v>0.04</v>
      </c>
      <c r="K505" s="9">
        <v>7.5800000000000006E-2</v>
      </c>
      <c r="L505" s="9">
        <v>0.56999999999999995</v>
      </c>
      <c r="M505" s="9">
        <v>0.1045</v>
      </c>
      <c r="N505" s="9">
        <v>1</v>
      </c>
      <c r="O505" s="9">
        <v>12</v>
      </c>
      <c r="P505" s="9">
        <v>13</v>
      </c>
      <c r="Q505" s="7" t="str">
        <f t="shared" si="14"/>
        <v>SUNDAY</v>
      </c>
      <c r="R505" t="str">
        <f t="shared" si="15"/>
        <v>Clear</v>
      </c>
    </row>
    <row r="506" spans="1:18" x14ac:dyDescent="0.25">
      <c r="A506" s="7">
        <v>505</v>
      </c>
      <c r="B506" s="8">
        <v>40566</v>
      </c>
      <c r="C506" s="7">
        <v>1</v>
      </c>
      <c r="D506" s="7">
        <v>0</v>
      </c>
      <c r="E506" s="7">
        <v>1</v>
      </c>
      <c r="F506" s="7">
        <v>2</v>
      </c>
      <c r="G506" s="7" t="b">
        <v>0</v>
      </c>
      <c r="H506" s="7">
        <v>0</v>
      </c>
      <c r="I506" s="7">
        <v>1</v>
      </c>
      <c r="J506" s="7">
        <v>0.02</v>
      </c>
      <c r="K506" s="9">
        <v>6.0600000000000001E-2</v>
      </c>
      <c r="L506" s="9">
        <v>0.62</v>
      </c>
      <c r="M506" s="9">
        <v>0.1343</v>
      </c>
      <c r="N506" s="9">
        <v>3</v>
      </c>
      <c r="O506" s="9">
        <v>15</v>
      </c>
      <c r="P506" s="9">
        <v>18</v>
      </c>
      <c r="Q506" s="7" t="str">
        <f t="shared" si="14"/>
        <v>SUNDAY</v>
      </c>
      <c r="R506" t="str">
        <f t="shared" si="15"/>
        <v>Clear</v>
      </c>
    </row>
    <row r="507" spans="1:18" x14ac:dyDescent="0.25">
      <c r="A507" s="7">
        <v>506</v>
      </c>
      <c r="B507" s="8">
        <v>40566</v>
      </c>
      <c r="C507" s="7">
        <v>1</v>
      </c>
      <c r="D507" s="7">
        <v>0</v>
      </c>
      <c r="E507" s="7">
        <v>1</v>
      </c>
      <c r="F507" s="7">
        <v>3</v>
      </c>
      <c r="G507" s="7" t="b">
        <v>0</v>
      </c>
      <c r="H507" s="7">
        <v>0</v>
      </c>
      <c r="I507" s="7">
        <v>1</v>
      </c>
      <c r="J507" s="7">
        <v>0.02</v>
      </c>
      <c r="K507" s="9">
        <v>6.0600000000000001E-2</v>
      </c>
      <c r="L507" s="9">
        <v>0.62</v>
      </c>
      <c r="M507" s="9">
        <v>0.1343</v>
      </c>
      <c r="N507" s="9">
        <v>1</v>
      </c>
      <c r="O507" s="9">
        <v>4</v>
      </c>
      <c r="P507" s="9">
        <v>5</v>
      </c>
      <c r="Q507" s="7" t="str">
        <f t="shared" si="14"/>
        <v>SUNDAY</v>
      </c>
      <c r="R507" t="str">
        <f t="shared" si="15"/>
        <v>Clear</v>
      </c>
    </row>
    <row r="508" spans="1:18" x14ac:dyDescent="0.25">
      <c r="A508" s="7">
        <v>507</v>
      </c>
      <c r="B508" s="8">
        <v>40566</v>
      </c>
      <c r="C508" s="7">
        <v>1</v>
      </c>
      <c r="D508" s="7">
        <v>0</v>
      </c>
      <c r="E508" s="7">
        <v>1</v>
      </c>
      <c r="F508" s="7">
        <v>5</v>
      </c>
      <c r="G508" s="7" t="b">
        <v>0</v>
      </c>
      <c r="H508" s="7">
        <v>0</v>
      </c>
      <c r="I508" s="7">
        <v>2</v>
      </c>
      <c r="J508" s="7">
        <v>0.04</v>
      </c>
      <c r="K508" s="9">
        <v>7.5800000000000006E-2</v>
      </c>
      <c r="L508" s="9">
        <v>0.56999999999999995</v>
      </c>
      <c r="M508" s="9">
        <v>0.1045</v>
      </c>
      <c r="N508" s="9">
        <v>0</v>
      </c>
      <c r="O508" s="9">
        <v>3</v>
      </c>
      <c r="P508" s="9">
        <v>3</v>
      </c>
      <c r="Q508" s="7" t="str">
        <f t="shared" si="14"/>
        <v>SUNDAY</v>
      </c>
      <c r="R508" t="str">
        <f t="shared" si="15"/>
        <v>Mist</v>
      </c>
    </row>
    <row r="509" spans="1:18" x14ac:dyDescent="0.25">
      <c r="A509" s="7">
        <v>508</v>
      </c>
      <c r="B509" s="8">
        <v>40566</v>
      </c>
      <c r="C509" s="7">
        <v>1</v>
      </c>
      <c r="D509" s="7">
        <v>0</v>
      </c>
      <c r="E509" s="7">
        <v>1</v>
      </c>
      <c r="F509" s="7">
        <v>6</v>
      </c>
      <c r="G509" s="7" t="b">
        <v>0</v>
      </c>
      <c r="H509" s="7">
        <v>0</v>
      </c>
      <c r="I509" s="7">
        <v>2</v>
      </c>
      <c r="J509" s="7">
        <v>0.04</v>
      </c>
      <c r="K509" s="9">
        <v>7.5800000000000006E-2</v>
      </c>
      <c r="L509" s="9">
        <v>0.56999999999999995</v>
      </c>
      <c r="M509" s="9">
        <v>0.1045</v>
      </c>
      <c r="N509" s="9">
        <v>0</v>
      </c>
      <c r="O509" s="9">
        <v>1</v>
      </c>
      <c r="P509" s="9">
        <v>1</v>
      </c>
      <c r="Q509" s="7" t="str">
        <f t="shared" si="14"/>
        <v>SUNDAY</v>
      </c>
      <c r="R509" t="str">
        <f t="shared" si="15"/>
        <v>Mist</v>
      </c>
    </row>
    <row r="510" spans="1:18" x14ac:dyDescent="0.25">
      <c r="A510" s="7">
        <v>509</v>
      </c>
      <c r="B510" s="8">
        <v>40566</v>
      </c>
      <c r="C510" s="7">
        <v>1</v>
      </c>
      <c r="D510" s="7">
        <v>0</v>
      </c>
      <c r="E510" s="7">
        <v>1</v>
      </c>
      <c r="F510" s="7">
        <v>7</v>
      </c>
      <c r="G510" s="7" t="b">
        <v>0</v>
      </c>
      <c r="H510" s="7">
        <v>0</v>
      </c>
      <c r="I510" s="7">
        <v>1</v>
      </c>
      <c r="J510" s="7">
        <v>0.08</v>
      </c>
      <c r="K510" s="9">
        <v>0.1061</v>
      </c>
      <c r="L510" s="9">
        <v>0.57999999999999996</v>
      </c>
      <c r="M510" s="9">
        <v>0.16420000000000001</v>
      </c>
      <c r="N510" s="9">
        <v>1</v>
      </c>
      <c r="O510" s="9">
        <v>1</v>
      </c>
      <c r="P510" s="9">
        <v>2</v>
      </c>
      <c r="Q510" s="7" t="str">
        <f t="shared" si="14"/>
        <v>SUNDAY</v>
      </c>
      <c r="R510" t="str">
        <f t="shared" si="15"/>
        <v>Clear</v>
      </c>
    </row>
    <row r="511" spans="1:18" x14ac:dyDescent="0.25">
      <c r="A511" s="7">
        <v>510</v>
      </c>
      <c r="B511" s="8">
        <v>40566</v>
      </c>
      <c r="C511" s="7">
        <v>1</v>
      </c>
      <c r="D511" s="7">
        <v>0</v>
      </c>
      <c r="E511" s="7">
        <v>1</v>
      </c>
      <c r="F511" s="7">
        <v>8</v>
      </c>
      <c r="G511" s="7" t="b">
        <v>0</v>
      </c>
      <c r="H511" s="7">
        <v>0</v>
      </c>
      <c r="I511" s="7">
        <v>1</v>
      </c>
      <c r="J511" s="7">
        <v>0.06</v>
      </c>
      <c r="K511" s="9">
        <v>7.5800000000000006E-2</v>
      </c>
      <c r="L511" s="9">
        <v>0.62</v>
      </c>
      <c r="M511" s="9">
        <v>0.16420000000000001</v>
      </c>
      <c r="N511" s="9">
        <v>2</v>
      </c>
      <c r="O511" s="9">
        <v>17</v>
      </c>
      <c r="P511" s="9">
        <v>19</v>
      </c>
      <c r="Q511" s="7" t="str">
        <f t="shared" si="14"/>
        <v>SUNDAY</v>
      </c>
      <c r="R511" t="str">
        <f t="shared" si="15"/>
        <v>Clear</v>
      </c>
    </row>
    <row r="512" spans="1:18" x14ac:dyDescent="0.25">
      <c r="A512" s="7">
        <v>511</v>
      </c>
      <c r="B512" s="8">
        <v>40566</v>
      </c>
      <c r="C512" s="7">
        <v>1</v>
      </c>
      <c r="D512" s="7">
        <v>0</v>
      </c>
      <c r="E512" s="7">
        <v>1</v>
      </c>
      <c r="F512" s="7">
        <v>9</v>
      </c>
      <c r="G512" s="7" t="b">
        <v>0</v>
      </c>
      <c r="H512" s="7">
        <v>0</v>
      </c>
      <c r="I512" s="7">
        <v>1</v>
      </c>
      <c r="J512" s="7">
        <v>0.1</v>
      </c>
      <c r="K512" s="9">
        <v>7.5800000000000006E-2</v>
      </c>
      <c r="L512" s="9">
        <v>0.54</v>
      </c>
      <c r="M512" s="9">
        <v>0.35820000000000002</v>
      </c>
      <c r="N512" s="9">
        <v>3</v>
      </c>
      <c r="O512" s="9">
        <v>25</v>
      </c>
      <c r="P512" s="9">
        <v>28</v>
      </c>
      <c r="Q512" s="7" t="str">
        <f t="shared" si="14"/>
        <v>SUNDAY</v>
      </c>
      <c r="R512" t="str">
        <f t="shared" si="15"/>
        <v>Clear</v>
      </c>
    </row>
    <row r="513" spans="1:18" x14ac:dyDescent="0.25">
      <c r="A513" s="7">
        <v>512</v>
      </c>
      <c r="B513" s="8">
        <v>40566</v>
      </c>
      <c r="C513" s="7">
        <v>1</v>
      </c>
      <c r="D513" s="7">
        <v>0</v>
      </c>
      <c r="E513" s="7">
        <v>1</v>
      </c>
      <c r="F513" s="7">
        <v>10</v>
      </c>
      <c r="G513" s="7" t="b">
        <v>0</v>
      </c>
      <c r="H513" s="7">
        <v>0</v>
      </c>
      <c r="I513" s="7">
        <v>1</v>
      </c>
      <c r="J513" s="7">
        <v>0.14000000000000001</v>
      </c>
      <c r="K513" s="9">
        <v>0.1061</v>
      </c>
      <c r="L513" s="9">
        <v>0.46</v>
      </c>
      <c r="M513" s="9">
        <v>0.3881</v>
      </c>
      <c r="N513" s="9">
        <v>7</v>
      </c>
      <c r="O513" s="9">
        <v>51</v>
      </c>
      <c r="P513" s="9">
        <v>58</v>
      </c>
      <c r="Q513" s="7" t="str">
        <f t="shared" si="14"/>
        <v>SUNDAY</v>
      </c>
      <c r="R513" t="str">
        <f t="shared" si="15"/>
        <v>Clear</v>
      </c>
    </row>
    <row r="514" spans="1:18" x14ac:dyDescent="0.25">
      <c r="A514" s="7">
        <v>513</v>
      </c>
      <c r="B514" s="8">
        <v>40566</v>
      </c>
      <c r="C514" s="7">
        <v>1</v>
      </c>
      <c r="D514" s="7">
        <v>0</v>
      </c>
      <c r="E514" s="7">
        <v>1</v>
      </c>
      <c r="F514" s="7">
        <v>11</v>
      </c>
      <c r="G514" s="7" t="b">
        <v>0</v>
      </c>
      <c r="H514" s="7">
        <v>0</v>
      </c>
      <c r="I514" s="7">
        <v>1</v>
      </c>
      <c r="J514" s="7">
        <v>0.14000000000000001</v>
      </c>
      <c r="K514" s="9">
        <v>0.13639999999999999</v>
      </c>
      <c r="L514" s="9">
        <v>0.43</v>
      </c>
      <c r="M514" s="9">
        <v>0.22389999999999999</v>
      </c>
      <c r="N514" s="9">
        <v>22</v>
      </c>
      <c r="O514" s="9">
        <v>77</v>
      </c>
      <c r="P514" s="9">
        <v>99</v>
      </c>
      <c r="Q514" s="7" t="str">
        <f t="shared" ref="Q514:Q577" si="16">CHOOSE(H514+1, "SUNDAY", "MONDAY","TUESDAY", "WENESDAY","THUSDAY", "FRIDAY", "SATARDAY")</f>
        <v>SUNDAY</v>
      </c>
      <c r="R514" t="str">
        <f t="shared" ref="R514:R577" si="17">IF(I514=1,"Clear",IF(I514=2,"Mist",IF(I514=3,"Light Rain/Snow","Heavy Rain")))</f>
        <v>Clear</v>
      </c>
    </row>
    <row r="515" spans="1:18" x14ac:dyDescent="0.25">
      <c r="A515" s="7">
        <v>514</v>
      </c>
      <c r="B515" s="8">
        <v>40566</v>
      </c>
      <c r="C515" s="7">
        <v>1</v>
      </c>
      <c r="D515" s="7">
        <v>0</v>
      </c>
      <c r="E515" s="7">
        <v>1</v>
      </c>
      <c r="F515" s="7">
        <v>12</v>
      </c>
      <c r="G515" s="7" t="b">
        <v>0</v>
      </c>
      <c r="H515" s="7">
        <v>0</v>
      </c>
      <c r="I515" s="7">
        <v>1</v>
      </c>
      <c r="J515" s="7">
        <v>0.16</v>
      </c>
      <c r="K515" s="9">
        <v>0.1212</v>
      </c>
      <c r="L515" s="9">
        <v>0.37</v>
      </c>
      <c r="M515" s="9">
        <v>0.4627</v>
      </c>
      <c r="N515" s="9">
        <v>24</v>
      </c>
      <c r="O515" s="9">
        <v>92</v>
      </c>
      <c r="P515" s="9">
        <v>116</v>
      </c>
      <c r="Q515" s="7" t="str">
        <f t="shared" si="16"/>
        <v>SUNDAY</v>
      </c>
      <c r="R515" t="str">
        <f t="shared" si="17"/>
        <v>Clear</v>
      </c>
    </row>
    <row r="516" spans="1:18" x14ac:dyDescent="0.25">
      <c r="A516" s="7">
        <v>515</v>
      </c>
      <c r="B516" s="8">
        <v>40566</v>
      </c>
      <c r="C516" s="7">
        <v>1</v>
      </c>
      <c r="D516" s="7">
        <v>0</v>
      </c>
      <c r="E516" s="7">
        <v>1</v>
      </c>
      <c r="F516" s="7">
        <v>13</v>
      </c>
      <c r="G516" s="7" t="b">
        <v>0</v>
      </c>
      <c r="H516" s="7">
        <v>0</v>
      </c>
      <c r="I516" s="7">
        <v>1</v>
      </c>
      <c r="J516" s="7">
        <v>0.14000000000000001</v>
      </c>
      <c r="K516" s="9">
        <v>0.1061</v>
      </c>
      <c r="L516" s="9">
        <v>0.33</v>
      </c>
      <c r="M516" s="9">
        <v>0.3881</v>
      </c>
      <c r="N516" s="9">
        <v>12</v>
      </c>
      <c r="O516" s="9">
        <v>75</v>
      </c>
      <c r="P516" s="9">
        <v>87</v>
      </c>
      <c r="Q516" s="7" t="str">
        <f t="shared" si="16"/>
        <v>SUNDAY</v>
      </c>
      <c r="R516" t="str">
        <f t="shared" si="17"/>
        <v>Clear</v>
      </c>
    </row>
    <row r="517" spans="1:18" x14ac:dyDescent="0.25">
      <c r="A517" s="7">
        <v>516</v>
      </c>
      <c r="B517" s="8">
        <v>40566</v>
      </c>
      <c r="C517" s="7">
        <v>1</v>
      </c>
      <c r="D517" s="7">
        <v>0</v>
      </c>
      <c r="E517" s="7">
        <v>1</v>
      </c>
      <c r="F517" s="7">
        <v>14</v>
      </c>
      <c r="G517" s="7" t="b">
        <v>0</v>
      </c>
      <c r="H517" s="7">
        <v>0</v>
      </c>
      <c r="I517" s="7">
        <v>1</v>
      </c>
      <c r="J517" s="7">
        <v>0.16</v>
      </c>
      <c r="K517" s="9">
        <v>0.13639999999999999</v>
      </c>
      <c r="L517" s="9">
        <v>0.28000000000000003</v>
      </c>
      <c r="M517" s="9">
        <v>0.35820000000000002</v>
      </c>
      <c r="N517" s="9">
        <v>17</v>
      </c>
      <c r="O517" s="9">
        <v>93</v>
      </c>
      <c r="P517" s="9">
        <v>110</v>
      </c>
      <c r="Q517" s="7" t="str">
        <f t="shared" si="16"/>
        <v>SUNDAY</v>
      </c>
      <c r="R517" t="str">
        <f t="shared" si="17"/>
        <v>Clear</v>
      </c>
    </row>
    <row r="518" spans="1:18" x14ac:dyDescent="0.25">
      <c r="A518" s="7">
        <v>517</v>
      </c>
      <c r="B518" s="8">
        <v>40566</v>
      </c>
      <c r="C518" s="7">
        <v>1</v>
      </c>
      <c r="D518" s="7">
        <v>0</v>
      </c>
      <c r="E518" s="7">
        <v>1</v>
      </c>
      <c r="F518" s="7">
        <v>15</v>
      </c>
      <c r="G518" s="7" t="b">
        <v>0</v>
      </c>
      <c r="H518" s="7">
        <v>0</v>
      </c>
      <c r="I518" s="7">
        <v>1</v>
      </c>
      <c r="J518" s="7">
        <v>0.16</v>
      </c>
      <c r="K518" s="9">
        <v>0.13639999999999999</v>
      </c>
      <c r="L518" s="9">
        <v>0.28000000000000003</v>
      </c>
      <c r="M518" s="9">
        <v>0.35820000000000002</v>
      </c>
      <c r="N518" s="9">
        <v>13</v>
      </c>
      <c r="O518" s="9">
        <v>64</v>
      </c>
      <c r="P518" s="9">
        <v>77</v>
      </c>
      <c r="Q518" s="7" t="str">
        <f t="shared" si="16"/>
        <v>SUNDAY</v>
      </c>
      <c r="R518" t="str">
        <f t="shared" si="17"/>
        <v>Clear</v>
      </c>
    </row>
    <row r="519" spans="1:18" x14ac:dyDescent="0.25">
      <c r="A519" s="7">
        <v>518</v>
      </c>
      <c r="B519" s="8">
        <v>40566</v>
      </c>
      <c r="C519" s="7">
        <v>1</v>
      </c>
      <c r="D519" s="7">
        <v>0</v>
      </c>
      <c r="E519" s="7">
        <v>1</v>
      </c>
      <c r="F519" s="7">
        <v>16</v>
      </c>
      <c r="G519" s="7" t="b">
        <v>0</v>
      </c>
      <c r="H519" s="7">
        <v>0</v>
      </c>
      <c r="I519" s="7">
        <v>1</v>
      </c>
      <c r="J519" s="7">
        <v>0.16</v>
      </c>
      <c r="K519" s="9">
        <v>0.13639999999999999</v>
      </c>
      <c r="L519" s="9">
        <v>0.26</v>
      </c>
      <c r="M519" s="9">
        <v>0.32840000000000003</v>
      </c>
      <c r="N519" s="9">
        <v>9</v>
      </c>
      <c r="O519" s="9">
        <v>56</v>
      </c>
      <c r="P519" s="9">
        <v>65</v>
      </c>
      <c r="Q519" s="7" t="str">
        <f t="shared" si="16"/>
        <v>SUNDAY</v>
      </c>
      <c r="R519" t="str">
        <f t="shared" si="17"/>
        <v>Clear</v>
      </c>
    </row>
    <row r="520" spans="1:18" x14ac:dyDescent="0.25">
      <c r="A520" s="7">
        <v>519</v>
      </c>
      <c r="B520" s="8">
        <v>40566</v>
      </c>
      <c r="C520" s="7">
        <v>1</v>
      </c>
      <c r="D520" s="7">
        <v>0</v>
      </c>
      <c r="E520" s="7">
        <v>1</v>
      </c>
      <c r="F520" s="7">
        <v>17</v>
      </c>
      <c r="G520" s="7" t="b">
        <v>0</v>
      </c>
      <c r="H520" s="7">
        <v>0</v>
      </c>
      <c r="I520" s="7">
        <v>1</v>
      </c>
      <c r="J520" s="7">
        <v>0.14000000000000001</v>
      </c>
      <c r="K520" s="9">
        <v>0.1061</v>
      </c>
      <c r="L520" s="9">
        <v>0.26</v>
      </c>
      <c r="M520" s="9">
        <v>0.3881</v>
      </c>
      <c r="N520" s="9">
        <v>5</v>
      </c>
      <c r="O520" s="9">
        <v>50</v>
      </c>
      <c r="P520" s="9">
        <v>55</v>
      </c>
      <c r="Q520" s="7" t="str">
        <f t="shared" si="16"/>
        <v>SUNDAY</v>
      </c>
      <c r="R520" t="str">
        <f t="shared" si="17"/>
        <v>Clear</v>
      </c>
    </row>
    <row r="521" spans="1:18" x14ac:dyDescent="0.25">
      <c r="A521" s="7">
        <v>520</v>
      </c>
      <c r="B521" s="8">
        <v>40566</v>
      </c>
      <c r="C521" s="7">
        <v>1</v>
      </c>
      <c r="D521" s="7">
        <v>0</v>
      </c>
      <c r="E521" s="7">
        <v>1</v>
      </c>
      <c r="F521" s="7">
        <v>18</v>
      </c>
      <c r="G521" s="7" t="b">
        <v>0</v>
      </c>
      <c r="H521" s="7">
        <v>0</v>
      </c>
      <c r="I521" s="7">
        <v>1</v>
      </c>
      <c r="J521" s="7">
        <v>0.12</v>
      </c>
      <c r="K521" s="9">
        <v>0.1212</v>
      </c>
      <c r="L521" s="9">
        <v>0.3</v>
      </c>
      <c r="M521" s="9">
        <v>0.25369999999999998</v>
      </c>
      <c r="N521" s="9">
        <v>5</v>
      </c>
      <c r="O521" s="9">
        <v>44</v>
      </c>
      <c r="P521" s="9">
        <v>49</v>
      </c>
      <c r="Q521" s="7" t="str">
        <f t="shared" si="16"/>
        <v>SUNDAY</v>
      </c>
      <c r="R521" t="str">
        <f t="shared" si="17"/>
        <v>Clear</v>
      </c>
    </row>
    <row r="522" spans="1:18" x14ac:dyDescent="0.25">
      <c r="A522" s="7">
        <v>521</v>
      </c>
      <c r="B522" s="8">
        <v>40566</v>
      </c>
      <c r="C522" s="7">
        <v>1</v>
      </c>
      <c r="D522" s="7">
        <v>0</v>
      </c>
      <c r="E522" s="7">
        <v>1</v>
      </c>
      <c r="F522" s="7">
        <v>19</v>
      </c>
      <c r="G522" s="7" t="b">
        <v>0</v>
      </c>
      <c r="H522" s="7">
        <v>0</v>
      </c>
      <c r="I522" s="7">
        <v>1</v>
      </c>
      <c r="J522" s="7">
        <v>0.12</v>
      </c>
      <c r="K522" s="9">
        <v>0.1212</v>
      </c>
      <c r="L522" s="9">
        <v>0.3</v>
      </c>
      <c r="M522" s="9">
        <v>0.28360000000000002</v>
      </c>
      <c r="N522" s="9">
        <v>5</v>
      </c>
      <c r="O522" s="9">
        <v>45</v>
      </c>
      <c r="P522" s="9">
        <v>50</v>
      </c>
      <c r="Q522" s="7" t="str">
        <f t="shared" si="16"/>
        <v>SUNDAY</v>
      </c>
      <c r="R522" t="str">
        <f t="shared" si="17"/>
        <v>Clear</v>
      </c>
    </row>
    <row r="523" spans="1:18" x14ac:dyDescent="0.25">
      <c r="A523" s="7">
        <v>522</v>
      </c>
      <c r="B523" s="8">
        <v>40566</v>
      </c>
      <c r="C523" s="7">
        <v>1</v>
      </c>
      <c r="D523" s="7">
        <v>0</v>
      </c>
      <c r="E523" s="7">
        <v>1</v>
      </c>
      <c r="F523" s="7">
        <v>20</v>
      </c>
      <c r="G523" s="7" t="b">
        <v>0</v>
      </c>
      <c r="H523" s="7">
        <v>0</v>
      </c>
      <c r="I523" s="7">
        <v>1</v>
      </c>
      <c r="J523" s="7">
        <v>0.1</v>
      </c>
      <c r="K523" s="9">
        <v>0.1061</v>
      </c>
      <c r="L523" s="9">
        <v>0.36</v>
      </c>
      <c r="M523" s="9">
        <v>0.25369999999999998</v>
      </c>
      <c r="N523" s="9">
        <v>4</v>
      </c>
      <c r="O523" s="9">
        <v>31</v>
      </c>
      <c r="P523" s="9">
        <v>35</v>
      </c>
      <c r="Q523" s="7" t="str">
        <f t="shared" si="16"/>
        <v>SUNDAY</v>
      </c>
      <c r="R523" t="str">
        <f t="shared" si="17"/>
        <v>Clear</v>
      </c>
    </row>
    <row r="524" spans="1:18" x14ac:dyDescent="0.25">
      <c r="A524" s="7">
        <v>523</v>
      </c>
      <c r="B524" s="8">
        <v>40566</v>
      </c>
      <c r="C524" s="7">
        <v>1</v>
      </c>
      <c r="D524" s="7">
        <v>0</v>
      </c>
      <c r="E524" s="7">
        <v>1</v>
      </c>
      <c r="F524" s="7">
        <v>21</v>
      </c>
      <c r="G524" s="7" t="b">
        <v>0</v>
      </c>
      <c r="H524" s="7">
        <v>0</v>
      </c>
      <c r="I524" s="7">
        <v>1</v>
      </c>
      <c r="J524" s="7">
        <v>0.1</v>
      </c>
      <c r="K524" s="9">
        <v>0.1061</v>
      </c>
      <c r="L524" s="9">
        <v>0.36</v>
      </c>
      <c r="M524" s="9">
        <v>0.19400000000000001</v>
      </c>
      <c r="N524" s="9">
        <v>5</v>
      </c>
      <c r="O524" s="9">
        <v>20</v>
      </c>
      <c r="P524" s="9">
        <v>25</v>
      </c>
      <c r="Q524" s="7" t="str">
        <f t="shared" si="16"/>
        <v>SUNDAY</v>
      </c>
      <c r="R524" t="str">
        <f t="shared" si="17"/>
        <v>Clear</v>
      </c>
    </row>
    <row r="525" spans="1:18" x14ac:dyDescent="0.25">
      <c r="A525" s="7">
        <v>524</v>
      </c>
      <c r="B525" s="8">
        <v>40566</v>
      </c>
      <c r="C525" s="7">
        <v>1</v>
      </c>
      <c r="D525" s="7">
        <v>0</v>
      </c>
      <c r="E525" s="7">
        <v>1</v>
      </c>
      <c r="F525" s="7">
        <v>22</v>
      </c>
      <c r="G525" s="7" t="b">
        <v>0</v>
      </c>
      <c r="H525" s="7">
        <v>0</v>
      </c>
      <c r="I525" s="7">
        <v>1</v>
      </c>
      <c r="J525" s="7">
        <v>0.08</v>
      </c>
      <c r="K525" s="9">
        <v>9.0899999999999995E-2</v>
      </c>
      <c r="L525" s="9">
        <v>0.38</v>
      </c>
      <c r="M525" s="9">
        <v>0.19400000000000001</v>
      </c>
      <c r="N525" s="9">
        <v>5</v>
      </c>
      <c r="O525" s="9">
        <v>23</v>
      </c>
      <c r="P525" s="9">
        <v>28</v>
      </c>
      <c r="Q525" s="7" t="str">
        <f t="shared" si="16"/>
        <v>SUNDAY</v>
      </c>
      <c r="R525" t="str">
        <f t="shared" si="17"/>
        <v>Clear</v>
      </c>
    </row>
    <row r="526" spans="1:18" x14ac:dyDescent="0.25">
      <c r="A526" s="7">
        <v>525</v>
      </c>
      <c r="B526" s="8">
        <v>40566</v>
      </c>
      <c r="C526" s="7">
        <v>1</v>
      </c>
      <c r="D526" s="7">
        <v>0</v>
      </c>
      <c r="E526" s="7">
        <v>1</v>
      </c>
      <c r="F526" s="7">
        <v>23</v>
      </c>
      <c r="G526" s="7" t="b">
        <v>0</v>
      </c>
      <c r="H526" s="7">
        <v>0</v>
      </c>
      <c r="I526" s="7">
        <v>1</v>
      </c>
      <c r="J526" s="7">
        <v>0.06</v>
      </c>
      <c r="K526" s="9">
        <v>6.0600000000000001E-2</v>
      </c>
      <c r="L526" s="9">
        <v>0.41</v>
      </c>
      <c r="M526" s="9">
        <v>0.22389999999999999</v>
      </c>
      <c r="N526" s="9">
        <v>4</v>
      </c>
      <c r="O526" s="9">
        <v>17</v>
      </c>
      <c r="P526" s="9">
        <v>21</v>
      </c>
      <c r="Q526" s="7" t="str">
        <f t="shared" si="16"/>
        <v>SUNDAY</v>
      </c>
      <c r="R526" t="str">
        <f t="shared" si="17"/>
        <v>Clear</v>
      </c>
    </row>
    <row r="527" spans="1:18" x14ac:dyDescent="0.25">
      <c r="A527" s="7">
        <v>526</v>
      </c>
      <c r="B527" s="8">
        <v>40567</v>
      </c>
      <c r="C527" s="7">
        <v>1</v>
      </c>
      <c r="D527" s="7">
        <v>0</v>
      </c>
      <c r="E527" s="7">
        <v>1</v>
      </c>
      <c r="F527" s="7">
        <v>0</v>
      </c>
      <c r="G527" s="7" t="b">
        <v>0</v>
      </c>
      <c r="H527" s="7">
        <v>1</v>
      </c>
      <c r="I527" s="7">
        <v>1</v>
      </c>
      <c r="J527" s="7">
        <v>0.06</v>
      </c>
      <c r="K527" s="9">
        <v>6.0600000000000001E-2</v>
      </c>
      <c r="L527" s="9">
        <v>0.41</v>
      </c>
      <c r="M527" s="9">
        <v>0.19400000000000001</v>
      </c>
      <c r="N527" s="9">
        <v>0</v>
      </c>
      <c r="O527" s="9">
        <v>7</v>
      </c>
      <c r="P527" s="9">
        <v>7</v>
      </c>
      <c r="Q527" s="7" t="str">
        <f t="shared" si="16"/>
        <v>MONDAY</v>
      </c>
      <c r="R527" t="str">
        <f t="shared" si="17"/>
        <v>Clear</v>
      </c>
    </row>
    <row r="528" spans="1:18" x14ac:dyDescent="0.25">
      <c r="A528" s="7">
        <v>527</v>
      </c>
      <c r="B528" s="8">
        <v>40567</v>
      </c>
      <c r="C528" s="7">
        <v>1</v>
      </c>
      <c r="D528" s="7">
        <v>0</v>
      </c>
      <c r="E528" s="7">
        <v>1</v>
      </c>
      <c r="F528" s="7">
        <v>1</v>
      </c>
      <c r="G528" s="7" t="b">
        <v>0</v>
      </c>
      <c r="H528" s="7">
        <v>1</v>
      </c>
      <c r="I528" s="7">
        <v>1</v>
      </c>
      <c r="J528" s="7">
        <v>0.04</v>
      </c>
      <c r="K528" s="9">
        <v>4.5499999999999999E-2</v>
      </c>
      <c r="L528" s="9">
        <v>0.45</v>
      </c>
      <c r="M528" s="9">
        <v>0.19400000000000001</v>
      </c>
      <c r="N528" s="9">
        <v>0</v>
      </c>
      <c r="O528" s="9">
        <v>1</v>
      </c>
      <c r="P528" s="9">
        <v>1</v>
      </c>
      <c r="Q528" s="7" t="str">
        <f t="shared" si="16"/>
        <v>MONDAY</v>
      </c>
      <c r="R528" t="str">
        <f t="shared" si="17"/>
        <v>Clear</v>
      </c>
    </row>
    <row r="529" spans="1:18" x14ac:dyDescent="0.25">
      <c r="A529" s="7">
        <v>528</v>
      </c>
      <c r="B529" s="8">
        <v>40567</v>
      </c>
      <c r="C529" s="7">
        <v>1</v>
      </c>
      <c r="D529" s="7">
        <v>0</v>
      </c>
      <c r="E529" s="7">
        <v>1</v>
      </c>
      <c r="F529" s="7">
        <v>3</v>
      </c>
      <c r="G529" s="7" t="b">
        <v>0</v>
      </c>
      <c r="H529" s="7">
        <v>1</v>
      </c>
      <c r="I529" s="7">
        <v>1</v>
      </c>
      <c r="J529" s="7">
        <v>0.04</v>
      </c>
      <c r="K529" s="9">
        <v>3.0300000000000001E-2</v>
      </c>
      <c r="L529" s="9">
        <v>0.45</v>
      </c>
      <c r="M529" s="9">
        <v>0.25369999999999998</v>
      </c>
      <c r="N529" s="9">
        <v>0</v>
      </c>
      <c r="O529" s="9">
        <v>1</v>
      </c>
      <c r="P529" s="9">
        <v>1</v>
      </c>
      <c r="Q529" s="7" t="str">
        <f t="shared" si="16"/>
        <v>MONDAY</v>
      </c>
      <c r="R529" t="str">
        <f t="shared" si="17"/>
        <v>Clear</v>
      </c>
    </row>
    <row r="530" spans="1:18" x14ac:dyDescent="0.25">
      <c r="A530" s="7">
        <v>529</v>
      </c>
      <c r="B530" s="8">
        <v>40567</v>
      </c>
      <c r="C530" s="7">
        <v>1</v>
      </c>
      <c r="D530" s="7">
        <v>0</v>
      </c>
      <c r="E530" s="7">
        <v>1</v>
      </c>
      <c r="F530" s="7">
        <v>4</v>
      </c>
      <c r="G530" s="7" t="b">
        <v>0</v>
      </c>
      <c r="H530" s="7">
        <v>1</v>
      </c>
      <c r="I530" s="7">
        <v>1</v>
      </c>
      <c r="J530" s="7">
        <v>0.02</v>
      </c>
      <c r="K530" s="9">
        <v>6.0600000000000001E-2</v>
      </c>
      <c r="L530" s="9">
        <v>0.48</v>
      </c>
      <c r="M530" s="9">
        <v>0.1343</v>
      </c>
      <c r="N530" s="9">
        <v>0</v>
      </c>
      <c r="O530" s="9">
        <v>1</v>
      </c>
      <c r="P530" s="9">
        <v>1</v>
      </c>
      <c r="Q530" s="7" t="str">
        <f t="shared" si="16"/>
        <v>MONDAY</v>
      </c>
      <c r="R530" t="str">
        <f t="shared" si="17"/>
        <v>Clear</v>
      </c>
    </row>
    <row r="531" spans="1:18" x14ac:dyDescent="0.25">
      <c r="A531" s="7">
        <v>530</v>
      </c>
      <c r="B531" s="8">
        <v>40567</v>
      </c>
      <c r="C531" s="7">
        <v>1</v>
      </c>
      <c r="D531" s="7">
        <v>0</v>
      </c>
      <c r="E531" s="7">
        <v>1</v>
      </c>
      <c r="F531" s="7">
        <v>5</v>
      </c>
      <c r="G531" s="7" t="b">
        <v>0</v>
      </c>
      <c r="H531" s="7">
        <v>1</v>
      </c>
      <c r="I531" s="7">
        <v>1</v>
      </c>
      <c r="J531" s="7">
        <v>0.02</v>
      </c>
      <c r="K531" s="9">
        <v>6.0600000000000001E-2</v>
      </c>
      <c r="L531" s="9">
        <v>0.48</v>
      </c>
      <c r="M531" s="9">
        <v>0.1343</v>
      </c>
      <c r="N531" s="9">
        <v>0</v>
      </c>
      <c r="O531" s="9">
        <v>5</v>
      </c>
      <c r="P531" s="9">
        <v>5</v>
      </c>
      <c r="Q531" s="7" t="str">
        <f t="shared" si="16"/>
        <v>MONDAY</v>
      </c>
      <c r="R531" t="str">
        <f t="shared" si="17"/>
        <v>Clear</v>
      </c>
    </row>
    <row r="532" spans="1:18" x14ac:dyDescent="0.25">
      <c r="A532" s="7">
        <v>531</v>
      </c>
      <c r="B532" s="8">
        <v>40567</v>
      </c>
      <c r="C532" s="7">
        <v>1</v>
      </c>
      <c r="D532" s="7">
        <v>0</v>
      </c>
      <c r="E532" s="7">
        <v>1</v>
      </c>
      <c r="F532" s="7">
        <v>6</v>
      </c>
      <c r="G532" s="7" t="b">
        <v>0</v>
      </c>
      <c r="H532" s="7">
        <v>1</v>
      </c>
      <c r="I532" s="7">
        <v>1</v>
      </c>
      <c r="J532" s="7">
        <v>0.02</v>
      </c>
      <c r="K532" s="9">
        <v>7.5800000000000006E-2</v>
      </c>
      <c r="L532" s="9">
        <v>0.48</v>
      </c>
      <c r="M532" s="9">
        <v>8.9599999999999999E-2</v>
      </c>
      <c r="N532" s="9">
        <v>0</v>
      </c>
      <c r="O532" s="9">
        <v>15</v>
      </c>
      <c r="P532" s="9">
        <v>15</v>
      </c>
      <c r="Q532" s="7" t="str">
        <f t="shared" si="16"/>
        <v>MONDAY</v>
      </c>
      <c r="R532" t="str">
        <f t="shared" si="17"/>
        <v>Clear</v>
      </c>
    </row>
    <row r="533" spans="1:18" x14ac:dyDescent="0.25">
      <c r="A533" s="7">
        <v>532</v>
      </c>
      <c r="B533" s="8">
        <v>40567</v>
      </c>
      <c r="C533" s="7">
        <v>1</v>
      </c>
      <c r="D533" s="7">
        <v>0</v>
      </c>
      <c r="E533" s="7">
        <v>1</v>
      </c>
      <c r="F533" s="7">
        <v>7</v>
      </c>
      <c r="G533" s="7" t="b">
        <v>0</v>
      </c>
      <c r="H533" s="7">
        <v>1</v>
      </c>
      <c r="I533" s="7">
        <v>1</v>
      </c>
      <c r="J533" s="7">
        <v>0.02</v>
      </c>
      <c r="K533" s="9">
        <v>0.1212</v>
      </c>
      <c r="L533" s="9">
        <v>0.48</v>
      </c>
      <c r="M533" s="9">
        <v>0</v>
      </c>
      <c r="N533" s="9">
        <v>5</v>
      </c>
      <c r="O533" s="9">
        <v>79</v>
      </c>
      <c r="P533" s="9">
        <v>84</v>
      </c>
      <c r="Q533" s="7" t="str">
        <f t="shared" si="16"/>
        <v>MONDAY</v>
      </c>
      <c r="R533" t="str">
        <f t="shared" si="17"/>
        <v>Clear</v>
      </c>
    </row>
    <row r="534" spans="1:18" x14ac:dyDescent="0.25">
      <c r="A534" s="7">
        <v>533</v>
      </c>
      <c r="B534" s="8">
        <v>40567</v>
      </c>
      <c r="C534" s="7">
        <v>1</v>
      </c>
      <c r="D534" s="7">
        <v>0</v>
      </c>
      <c r="E534" s="7">
        <v>1</v>
      </c>
      <c r="F534" s="7">
        <v>8</v>
      </c>
      <c r="G534" s="7" t="b">
        <v>0</v>
      </c>
      <c r="H534" s="7">
        <v>1</v>
      </c>
      <c r="I534" s="7">
        <v>1</v>
      </c>
      <c r="J534" s="7">
        <v>0.04</v>
      </c>
      <c r="K534" s="9">
        <v>0.13639999999999999</v>
      </c>
      <c r="L534" s="9">
        <v>0.49</v>
      </c>
      <c r="M534" s="9">
        <v>0</v>
      </c>
      <c r="N534" s="9">
        <v>6</v>
      </c>
      <c r="O534" s="9">
        <v>171</v>
      </c>
      <c r="P534" s="9">
        <v>177</v>
      </c>
      <c r="Q534" s="7" t="str">
        <f t="shared" si="16"/>
        <v>MONDAY</v>
      </c>
      <c r="R534" t="str">
        <f t="shared" si="17"/>
        <v>Clear</v>
      </c>
    </row>
    <row r="535" spans="1:18" x14ac:dyDescent="0.25">
      <c r="A535" s="7">
        <v>534</v>
      </c>
      <c r="B535" s="8">
        <v>40567</v>
      </c>
      <c r="C535" s="7">
        <v>1</v>
      </c>
      <c r="D535" s="7">
        <v>0</v>
      </c>
      <c r="E535" s="7">
        <v>1</v>
      </c>
      <c r="F535" s="7">
        <v>9</v>
      </c>
      <c r="G535" s="7" t="b">
        <v>0</v>
      </c>
      <c r="H535" s="7">
        <v>1</v>
      </c>
      <c r="I535" s="7">
        <v>1</v>
      </c>
      <c r="J535" s="7">
        <v>0.06</v>
      </c>
      <c r="K535" s="9">
        <v>0.1515</v>
      </c>
      <c r="L535" s="9">
        <v>0.41</v>
      </c>
      <c r="M535" s="9">
        <v>0</v>
      </c>
      <c r="N535" s="9">
        <v>4</v>
      </c>
      <c r="O535" s="9">
        <v>98</v>
      </c>
      <c r="P535" s="9">
        <v>102</v>
      </c>
      <c r="Q535" s="7" t="str">
        <f t="shared" si="16"/>
        <v>MONDAY</v>
      </c>
      <c r="R535" t="str">
        <f t="shared" si="17"/>
        <v>Clear</v>
      </c>
    </row>
    <row r="536" spans="1:18" x14ac:dyDescent="0.25">
      <c r="A536" s="7">
        <v>535</v>
      </c>
      <c r="B536" s="8">
        <v>40567</v>
      </c>
      <c r="C536" s="7">
        <v>1</v>
      </c>
      <c r="D536" s="7">
        <v>0</v>
      </c>
      <c r="E536" s="7">
        <v>1</v>
      </c>
      <c r="F536" s="7">
        <v>10</v>
      </c>
      <c r="G536" s="7" t="b">
        <v>0</v>
      </c>
      <c r="H536" s="7">
        <v>1</v>
      </c>
      <c r="I536" s="7">
        <v>1</v>
      </c>
      <c r="J536" s="7">
        <v>0.1</v>
      </c>
      <c r="K536" s="9">
        <v>0.13639999999999999</v>
      </c>
      <c r="L536" s="9">
        <v>0.42</v>
      </c>
      <c r="M536" s="9">
        <v>0</v>
      </c>
      <c r="N536" s="9">
        <v>6</v>
      </c>
      <c r="O536" s="9">
        <v>34</v>
      </c>
      <c r="P536" s="9">
        <v>40</v>
      </c>
      <c r="Q536" s="7" t="str">
        <f t="shared" si="16"/>
        <v>MONDAY</v>
      </c>
      <c r="R536" t="str">
        <f t="shared" si="17"/>
        <v>Clear</v>
      </c>
    </row>
    <row r="537" spans="1:18" x14ac:dyDescent="0.25">
      <c r="A537" s="7">
        <v>536</v>
      </c>
      <c r="B537" s="8">
        <v>40567</v>
      </c>
      <c r="C537" s="7">
        <v>1</v>
      </c>
      <c r="D537" s="7">
        <v>0</v>
      </c>
      <c r="E537" s="7">
        <v>1</v>
      </c>
      <c r="F537" s="7">
        <v>11</v>
      </c>
      <c r="G537" s="7" t="b">
        <v>0</v>
      </c>
      <c r="H537" s="7">
        <v>1</v>
      </c>
      <c r="I537" s="7">
        <v>1</v>
      </c>
      <c r="J537" s="7">
        <v>0.1</v>
      </c>
      <c r="K537" s="9">
        <v>0.1212</v>
      </c>
      <c r="L537" s="9">
        <v>0.46</v>
      </c>
      <c r="M537" s="9">
        <v>0.1343</v>
      </c>
      <c r="N537" s="9">
        <v>3</v>
      </c>
      <c r="O537" s="9">
        <v>43</v>
      </c>
      <c r="P537" s="9">
        <v>46</v>
      </c>
      <c r="Q537" s="7" t="str">
        <f t="shared" si="16"/>
        <v>MONDAY</v>
      </c>
      <c r="R537" t="str">
        <f t="shared" si="17"/>
        <v>Clear</v>
      </c>
    </row>
    <row r="538" spans="1:18" x14ac:dyDescent="0.25">
      <c r="A538" s="7">
        <v>537</v>
      </c>
      <c r="B538" s="8">
        <v>40567</v>
      </c>
      <c r="C538" s="7">
        <v>1</v>
      </c>
      <c r="D538" s="7">
        <v>0</v>
      </c>
      <c r="E538" s="7">
        <v>1</v>
      </c>
      <c r="F538" s="7">
        <v>12</v>
      </c>
      <c r="G538" s="7" t="b">
        <v>0</v>
      </c>
      <c r="H538" s="7">
        <v>1</v>
      </c>
      <c r="I538" s="7">
        <v>2</v>
      </c>
      <c r="J538" s="7">
        <v>0.12</v>
      </c>
      <c r="K538" s="9">
        <v>0.13639999999999999</v>
      </c>
      <c r="L538" s="9">
        <v>0.42</v>
      </c>
      <c r="M538" s="9">
        <v>0.19400000000000001</v>
      </c>
      <c r="N538" s="9">
        <v>11</v>
      </c>
      <c r="O538" s="9">
        <v>52</v>
      </c>
      <c r="P538" s="9">
        <v>63</v>
      </c>
      <c r="Q538" s="7" t="str">
        <f t="shared" si="16"/>
        <v>MONDAY</v>
      </c>
      <c r="R538" t="str">
        <f t="shared" si="17"/>
        <v>Mist</v>
      </c>
    </row>
    <row r="539" spans="1:18" x14ac:dyDescent="0.25">
      <c r="A539" s="7">
        <v>538</v>
      </c>
      <c r="B539" s="8">
        <v>40567</v>
      </c>
      <c r="C539" s="7">
        <v>1</v>
      </c>
      <c r="D539" s="7">
        <v>0</v>
      </c>
      <c r="E539" s="7">
        <v>1</v>
      </c>
      <c r="F539" s="7">
        <v>13</v>
      </c>
      <c r="G539" s="7" t="b">
        <v>0</v>
      </c>
      <c r="H539" s="7">
        <v>1</v>
      </c>
      <c r="I539" s="7">
        <v>2</v>
      </c>
      <c r="J539" s="7">
        <v>0.14000000000000001</v>
      </c>
      <c r="K539" s="9">
        <v>0.13639999999999999</v>
      </c>
      <c r="L539" s="9">
        <v>0.43</v>
      </c>
      <c r="M539" s="9">
        <v>0.22389999999999999</v>
      </c>
      <c r="N539" s="9">
        <v>6</v>
      </c>
      <c r="O539" s="9">
        <v>54</v>
      </c>
      <c r="P539" s="9">
        <v>60</v>
      </c>
      <c r="Q539" s="7" t="str">
        <f t="shared" si="16"/>
        <v>MONDAY</v>
      </c>
      <c r="R539" t="str">
        <f t="shared" si="17"/>
        <v>Mist</v>
      </c>
    </row>
    <row r="540" spans="1:18" x14ac:dyDescent="0.25">
      <c r="A540" s="7">
        <v>539</v>
      </c>
      <c r="B540" s="8">
        <v>40567</v>
      </c>
      <c r="C540" s="7">
        <v>1</v>
      </c>
      <c r="D540" s="7">
        <v>0</v>
      </c>
      <c r="E540" s="7">
        <v>1</v>
      </c>
      <c r="F540" s="7">
        <v>14</v>
      </c>
      <c r="G540" s="7" t="b">
        <v>0</v>
      </c>
      <c r="H540" s="7">
        <v>1</v>
      </c>
      <c r="I540" s="7">
        <v>2</v>
      </c>
      <c r="J540" s="7">
        <v>0.14000000000000001</v>
      </c>
      <c r="K540" s="9">
        <v>0.13639999999999999</v>
      </c>
      <c r="L540" s="9">
        <v>0.46</v>
      </c>
      <c r="M540" s="9">
        <v>0.22389999999999999</v>
      </c>
      <c r="N540" s="9">
        <v>2</v>
      </c>
      <c r="O540" s="9">
        <v>43</v>
      </c>
      <c r="P540" s="9">
        <v>45</v>
      </c>
      <c r="Q540" s="7" t="str">
        <f t="shared" si="16"/>
        <v>MONDAY</v>
      </c>
      <c r="R540" t="str">
        <f t="shared" si="17"/>
        <v>Mist</v>
      </c>
    </row>
    <row r="541" spans="1:18" x14ac:dyDescent="0.25">
      <c r="A541" s="7">
        <v>540</v>
      </c>
      <c r="B541" s="8">
        <v>40567</v>
      </c>
      <c r="C541" s="7">
        <v>1</v>
      </c>
      <c r="D541" s="7">
        <v>0</v>
      </c>
      <c r="E541" s="7">
        <v>1</v>
      </c>
      <c r="F541" s="7">
        <v>15</v>
      </c>
      <c r="G541" s="7" t="b">
        <v>0</v>
      </c>
      <c r="H541" s="7">
        <v>1</v>
      </c>
      <c r="I541" s="7">
        <v>1</v>
      </c>
      <c r="J541" s="7">
        <v>0.16</v>
      </c>
      <c r="K541" s="9">
        <v>0.16669999999999999</v>
      </c>
      <c r="L541" s="9">
        <v>0.4</v>
      </c>
      <c r="M541" s="9">
        <v>0.16420000000000001</v>
      </c>
      <c r="N541" s="9">
        <v>7</v>
      </c>
      <c r="O541" s="9">
        <v>50</v>
      </c>
      <c r="P541" s="9">
        <v>57</v>
      </c>
      <c r="Q541" s="7" t="str">
        <f t="shared" si="16"/>
        <v>MONDAY</v>
      </c>
      <c r="R541" t="str">
        <f t="shared" si="17"/>
        <v>Clear</v>
      </c>
    </row>
    <row r="542" spans="1:18" x14ac:dyDescent="0.25">
      <c r="A542" s="7">
        <v>541</v>
      </c>
      <c r="B542" s="8">
        <v>40567</v>
      </c>
      <c r="C542" s="7">
        <v>1</v>
      </c>
      <c r="D542" s="7">
        <v>0</v>
      </c>
      <c r="E542" s="7">
        <v>1</v>
      </c>
      <c r="F542" s="7">
        <v>16</v>
      </c>
      <c r="G542" s="7" t="b">
        <v>0</v>
      </c>
      <c r="H542" s="7">
        <v>1</v>
      </c>
      <c r="I542" s="7">
        <v>1</v>
      </c>
      <c r="J542" s="7">
        <v>0.16</v>
      </c>
      <c r="K542" s="9">
        <v>0.1515</v>
      </c>
      <c r="L542" s="9">
        <v>0.47</v>
      </c>
      <c r="M542" s="9">
        <v>0.25369999999999998</v>
      </c>
      <c r="N542" s="9">
        <v>4</v>
      </c>
      <c r="O542" s="9">
        <v>66</v>
      </c>
      <c r="P542" s="9">
        <v>70</v>
      </c>
      <c r="Q542" s="7" t="str">
        <f t="shared" si="16"/>
        <v>MONDAY</v>
      </c>
      <c r="R542" t="str">
        <f t="shared" si="17"/>
        <v>Clear</v>
      </c>
    </row>
    <row r="543" spans="1:18" x14ac:dyDescent="0.25">
      <c r="A543" s="7">
        <v>542</v>
      </c>
      <c r="B543" s="8">
        <v>40567</v>
      </c>
      <c r="C543" s="7">
        <v>1</v>
      </c>
      <c r="D543" s="7">
        <v>0</v>
      </c>
      <c r="E543" s="7">
        <v>1</v>
      </c>
      <c r="F543" s="7">
        <v>17</v>
      </c>
      <c r="G543" s="7" t="b">
        <v>0</v>
      </c>
      <c r="H543" s="7">
        <v>1</v>
      </c>
      <c r="I543" s="7">
        <v>1</v>
      </c>
      <c r="J543" s="7">
        <v>0.14000000000000001</v>
      </c>
      <c r="K543" s="9">
        <v>0.1212</v>
      </c>
      <c r="L543" s="9">
        <v>0.5</v>
      </c>
      <c r="M543" s="9">
        <v>0.25369999999999998</v>
      </c>
      <c r="N543" s="9">
        <v>6</v>
      </c>
      <c r="O543" s="9">
        <v>178</v>
      </c>
      <c r="P543" s="9">
        <v>184</v>
      </c>
      <c r="Q543" s="7" t="str">
        <f t="shared" si="16"/>
        <v>MONDAY</v>
      </c>
      <c r="R543" t="str">
        <f t="shared" si="17"/>
        <v>Clear</v>
      </c>
    </row>
    <row r="544" spans="1:18" x14ac:dyDescent="0.25">
      <c r="A544" s="7">
        <v>543</v>
      </c>
      <c r="B544" s="8">
        <v>40567</v>
      </c>
      <c r="C544" s="7">
        <v>1</v>
      </c>
      <c r="D544" s="7">
        <v>0</v>
      </c>
      <c r="E544" s="7">
        <v>1</v>
      </c>
      <c r="F544" s="7">
        <v>18</v>
      </c>
      <c r="G544" s="7" t="b">
        <v>0</v>
      </c>
      <c r="H544" s="7">
        <v>1</v>
      </c>
      <c r="I544" s="7">
        <v>1</v>
      </c>
      <c r="J544" s="7">
        <v>0.14000000000000001</v>
      </c>
      <c r="K544" s="9">
        <v>0.13639999999999999</v>
      </c>
      <c r="L544" s="9">
        <v>0.59</v>
      </c>
      <c r="M544" s="9">
        <v>0.19400000000000001</v>
      </c>
      <c r="N544" s="9">
        <v>8</v>
      </c>
      <c r="O544" s="9">
        <v>145</v>
      </c>
      <c r="P544" s="9">
        <v>153</v>
      </c>
      <c r="Q544" s="7" t="str">
        <f t="shared" si="16"/>
        <v>MONDAY</v>
      </c>
      <c r="R544" t="str">
        <f t="shared" si="17"/>
        <v>Clear</v>
      </c>
    </row>
    <row r="545" spans="1:18" x14ac:dyDescent="0.25">
      <c r="A545" s="7">
        <v>544</v>
      </c>
      <c r="B545" s="8">
        <v>40567</v>
      </c>
      <c r="C545" s="7">
        <v>1</v>
      </c>
      <c r="D545" s="7">
        <v>0</v>
      </c>
      <c r="E545" s="7">
        <v>1</v>
      </c>
      <c r="F545" s="7">
        <v>19</v>
      </c>
      <c r="G545" s="7" t="b">
        <v>0</v>
      </c>
      <c r="H545" s="7">
        <v>1</v>
      </c>
      <c r="I545" s="7">
        <v>1</v>
      </c>
      <c r="J545" s="7">
        <v>0.14000000000000001</v>
      </c>
      <c r="K545" s="9">
        <v>0.1515</v>
      </c>
      <c r="L545" s="9">
        <v>0.54</v>
      </c>
      <c r="M545" s="9">
        <v>0.16420000000000001</v>
      </c>
      <c r="N545" s="9">
        <v>5</v>
      </c>
      <c r="O545" s="9">
        <v>101</v>
      </c>
      <c r="P545" s="9">
        <v>106</v>
      </c>
      <c r="Q545" s="7" t="str">
        <f t="shared" si="16"/>
        <v>MONDAY</v>
      </c>
      <c r="R545" t="str">
        <f t="shared" si="17"/>
        <v>Clear</v>
      </c>
    </row>
    <row r="546" spans="1:18" x14ac:dyDescent="0.25">
      <c r="A546" s="7">
        <v>545</v>
      </c>
      <c r="B546" s="8">
        <v>40567</v>
      </c>
      <c r="C546" s="7">
        <v>1</v>
      </c>
      <c r="D546" s="7">
        <v>0</v>
      </c>
      <c r="E546" s="7">
        <v>1</v>
      </c>
      <c r="F546" s="7">
        <v>20</v>
      </c>
      <c r="G546" s="7" t="b">
        <v>0</v>
      </c>
      <c r="H546" s="7">
        <v>1</v>
      </c>
      <c r="I546" s="7">
        <v>1</v>
      </c>
      <c r="J546" s="7">
        <v>0.14000000000000001</v>
      </c>
      <c r="K546" s="9">
        <v>0.13639999999999999</v>
      </c>
      <c r="L546" s="9">
        <v>0.59</v>
      </c>
      <c r="M546" s="9">
        <v>0.19400000000000001</v>
      </c>
      <c r="N546" s="9">
        <v>1</v>
      </c>
      <c r="O546" s="9">
        <v>80</v>
      </c>
      <c r="P546" s="9">
        <v>81</v>
      </c>
      <c r="Q546" s="7" t="str">
        <f t="shared" si="16"/>
        <v>MONDAY</v>
      </c>
      <c r="R546" t="str">
        <f t="shared" si="17"/>
        <v>Clear</v>
      </c>
    </row>
    <row r="547" spans="1:18" x14ac:dyDescent="0.25">
      <c r="A547" s="7">
        <v>546</v>
      </c>
      <c r="B547" s="8">
        <v>40567</v>
      </c>
      <c r="C547" s="7">
        <v>1</v>
      </c>
      <c r="D547" s="7">
        <v>0</v>
      </c>
      <c r="E547" s="7">
        <v>1</v>
      </c>
      <c r="F547" s="7">
        <v>21</v>
      </c>
      <c r="G547" s="7" t="b">
        <v>0</v>
      </c>
      <c r="H547" s="7">
        <v>1</v>
      </c>
      <c r="I547" s="7">
        <v>1</v>
      </c>
      <c r="J547" s="7">
        <v>0.14000000000000001</v>
      </c>
      <c r="K547" s="9">
        <v>0.1515</v>
      </c>
      <c r="L547" s="9">
        <v>0.63</v>
      </c>
      <c r="M547" s="9">
        <v>0.16420000000000001</v>
      </c>
      <c r="N547" s="9">
        <v>6</v>
      </c>
      <c r="O547" s="9">
        <v>53</v>
      </c>
      <c r="P547" s="9">
        <v>59</v>
      </c>
      <c r="Q547" s="7" t="str">
        <f t="shared" si="16"/>
        <v>MONDAY</v>
      </c>
      <c r="R547" t="str">
        <f t="shared" si="17"/>
        <v>Clear</v>
      </c>
    </row>
    <row r="548" spans="1:18" x14ac:dyDescent="0.25">
      <c r="A548" s="7">
        <v>547</v>
      </c>
      <c r="B548" s="8">
        <v>40567</v>
      </c>
      <c r="C548" s="7">
        <v>1</v>
      </c>
      <c r="D548" s="7">
        <v>0</v>
      </c>
      <c r="E548" s="7">
        <v>1</v>
      </c>
      <c r="F548" s="7">
        <v>22</v>
      </c>
      <c r="G548" s="7" t="b">
        <v>0</v>
      </c>
      <c r="H548" s="7">
        <v>1</v>
      </c>
      <c r="I548" s="7">
        <v>2</v>
      </c>
      <c r="J548" s="7">
        <v>0.14000000000000001</v>
      </c>
      <c r="K548" s="9">
        <v>0.13639999999999999</v>
      </c>
      <c r="L548" s="9">
        <v>0.63</v>
      </c>
      <c r="M548" s="9">
        <v>0.22389999999999999</v>
      </c>
      <c r="N548" s="9">
        <v>3</v>
      </c>
      <c r="O548" s="9">
        <v>32</v>
      </c>
      <c r="P548" s="9">
        <v>35</v>
      </c>
      <c r="Q548" s="7" t="str">
        <f t="shared" si="16"/>
        <v>MONDAY</v>
      </c>
      <c r="R548" t="str">
        <f t="shared" si="17"/>
        <v>Mist</v>
      </c>
    </row>
    <row r="549" spans="1:18" x14ac:dyDescent="0.25">
      <c r="A549" s="7">
        <v>548</v>
      </c>
      <c r="B549" s="8">
        <v>40567</v>
      </c>
      <c r="C549" s="7">
        <v>1</v>
      </c>
      <c r="D549" s="7">
        <v>0</v>
      </c>
      <c r="E549" s="7">
        <v>1</v>
      </c>
      <c r="F549" s="7">
        <v>23</v>
      </c>
      <c r="G549" s="7" t="b">
        <v>0</v>
      </c>
      <c r="H549" s="7">
        <v>1</v>
      </c>
      <c r="I549" s="7">
        <v>2</v>
      </c>
      <c r="J549" s="7">
        <v>0.16</v>
      </c>
      <c r="K549" s="9">
        <v>0.1515</v>
      </c>
      <c r="L549" s="9">
        <v>0.64</v>
      </c>
      <c r="M549" s="9">
        <v>0.25369999999999998</v>
      </c>
      <c r="N549" s="9">
        <v>3</v>
      </c>
      <c r="O549" s="9">
        <v>21</v>
      </c>
      <c r="P549" s="9">
        <v>24</v>
      </c>
      <c r="Q549" s="7" t="str">
        <f t="shared" si="16"/>
        <v>MONDAY</v>
      </c>
      <c r="R549" t="str">
        <f t="shared" si="17"/>
        <v>Mist</v>
      </c>
    </row>
    <row r="550" spans="1:18" x14ac:dyDescent="0.25">
      <c r="A550" s="7">
        <v>549</v>
      </c>
      <c r="B550" s="8">
        <v>40568</v>
      </c>
      <c r="C550" s="7">
        <v>1</v>
      </c>
      <c r="D550" s="7">
        <v>0</v>
      </c>
      <c r="E550" s="7">
        <v>1</v>
      </c>
      <c r="F550" s="7">
        <v>0</v>
      </c>
      <c r="G550" s="7" t="b">
        <v>0</v>
      </c>
      <c r="H550" s="7">
        <v>2</v>
      </c>
      <c r="I550" s="7">
        <v>2</v>
      </c>
      <c r="J550" s="7">
        <v>0.16</v>
      </c>
      <c r="K550" s="9">
        <v>0.13639999999999999</v>
      </c>
      <c r="L550" s="9">
        <v>0.69</v>
      </c>
      <c r="M550" s="9">
        <v>0.28360000000000002</v>
      </c>
      <c r="N550" s="9">
        <v>3</v>
      </c>
      <c r="O550" s="9">
        <v>6</v>
      </c>
      <c r="P550" s="9">
        <v>9</v>
      </c>
      <c r="Q550" s="7" t="str">
        <f t="shared" si="16"/>
        <v>TUESDAY</v>
      </c>
      <c r="R550" t="str">
        <f t="shared" si="17"/>
        <v>Mist</v>
      </c>
    </row>
    <row r="551" spans="1:18" x14ac:dyDescent="0.25">
      <c r="A551" s="7">
        <v>550</v>
      </c>
      <c r="B551" s="8">
        <v>40568</v>
      </c>
      <c r="C551" s="7">
        <v>1</v>
      </c>
      <c r="D551" s="7">
        <v>0</v>
      </c>
      <c r="E551" s="7">
        <v>1</v>
      </c>
      <c r="F551" s="7">
        <v>1</v>
      </c>
      <c r="G551" s="7" t="b">
        <v>0</v>
      </c>
      <c r="H551" s="7">
        <v>2</v>
      </c>
      <c r="I551" s="7">
        <v>2</v>
      </c>
      <c r="J551" s="7">
        <v>0.16</v>
      </c>
      <c r="K551" s="9">
        <v>0.16669999999999999</v>
      </c>
      <c r="L551" s="9">
        <v>0.69</v>
      </c>
      <c r="M551" s="9">
        <v>0.16420000000000001</v>
      </c>
      <c r="N551" s="9">
        <v>0</v>
      </c>
      <c r="O551" s="9">
        <v>5</v>
      </c>
      <c r="P551" s="9">
        <v>5</v>
      </c>
      <c r="Q551" s="7" t="str">
        <f t="shared" si="16"/>
        <v>TUESDAY</v>
      </c>
      <c r="R551" t="str">
        <f t="shared" si="17"/>
        <v>Mist</v>
      </c>
    </row>
    <row r="552" spans="1:18" x14ac:dyDescent="0.25">
      <c r="A552" s="7">
        <v>551</v>
      </c>
      <c r="B552" s="8">
        <v>40568</v>
      </c>
      <c r="C552" s="7">
        <v>1</v>
      </c>
      <c r="D552" s="7">
        <v>0</v>
      </c>
      <c r="E552" s="7">
        <v>1</v>
      </c>
      <c r="F552" s="7">
        <v>2</v>
      </c>
      <c r="G552" s="7" t="b">
        <v>0</v>
      </c>
      <c r="H552" s="7">
        <v>2</v>
      </c>
      <c r="I552" s="7">
        <v>1</v>
      </c>
      <c r="J552" s="7">
        <v>0.16</v>
      </c>
      <c r="K552" s="9">
        <v>0.1515</v>
      </c>
      <c r="L552" s="9">
        <v>0.69</v>
      </c>
      <c r="M552" s="9">
        <v>0.22389999999999999</v>
      </c>
      <c r="N552" s="9">
        <v>0</v>
      </c>
      <c r="O552" s="9">
        <v>2</v>
      </c>
      <c r="P552" s="9">
        <v>2</v>
      </c>
      <c r="Q552" s="7" t="str">
        <f t="shared" si="16"/>
        <v>TUESDAY</v>
      </c>
      <c r="R552" t="str">
        <f t="shared" si="17"/>
        <v>Clear</v>
      </c>
    </row>
    <row r="553" spans="1:18" x14ac:dyDescent="0.25">
      <c r="A553" s="7">
        <v>552</v>
      </c>
      <c r="B553" s="8">
        <v>40568</v>
      </c>
      <c r="C553" s="7">
        <v>1</v>
      </c>
      <c r="D553" s="7">
        <v>0</v>
      </c>
      <c r="E553" s="7">
        <v>1</v>
      </c>
      <c r="F553" s="7">
        <v>4</v>
      </c>
      <c r="G553" s="7" t="b">
        <v>0</v>
      </c>
      <c r="H553" s="7">
        <v>2</v>
      </c>
      <c r="I553" s="7">
        <v>1</v>
      </c>
      <c r="J553" s="7">
        <v>0.14000000000000001</v>
      </c>
      <c r="K553" s="9">
        <v>0.16669999999999999</v>
      </c>
      <c r="L553" s="9">
        <v>0.74</v>
      </c>
      <c r="M553" s="9">
        <v>0.1045</v>
      </c>
      <c r="N553" s="9">
        <v>0</v>
      </c>
      <c r="O553" s="9">
        <v>1</v>
      </c>
      <c r="P553" s="9">
        <v>1</v>
      </c>
      <c r="Q553" s="7" t="str">
        <f t="shared" si="16"/>
        <v>TUESDAY</v>
      </c>
      <c r="R553" t="str">
        <f t="shared" si="17"/>
        <v>Clear</v>
      </c>
    </row>
    <row r="554" spans="1:18" x14ac:dyDescent="0.25">
      <c r="A554" s="7">
        <v>553</v>
      </c>
      <c r="B554" s="8">
        <v>40568</v>
      </c>
      <c r="C554" s="7">
        <v>1</v>
      </c>
      <c r="D554" s="7">
        <v>0</v>
      </c>
      <c r="E554" s="7">
        <v>1</v>
      </c>
      <c r="F554" s="7">
        <v>5</v>
      </c>
      <c r="G554" s="7" t="b">
        <v>0</v>
      </c>
      <c r="H554" s="7">
        <v>2</v>
      </c>
      <c r="I554" s="7">
        <v>1</v>
      </c>
      <c r="J554" s="7">
        <v>0.14000000000000001</v>
      </c>
      <c r="K554" s="9">
        <v>0.13639999999999999</v>
      </c>
      <c r="L554" s="9">
        <v>0.74</v>
      </c>
      <c r="M554" s="9">
        <v>0.22389999999999999</v>
      </c>
      <c r="N554" s="9">
        <v>0</v>
      </c>
      <c r="O554" s="9">
        <v>9</v>
      </c>
      <c r="P554" s="9">
        <v>9</v>
      </c>
      <c r="Q554" s="7" t="str">
        <f t="shared" si="16"/>
        <v>TUESDAY</v>
      </c>
      <c r="R554" t="str">
        <f t="shared" si="17"/>
        <v>Clear</v>
      </c>
    </row>
    <row r="555" spans="1:18" x14ac:dyDescent="0.25">
      <c r="A555" s="7">
        <v>554</v>
      </c>
      <c r="B555" s="8">
        <v>40568</v>
      </c>
      <c r="C555" s="7">
        <v>1</v>
      </c>
      <c r="D555" s="7">
        <v>0</v>
      </c>
      <c r="E555" s="7">
        <v>1</v>
      </c>
      <c r="F555" s="7">
        <v>6</v>
      </c>
      <c r="G555" s="7" t="b">
        <v>0</v>
      </c>
      <c r="H555" s="7">
        <v>2</v>
      </c>
      <c r="I555" s="7">
        <v>1</v>
      </c>
      <c r="J555" s="7">
        <v>0.16</v>
      </c>
      <c r="K555" s="9">
        <v>0.18179999999999999</v>
      </c>
      <c r="L555" s="9">
        <v>0.74</v>
      </c>
      <c r="M555" s="9">
        <v>0.1045</v>
      </c>
      <c r="N555" s="9">
        <v>1</v>
      </c>
      <c r="O555" s="9">
        <v>35</v>
      </c>
      <c r="P555" s="9">
        <v>36</v>
      </c>
      <c r="Q555" s="7" t="str">
        <f t="shared" si="16"/>
        <v>TUESDAY</v>
      </c>
      <c r="R555" t="str">
        <f t="shared" si="17"/>
        <v>Clear</v>
      </c>
    </row>
    <row r="556" spans="1:18" x14ac:dyDescent="0.25">
      <c r="A556" s="7">
        <v>555</v>
      </c>
      <c r="B556" s="8">
        <v>40568</v>
      </c>
      <c r="C556" s="7">
        <v>1</v>
      </c>
      <c r="D556" s="7">
        <v>0</v>
      </c>
      <c r="E556" s="7">
        <v>1</v>
      </c>
      <c r="F556" s="7">
        <v>7</v>
      </c>
      <c r="G556" s="7" t="b">
        <v>0</v>
      </c>
      <c r="H556" s="7">
        <v>2</v>
      </c>
      <c r="I556" s="7">
        <v>1</v>
      </c>
      <c r="J556" s="7">
        <v>0.16</v>
      </c>
      <c r="K556" s="9">
        <v>0.1515</v>
      </c>
      <c r="L556" s="9">
        <v>0.74</v>
      </c>
      <c r="M556" s="9">
        <v>0.22389999999999999</v>
      </c>
      <c r="N556" s="9">
        <v>5</v>
      </c>
      <c r="O556" s="9">
        <v>103</v>
      </c>
      <c r="P556" s="9">
        <v>108</v>
      </c>
      <c r="Q556" s="7" t="str">
        <f t="shared" si="16"/>
        <v>TUESDAY</v>
      </c>
      <c r="R556" t="str">
        <f t="shared" si="17"/>
        <v>Clear</v>
      </c>
    </row>
    <row r="557" spans="1:18" x14ac:dyDescent="0.25">
      <c r="A557" s="7">
        <v>556</v>
      </c>
      <c r="B557" s="8">
        <v>40568</v>
      </c>
      <c r="C557" s="7">
        <v>1</v>
      </c>
      <c r="D557" s="7">
        <v>0</v>
      </c>
      <c r="E557" s="7">
        <v>1</v>
      </c>
      <c r="F557" s="7">
        <v>8</v>
      </c>
      <c r="G557" s="7" t="b">
        <v>0</v>
      </c>
      <c r="H557" s="7">
        <v>2</v>
      </c>
      <c r="I557" s="7">
        <v>2</v>
      </c>
      <c r="J557" s="7">
        <v>0.16</v>
      </c>
      <c r="K557" s="9">
        <v>0.18179999999999999</v>
      </c>
      <c r="L557" s="9">
        <v>0.74</v>
      </c>
      <c r="M557" s="9">
        <v>0.1343</v>
      </c>
      <c r="N557" s="9">
        <v>5</v>
      </c>
      <c r="O557" s="9">
        <v>233</v>
      </c>
      <c r="P557" s="9">
        <v>238</v>
      </c>
      <c r="Q557" s="7" t="str">
        <f t="shared" si="16"/>
        <v>TUESDAY</v>
      </c>
      <c r="R557" t="str">
        <f t="shared" si="17"/>
        <v>Mist</v>
      </c>
    </row>
    <row r="558" spans="1:18" x14ac:dyDescent="0.25">
      <c r="A558" s="7">
        <v>557</v>
      </c>
      <c r="B558" s="8">
        <v>40568</v>
      </c>
      <c r="C558" s="7">
        <v>1</v>
      </c>
      <c r="D558" s="7">
        <v>0</v>
      </c>
      <c r="E558" s="7">
        <v>1</v>
      </c>
      <c r="F558" s="7">
        <v>9</v>
      </c>
      <c r="G558" s="7" t="b">
        <v>0</v>
      </c>
      <c r="H558" s="7">
        <v>2</v>
      </c>
      <c r="I558" s="7">
        <v>2</v>
      </c>
      <c r="J558" s="7">
        <v>0.2</v>
      </c>
      <c r="K558" s="9">
        <v>0.2273</v>
      </c>
      <c r="L558" s="9">
        <v>0.64</v>
      </c>
      <c r="M558" s="9">
        <v>8.9599999999999999E-2</v>
      </c>
      <c r="N558" s="9">
        <v>10</v>
      </c>
      <c r="O558" s="9">
        <v>134</v>
      </c>
      <c r="P558" s="9">
        <v>144</v>
      </c>
      <c r="Q558" s="7" t="str">
        <f t="shared" si="16"/>
        <v>TUESDAY</v>
      </c>
      <c r="R558" t="str">
        <f t="shared" si="17"/>
        <v>Mist</v>
      </c>
    </row>
    <row r="559" spans="1:18" x14ac:dyDescent="0.25">
      <c r="A559" s="7">
        <v>558</v>
      </c>
      <c r="B559" s="8">
        <v>40568</v>
      </c>
      <c r="C559" s="7">
        <v>1</v>
      </c>
      <c r="D559" s="7">
        <v>0</v>
      </c>
      <c r="E559" s="7">
        <v>1</v>
      </c>
      <c r="F559" s="7">
        <v>10</v>
      </c>
      <c r="G559" s="7" t="b">
        <v>0</v>
      </c>
      <c r="H559" s="7">
        <v>2</v>
      </c>
      <c r="I559" s="7">
        <v>2</v>
      </c>
      <c r="J559" s="7">
        <v>0.22</v>
      </c>
      <c r="K559" s="9">
        <v>0.2424</v>
      </c>
      <c r="L559" s="9">
        <v>0.6</v>
      </c>
      <c r="M559" s="9">
        <v>0.1045</v>
      </c>
      <c r="N559" s="9">
        <v>6</v>
      </c>
      <c r="O559" s="9">
        <v>49</v>
      </c>
      <c r="P559" s="9">
        <v>55</v>
      </c>
      <c r="Q559" s="7" t="str">
        <f t="shared" si="16"/>
        <v>TUESDAY</v>
      </c>
      <c r="R559" t="str">
        <f t="shared" si="17"/>
        <v>Mist</v>
      </c>
    </row>
    <row r="560" spans="1:18" x14ac:dyDescent="0.25">
      <c r="A560" s="7">
        <v>559</v>
      </c>
      <c r="B560" s="8">
        <v>40568</v>
      </c>
      <c r="C560" s="7">
        <v>1</v>
      </c>
      <c r="D560" s="7">
        <v>0</v>
      </c>
      <c r="E560" s="7">
        <v>1</v>
      </c>
      <c r="F560" s="7">
        <v>11</v>
      </c>
      <c r="G560" s="7" t="b">
        <v>0</v>
      </c>
      <c r="H560" s="7">
        <v>2</v>
      </c>
      <c r="I560" s="7">
        <v>2</v>
      </c>
      <c r="J560" s="7">
        <v>0.24</v>
      </c>
      <c r="K560" s="9">
        <v>0.2424</v>
      </c>
      <c r="L560" s="9">
        <v>0.6</v>
      </c>
      <c r="M560" s="9">
        <v>0.1343</v>
      </c>
      <c r="N560" s="9">
        <v>6</v>
      </c>
      <c r="O560" s="9">
        <v>55</v>
      </c>
      <c r="P560" s="9">
        <v>61</v>
      </c>
      <c r="Q560" s="7" t="str">
        <f t="shared" si="16"/>
        <v>TUESDAY</v>
      </c>
      <c r="R560" t="str">
        <f t="shared" si="17"/>
        <v>Mist</v>
      </c>
    </row>
    <row r="561" spans="1:18" x14ac:dyDescent="0.25">
      <c r="A561" s="7">
        <v>560</v>
      </c>
      <c r="B561" s="8">
        <v>40568</v>
      </c>
      <c r="C561" s="7">
        <v>1</v>
      </c>
      <c r="D561" s="7">
        <v>0</v>
      </c>
      <c r="E561" s="7">
        <v>1</v>
      </c>
      <c r="F561" s="7">
        <v>12</v>
      </c>
      <c r="G561" s="7" t="b">
        <v>0</v>
      </c>
      <c r="H561" s="7">
        <v>2</v>
      </c>
      <c r="I561" s="7">
        <v>2</v>
      </c>
      <c r="J561" s="7">
        <v>0.26</v>
      </c>
      <c r="K561" s="9">
        <v>0.28789999999999999</v>
      </c>
      <c r="L561" s="9">
        <v>0.56000000000000005</v>
      </c>
      <c r="M561" s="9">
        <v>8.9599999999999999E-2</v>
      </c>
      <c r="N561" s="9">
        <v>21</v>
      </c>
      <c r="O561" s="9">
        <v>85</v>
      </c>
      <c r="P561" s="9">
        <v>106</v>
      </c>
      <c r="Q561" s="7" t="str">
        <f t="shared" si="16"/>
        <v>TUESDAY</v>
      </c>
      <c r="R561" t="str">
        <f t="shared" si="17"/>
        <v>Mist</v>
      </c>
    </row>
    <row r="562" spans="1:18" x14ac:dyDescent="0.25">
      <c r="A562" s="7">
        <v>561</v>
      </c>
      <c r="B562" s="8">
        <v>40568</v>
      </c>
      <c r="C562" s="7">
        <v>1</v>
      </c>
      <c r="D562" s="7">
        <v>0</v>
      </c>
      <c r="E562" s="7">
        <v>1</v>
      </c>
      <c r="F562" s="7">
        <v>13</v>
      </c>
      <c r="G562" s="7" t="b">
        <v>0</v>
      </c>
      <c r="H562" s="7">
        <v>2</v>
      </c>
      <c r="I562" s="7">
        <v>2</v>
      </c>
      <c r="J562" s="7">
        <v>0.26</v>
      </c>
      <c r="K562" s="9">
        <v>0.2727</v>
      </c>
      <c r="L562" s="9">
        <v>0.56000000000000005</v>
      </c>
      <c r="M562" s="9">
        <v>0.1343</v>
      </c>
      <c r="N562" s="9">
        <v>21</v>
      </c>
      <c r="O562" s="9">
        <v>72</v>
      </c>
      <c r="P562" s="9">
        <v>93</v>
      </c>
      <c r="Q562" s="7" t="str">
        <f t="shared" si="16"/>
        <v>TUESDAY</v>
      </c>
      <c r="R562" t="str">
        <f t="shared" si="17"/>
        <v>Mist</v>
      </c>
    </row>
    <row r="563" spans="1:18" x14ac:dyDescent="0.25">
      <c r="A563" s="7">
        <v>562</v>
      </c>
      <c r="B563" s="8">
        <v>40568</v>
      </c>
      <c r="C563" s="7">
        <v>1</v>
      </c>
      <c r="D563" s="7">
        <v>0</v>
      </c>
      <c r="E563" s="7">
        <v>1</v>
      </c>
      <c r="F563" s="7">
        <v>14</v>
      </c>
      <c r="G563" s="7" t="b">
        <v>0</v>
      </c>
      <c r="H563" s="7">
        <v>2</v>
      </c>
      <c r="I563" s="7">
        <v>2</v>
      </c>
      <c r="J563" s="7">
        <v>0.3</v>
      </c>
      <c r="K563" s="9">
        <v>0.33329999999999999</v>
      </c>
      <c r="L563" s="9">
        <v>0.45</v>
      </c>
      <c r="M563" s="9">
        <v>0</v>
      </c>
      <c r="N563" s="9">
        <v>11</v>
      </c>
      <c r="O563" s="9">
        <v>57</v>
      </c>
      <c r="P563" s="9">
        <v>68</v>
      </c>
      <c r="Q563" s="7" t="str">
        <f t="shared" si="16"/>
        <v>TUESDAY</v>
      </c>
      <c r="R563" t="str">
        <f t="shared" si="17"/>
        <v>Mist</v>
      </c>
    </row>
    <row r="564" spans="1:18" x14ac:dyDescent="0.25">
      <c r="A564" s="7">
        <v>563</v>
      </c>
      <c r="B564" s="8">
        <v>40568</v>
      </c>
      <c r="C564" s="7">
        <v>1</v>
      </c>
      <c r="D564" s="7">
        <v>0</v>
      </c>
      <c r="E564" s="7">
        <v>1</v>
      </c>
      <c r="F564" s="7">
        <v>15</v>
      </c>
      <c r="G564" s="7" t="b">
        <v>0</v>
      </c>
      <c r="H564" s="7">
        <v>2</v>
      </c>
      <c r="I564" s="7">
        <v>2</v>
      </c>
      <c r="J564" s="7">
        <v>0.32</v>
      </c>
      <c r="K564" s="9">
        <v>0.34849999999999998</v>
      </c>
      <c r="L564" s="9">
        <v>0.42</v>
      </c>
      <c r="M564" s="9">
        <v>0</v>
      </c>
      <c r="N564" s="9">
        <v>21</v>
      </c>
      <c r="O564" s="9">
        <v>63</v>
      </c>
      <c r="P564" s="9">
        <v>84</v>
      </c>
      <c r="Q564" s="7" t="str">
        <f t="shared" si="16"/>
        <v>TUESDAY</v>
      </c>
      <c r="R564" t="str">
        <f t="shared" si="17"/>
        <v>Mist</v>
      </c>
    </row>
    <row r="565" spans="1:18" x14ac:dyDescent="0.25">
      <c r="A565" s="7">
        <v>564</v>
      </c>
      <c r="B565" s="8">
        <v>40568</v>
      </c>
      <c r="C565" s="7">
        <v>1</v>
      </c>
      <c r="D565" s="7">
        <v>0</v>
      </c>
      <c r="E565" s="7">
        <v>1</v>
      </c>
      <c r="F565" s="7">
        <v>16</v>
      </c>
      <c r="G565" s="7" t="b">
        <v>0</v>
      </c>
      <c r="H565" s="7">
        <v>2</v>
      </c>
      <c r="I565" s="7">
        <v>2</v>
      </c>
      <c r="J565" s="7">
        <v>0.32</v>
      </c>
      <c r="K565" s="9">
        <v>0.34849999999999998</v>
      </c>
      <c r="L565" s="9">
        <v>0.42</v>
      </c>
      <c r="M565" s="9">
        <v>0</v>
      </c>
      <c r="N565" s="9">
        <v>14</v>
      </c>
      <c r="O565" s="9">
        <v>102</v>
      </c>
      <c r="P565" s="9">
        <v>116</v>
      </c>
      <c r="Q565" s="7" t="str">
        <f t="shared" si="16"/>
        <v>TUESDAY</v>
      </c>
      <c r="R565" t="str">
        <f t="shared" si="17"/>
        <v>Mist</v>
      </c>
    </row>
    <row r="566" spans="1:18" x14ac:dyDescent="0.25">
      <c r="A566" s="7">
        <v>565</v>
      </c>
      <c r="B566" s="8">
        <v>40568</v>
      </c>
      <c r="C566" s="7">
        <v>1</v>
      </c>
      <c r="D566" s="7">
        <v>0</v>
      </c>
      <c r="E566" s="7">
        <v>1</v>
      </c>
      <c r="F566" s="7">
        <v>17</v>
      </c>
      <c r="G566" s="7" t="b">
        <v>0</v>
      </c>
      <c r="H566" s="7">
        <v>2</v>
      </c>
      <c r="I566" s="7">
        <v>1</v>
      </c>
      <c r="J566" s="7">
        <v>0.3</v>
      </c>
      <c r="K566" s="9">
        <v>0.33329999999999999</v>
      </c>
      <c r="L566" s="9">
        <v>0.45</v>
      </c>
      <c r="M566" s="9">
        <v>0</v>
      </c>
      <c r="N566" s="9">
        <v>14</v>
      </c>
      <c r="O566" s="9">
        <v>208</v>
      </c>
      <c r="P566" s="9">
        <v>222</v>
      </c>
      <c r="Q566" s="7" t="str">
        <f t="shared" si="16"/>
        <v>TUESDAY</v>
      </c>
      <c r="R566" t="str">
        <f t="shared" si="17"/>
        <v>Clear</v>
      </c>
    </row>
    <row r="567" spans="1:18" x14ac:dyDescent="0.25">
      <c r="A567" s="7">
        <v>566</v>
      </c>
      <c r="B567" s="8">
        <v>40568</v>
      </c>
      <c r="C567" s="7">
        <v>1</v>
      </c>
      <c r="D567" s="7">
        <v>0</v>
      </c>
      <c r="E567" s="7">
        <v>1</v>
      </c>
      <c r="F567" s="7">
        <v>18</v>
      </c>
      <c r="G567" s="7" t="b">
        <v>0</v>
      </c>
      <c r="H567" s="7">
        <v>2</v>
      </c>
      <c r="I567" s="7">
        <v>2</v>
      </c>
      <c r="J567" s="7">
        <v>0.3</v>
      </c>
      <c r="K567" s="9">
        <v>0.31819999999999998</v>
      </c>
      <c r="L567" s="9">
        <v>0.49</v>
      </c>
      <c r="M567" s="9">
        <v>8.9599999999999999E-2</v>
      </c>
      <c r="N567" s="9">
        <v>7</v>
      </c>
      <c r="O567" s="9">
        <v>218</v>
      </c>
      <c r="P567" s="9">
        <v>225</v>
      </c>
      <c r="Q567" s="7" t="str">
        <f t="shared" si="16"/>
        <v>TUESDAY</v>
      </c>
      <c r="R567" t="str">
        <f t="shared" si="17"/>
        <v>Mist</v>
      </c>
    </row>
    <row r="568" spans="1:18" x14ac:dyDescent="0.25">
      <c r="A568" s="7">
        <v>567</v>
      </c>
      <c r="B568" s="8">
        <v>40568</v>
      </c>
      <c r="C568" s="7">
        <v>1</v>
      </c>
      <c r="D568" s="7">
        <v>0</v>
      </c>
      <c r="E568" s="7">
        <v>1</v>
      </c>
      <c r="F568" s="7">
        <v>19</v>
      </c>
      <c r="G568" s="7" t="b">
        <v>0</v>
      </c>
      <c r="H568" s="7">
        <v>2</v>
      </c>
      <c r="I568" s="7">
        <v>2</v>
      </c>
      <c r="J568" s="7">
        <v>0.26</v>
      </c>
      <c r="K568" s="9">
        <v>0.2576</v>
      </c>
      <c r="L568" s="9">
        <v>0.65</v>
      </c>
      <c r="M568" s="9">
        <v>0.16420000000000001</v>
      </c>
      <c r="N568" s="9">
        <v>13</v>
      </c>
      <c r="O568" s="9">
        <v>133</v>
      </c>
      <c r="P568" s="9">
        <v>146</v>
      </c>
      <c r="Q568" s="7" t="str">
        <f t="shared" si="16"/>
        <v>TUESDAY</v>
      </c>
      <c r="R568" t="str">
        <f t="shared" si="17"/>
        <v>Mist</v>
      </c>
    </row>
    <row r="569" spans="1:18" x14ac:dyDescent="0.25">
      <c r="A569" s="7">
        <v>568</v>
      </c>
      <c r="B569" s="8">
        <v>40568</v>
      </c>
      <c r="C569" s="7">
        <v>1</v>
      </c>
      <c r="D569" s="7">
        <v>0</v>
      </c>
      <c r="E569" s="7">
        <v>1</v>
      </c>
      <c r="F569" s="7">
        <v>20</v>
      </c>
      <c r="G569" s="7" t="b">
        <v>0</v>
      </c>
      <c r="H569" s="7">
        <v>2</v>
      </c>
      <c r="I569" s="7">
        <v>1</v>
      </c>
      <c r="J569" s="7">
        <v>0.24</v>
      </c>
      <c r="K569" s="9">
        <v>0.2273</v>
      </c>
      <c r="L569" s="9">
        <v>0.65</v>
      </c>
      <c r="M569" s="9">
        <v>0.19400000000000001</v>
      </c>
      <c r="N569" s="9">
        <v>16</v>
      </c>
      <c r="O569" s="9">
        <v>103</v>
      </c>
      <c r="P569" s="9">
        <v>119</v>
      </c>
      <c r="Q569" s="7" t="str">
        <f t="shared" si="16"/>
        <v>TUESDAY</v>
      </c>
      <c r="R569" t="str">
        <f t="shared" si="17"/>
        <v>Clear</v>
      </c>
    </row>
    <row r="570" spans="1:18" x14ac:dyDescent="0.25">
      <c r="A570" s="7">
        <v>569</v>
      </c>
      <c r="B570" s="8">
        <v>40568</v>
      </c>
      <c r="C570" s="7">
        <v>1</v>
      </c>
      <c r="D570" s="7">
        <v>0</v>
      </c>
      <c r="E570" s="7">
        <v>1</v>
      </c>
      <c r="F570" s="7">
        <v>21</v>
      </c>
      <c r="G570" s="7" t="b">
        <v>0</v>
      </c>
      <c r="H570" s="7">
        <v>2</v>
      </c>
      <c r="I570" s="7">
        <v>1</v>
      </c>
      <c r="J570" s="7">
        <v>0.24</v>
      </c>
      <c r="K570" s="9">
        <v>0.2273</v>
      </c>
      <c r="L570" s="9">
        <v>0.65</v>
      </c>
      <c r="M570" s="9">
        <v>0.19400000000000001</v>
      </c>
      <c r="N570" s="9">
        <v>5</v>
      </c>
      <c r="O570" s="9">
        <v>40</v>
      </c>
      <c r="P570" s="9">
        <v>45</v>
      </c>
      <c r="Q570" s="7" t="str">
        <f t="shared" si="16"/>
        <v>TUESDAY</v>
      </c>
      <c r="R570" t="str">
        <f t="shared" si="17"/>
        <v>Clear</v>
      </c>
    </row>
    <row r="571" spans="1:18" x14ac:dyDescent="0.25">
      <c r="A571" s="7">
        <v>570</v>
      </c>
      <c r="B571" s="8">
        <v>40568</v>
      </c>
      <c r="C571" s="7">
        <v>1</v>
      </c>
      <c r="D571" s="7">
        <v>0</v>
      </c>
      <c r="E571" s="7">
        <v>1</v>
      </c>
      <c r="F571" s="7">
        <v>22</v>
      </c>
      <c r="G571" s="7" t="b">
        <v>0</v>
      </c>
      <c r="H571" s="7">
        <v>2</v>
      </c>
      <c r="I571" s="7">
        <v>1</v>
      </c>
      <c r="J571" s="7">
        <v>0.22</v>
      </c>
      <c r="K571" s="9">
        <v>0.2273</v>
      </c>
      <c r="L571" s="9">
        <v>0.64</v>
      </c>
      <c r="M571" s="9">
        <v>0.16420000000000001</v>
      </c>
      <c r="N571" s="9">
        <v>4</v>
      </c>
      <c r="O571" s="9">
        <v>49</v>
      </c>
      <c r="P571" s="9">
        <v>53</v>
      </c>
      <c r="Q571" s="7" t="str">
        <f t="shared" si="16"/>
        <v>TUESDAY</v>
      </c>
      <c r="R571" t="str">
        <f t="shared" si="17"/>
        <v>Clear</v>
      </c>
    </row>
    <row r="572" spans="1:18" x14ac:dyDescent="0.25">
      <c r="A572" s="7">
        <v>571</v>
      </c>
      <c r="B572" s="8">
        <v>40568</v>
      </c>
      <c r="C572" s="7">
        <v>1</v>
      </c>
      <c r="D572" s="7">
        <v>0</v>
      </c>
      <c r="E572" s="7">
        <v>1</v>
      </c>
      <c r="F572" s="7">
        <v>23</v>
      </c>
      <c r="G572" s="7" t="b">
        <v>0</v>
      </c>
      <c r="H572" s="7">
        <v>2</v>
      </c>
      <c r="I572" s="7">
        <v>2</v>
      </c>
      <c r="J572" s="7">
        <v>0.22</v>
      </c>
      <c r="K572" s="9">
        <v>0.2273</v>
      </c>
      <c r="L572" s="9">
        <v>0.64</v>
      </c>
      <c r="M572" s="9">
        <v>0.16420000000000001</v>
      </c>
      <c r="N572" s="9">
        <v>3</v>
      </c>
      <c r="O572" s="9">
        <v>37</v>
      </c>
      <c r="P572" s="9">
        <v>40</v>
      </c>
      <c r="Q572" s="7" t="str">
        <f t="shared" si="16"/>
        <v>TUESDAY</v>
      </c>
      <c r="R572" t="str">
        <f t="shared" si="17"/>
        <v>Mist</v>
      </c>
    </row>
    <row r="573" spans="1:18" x14ac:dyDescent="0.25">
      <c r="A573" s="7">
        <v>572</v>
      </c>
      <c r="B573" s="8">
        <v>40569</v>
      </c>
      <c r="C573" s="7">
        <v>1</v>
      </c>
      <c r="D573" s="7">
        <v>0</v>
      </c>
      <c r="E573" s="7">
        <v>1</v>
      </c>
      <c r="F573" s="7">
        <v>0</v>
      </c>
      <c r="G573" s="7" t="b">
        <v>0</v>
      </c>
      <c r="H573" s="7">
        <v>3</v>
      </c>
      <c r="I573" s="7">
        <v>2</v>
      </c>
      <c r="J573" s="7">
        <v>0.22</v>
      </c>
      <c r="K573" s="9">
        <v>0.2273</v>
      </c>
      <c r="L573" s="9">
        <v>0.69</v>
      </c>
      <c r="M573" s="9">
        <v>0.1343</v>
      </c>
      <c r="N573" s="9">
        <v>3</v>
      </c>
      <c r="O573" s="9">
        <v>14</v>
      </c>
      <c r="P573" s="9">
        <v>17</v>
      </c>
      <c r="Q573" s="7" t="str">
        <f t="shared" si="16"/>
        <v>WENESDAY</v>
      </c>
      <c r="R573" t="str">
        <f t="shared" si="17"/>
        <v>Mist</v>
      </c>
    </row>
    <row r="574" spans="1:18" x14ac:dyDescent="0.25">
      <c r="A574" s="7">
        <v>573</v>
      </c>
      <c r="B574" s="8">
        <v>40569</v>
      </c>
      <c r="C574" s="7">
        <v>1</v>
      </c>
      <c r="D574" s="7">
        <v>0</v>
      </c>
      <c r="E574" s="7">
        <v>1</v>
      </c>
      <c r="F574" s="7">
        <v>1</v>
      </c>
      <c r="G574" s="7" t="b">
        <v>0</v>
      </c>
      <c r="H574" s="7">
        <v>3</v>
      </c>
      <c r="I574" s="7">
        <v>2</v>
      </c>
      <c r="J574" s="7">
        <v>0.24</v>
      </c>
      <c r="K574" s="9">
        <v>0.2424</v>
      </c>
      <c r="L574" s="9">
        <v>0.65</v>
      </c>
      <c r="M574" s="9">
        <v>0.1343</v>
      </c>
      <c r="N574" s="9">
        <v>0</v>
      </c>
      <c r="O574" s="9">
        <v>5</v>
      </c>
      <c r="P574" s="9">
        <v>5</v>
      </c>
      <c r="Q574" s="7" t="str">
        <f t="shared" si="16"/>
        <v>WENESDAY</v>
      </c>
      <c r="R574" t="str">
        <f t="shared" si="17"/>
        <v>Mist</v>
      </c>
    </row>
    <row r="575" spans="1:18" x14ac:dyDescent="0.25">
      <c r="A575" s="7">
        <v>574</v>
      </c>
      <c r="B575" s="8">
        <v>40569</v>
      </c>
      <c r="C575" s="7">
        <v>1</v>
      </c>
      <c r="D575" s="7">
        <v>0</v>
      </c>
      <c r="E575" s="7">
        <v>1</v>
      </c>
      <c r="F575" s="7">
        <v>2</v>
      </c>
      <c r="G575" s="7" t="b">
        <v>0</v>
      </c>
      <c r="H575" s="7">
        <v>3</v>
      </c>
      <c r="I575" s="7">
        <v>3</v>
      </c>
      <c r="J575" s="7">
        <v>0.22</v>
      </c>
      <c r="K575" s="9">
        <v>0.2273</v>
      </c>
      <c r="L575" s="9">
        <v>0.69</v>
      </c>
      <c r="M575" s="9">
        <v>0.19400000000000001</v>
      </c>
      <c r="N575" s="9">
        <v>3</v>
      </c>
      <c r="O575" s="9">
        <v>7</v>
      </c>
      <c r="P575" s="9">
        <v>10</v>
      </c>
      <c r="Q575" s="7" t="str">
        <f t="shared" si="16"/>
        <v>WENESDAY</v>
      </c>
      <c r="R575" t="str">
        <f t="shared" si="17"/>
        <v>Light Rain/Snow</v>
      </c>
    </row>
    <row r="576" spans="1:18" x14ac:dyDescent="0.25">
      <c r="A576" s="7">
        <v>575</v>
      </c>
      <c r="B576" s="8">
        <v>40569</v>
      </c>
      <c r="C576" s="7">
        <v>1</v>
      </c>
      <c r="D576" s="7">
        <v>0</v>
      </c>
      <c r="E576" s="7">
        <v>1</v>
      </c>
      <c r="F576" s="7">
        <v>5</v>
      </c>
      <c r="G576" s="7" t="b">
        <v>0</v>
      </c>
      <c r="H576" s="7">
        <v>3</v>
      </c>
      <c r="I576" s="7">
        <v>3</v>
      </c>
      <c r="J576" s="7" t="s">
        <v>16</v>
      </c>
      <c r="K576" s="9">
        <v>0.18179999999999999</v>
      </c>
      <c r="L576" s="9">
        <v>0.86</v>
      </c>
      <c r="M576" s="9">
        <v>0.28360000000000002</v>
      </c>
      <c r="N576" s="9">
        <v>0</v>
      </c>
      <c r="O576" s="9">
        <v>1</v>
      </c>
      <c r="P576" s="9">
        <v>1</v>
      </c>
      <c r="Q576" s="7" t="str">
        <f t="shared" si="16"/>
        <v>WENESDAY</v>
      </c>
      <c r="R576" t="str">
        <f t="shared" si="17"/>
        <v>Light Rain/Snow</v>
      </c>
    </row>
    <row r="577" spans="1:18" x14ac:dyDescent="0.25">
      <c r="A577" s="7">
        <v>576</v>
      </c>
      <c r="B577" s="8">
        <v>40569</v>
      </c>
      <c r="C577" s="7">
        <v>1</v>
      </c>
      <c r="D577" s="7">
        <v>0</v>
      </c>
      <c r="E577" s="7">
        <v>1</v>
      </c>
      <c r="F577" s="7">
        <v>6</v>
      </c>
      <c r="G577" s="7" t="b">
        <v>0</v>
      </c>
      <c r="H577" s="7">
        <v>3</v>
      </c>
      <c r="I577" s="7">
        <v>3</v>
      </c>
      <c r="J577" s="7">
        <v>0.2</v>
      </c>
      <c r="K577" s="9">
        <v>0.18179999999999999</v>
      </c>
      <c r="L577" s="9">
        <v>0.86</v>
      </c>
      <c r="M577" s="9">
        <v>0.28360000000000002</v>
      </c>
      <c r="N577" s="9">
        <v>0</v>
      </c>
      <c r="O577" s="9">
        <v>8</v>
      </c>
      <c r="P577" s="9">
        <v>8</v>
      </c>
      <c r="Q577" s="7" t="str">
        <f t="shared" si="16"/>
        <v>WENESDAY</v>
      </c>
      <c r="R577" t="str">
        <f t="shared" si="17"/>
        <v>Light Rain/Snow</v>
      </c>
    </row>
    <row r="578" spans="1:18" x14ac:dyDescent="0.25">
      <c r="A578" s="7">
        <v>577</v>
      </c>
      <c r="B578" s="8">
        <v>40569</v>
      </c>
      <c r="C578" s="7">
        <v>1</v>
      </c>
      <c r="D578" s="7">
        <v>0</v>
      </c>
      <c r="E578" s="7">
        <v>1</v>
      </c>
      <c r="F578" s="7">
        <v>7</v>
      </c>
      <c r="G578" s="7" t="b">
        <v>0</v>
      </c>
      <c r="H578" s="7">
        <v>3</v>
      </c>
      <c r="I578" s="7">
        <v>3</v>
      </c>
      <c r="J578" s="7">
        <v>0.22</v>
      </c>
      <c r="K578" s="9">
        <v>0.21210000000000001</v>
      </c>
      <c r="L578" s="9">
        <v>0.87</v>
      </c>
      <c r="M578" s="9">
        <v>0.29849999999999999</v>
      </c>
      <c r="N578" s="9">
        <v>1</v>
      </c>
      <c r="O578" s="9">
        <v>29</v>
      </c>
      <c r="P578" s="9">
        <v>30</v>
      </c>
      <c r="Q578" s="7" t="str">
        <f t="shared" ref="Q578:Q611" si="18">CHOOSE(H578+1, "SUNDAY", "MONDAY","TUESDAY", "WENESDAY","THUSDAY", "FRIDAY", "SATARDAY")</f>
        <v>WENESDAY</v>
      </c>
      <c r="R578" t="str">
        <f t="shared" ref="R578:R611" si="19">IF(I578=1,"Clear",IF(I578=2,"Mist",IF(I578=3,"Light Rain/Snow","Heavy Rain")))</f>
        <v>Light Rain/Snow</v>
      </c>
    </row>
    <row r="579" spans="1:18" x14ac:dyDescent="0.25">
      <c r="A579" s="7">
        <v>578</v>
      </c>
      <c r="B579" s="8">
        <v>40569</v>
      </c>
      <c r="C579" s="7">
        <v>1</v>
      </c>
      <c r="D579" s="7">
        <v>0</v>
      </c>
      <c r="E579" s="7">
        <v>1</v>
      </c>
      <c r="F579" s="7">
        <v>8</v>
      </c>
      <c r="G579" s="7" t="b">
        <v>0</v>
      </c>
      <c r="H579" s="7">
        <v>3</v>
      </c>
      <c r="I579" s="7">
        <v>3</v>
      </c>
      <c r="J579" s="7">
        <v>0.22</v>
      </c>
      <c r="K579" s="9">
        <v>0.21210000000000001</v>
      </c>
      <c r="L579" s="9">
        <v>0.87</v>
      </c>
      <c r="M579" s="9">
        <v>0.29849999999999999</v>
      </c>
      <c r="N579" s="9">
        <v>3</v>
      </c>
      <c r="O579" s="9">
        <v>69</v>
      </c>
      <c r="P579" s="9">
        <v>72</v>
      </c>
      <c r="Q579" s="7" t="str">
        <f t="shared" si="18"/>
        <v>WENESDAY</v>
      </c>
      <c r="R579" t="str">
        <f t="shared" si="19"/>
        <v>Light Rain/Snow</v>
      </c>
    </row>
    <row r="580" spans="1:18" x14ac:dyDescent="0.25">
      <c r="A580" s="7">
        <v>579</v>
      </c>
      <c r="B580" s="8">
        <v>40569</v>
      </c>
      <c r="C580" s="7">
        <v>1</v>
      </c>
      <c r="D580" s="7">
        <v>0</v>
      </c>
      <c r="E580" s="7">
        <v>1</v>
      </c>
      <c r="F580" s="7">
        <v>9</v>
      </c>
      <c r="G580" s="7" t="b">
        <v>0</v>
      </c>
      <c r="H580" s="7">
        <v>3</v>
      </c>
      <c r="I580" s="7">
        <v>3</v>
      </c>
      <c r="J580" s="7">
        <v>0.22</v>
      </c>
      <c r="K580" s="9">
        <v>0.21210000000000001</v>
      </c>
      <c r="L580" s="9">
        <v>0.87</v>
      </c>
      <c r="M580" s="9">
        <v>0.29849999999999999</v>
      </c>
      <c r="N580" s="9">
        <v>3</v>
      </c>
      <c r="O580" s="9">
        <v>55</v>
      </c>
      <c r="P580" s="9">
        <v>58</v>
      </c>
      <c r="Q580" s="7" t="str">
        <f t="shared" si="18"/>
        <v>WENESDAY</v>
      </c>
      <c r="R580" t="str">
        <f t="shared" si="19"/>
        <v>Light Rain/Snow</v>
      </c>
    </row>
    <row r="581" spans="1:18" x14ac:dyDescent="0.25">
      <c r="A581" s="7">
        <v>580</v>
      </c>
      <c r="B581" s="8">
        <v>40569</v>
      </c>
      <c r="C581" s="7">
        <v>1</v>
      </c>
      <c r="D581" s="7">
        <v>0</v>
      </c>
      <c r="E581" s="7">
        <v>1</v>
      </c>
      <c r="F581" s="7">
        <v>10</v>
      </c>
      <c r="G581" s="7" t="b">
        <v>0</v>
      </c>
      <c r="H581" s="7">
        <v>3</v>
      </c>
      <c r="I581" s="7">
        <v>3</v>
      </c>
      <c r="J581" s="7">
        <v>0.22</v>
      </c>
      <c r="K581" s="9">
        <v>0.21210000000000001</v>
      </c>
      <c r="L581" s="9">
        <v>0.93</v>
      </c>
      <c r="M581" s="9">
        <v>0.28360000000000002</v>
      </c>
      <c r="N581" s="9">
        <v>2</v>
      </c>
      <c r="O581" s="9">
        <v>26</v>
      </c>
      <c r="P581" s="9">
        <v>28</v>
      </c>
      <c r="Q581" s="7" t="str">
        <f t="shared" si="18"/>
        <v>WENESDAY</v>
      </c>
      <c r="R581" t="str">
        <f t="shared" si="19"/>
        <v>Light Rain/Snow</v>
      </c>
    </row>
    <row r="582" spans="1:18" x14ac:dyDescent="0.25">
      <c r="A582" s="7">
        <v>581</v>
      </c>
      <c r="B582" s="8">
        <v>40569</v>
      </c>
      <c r="C582" s="7">
        <v>1</v>
      </c>
      <c r="D582" s="7">
        <v>0</v>
      </c>
      <c r="E582" s="7">
        <v>1</v>
      </c>
      <c r="F582" s="7">
        <v>11</v>
      </c>
      <c r="G582" s="7" t="b">
        <v>0</v>
      </c>
      <c r="H582" s="7">
        <v>3</v>
      </c>
      <c r="I582" s="7">
        <v>3</v>
      </c>
      <c r="J582" s="7">
        <v>0.22</v>
      </c>
      <c r="K582" s="9">
        <v>0.19700000000000001</v>
      </c>
      <c r="L582" s="9">
        <v>0.93</v>
      </c>
      <c r="M582" s="9">
        <v>0.32840000000000003</v>
      </c>
      <c r="N582" s="9">
        <v>6</v>
      </c>
      <c r="O582" s="9">
        <v>35</v>
      </c>
      <c r="P582" s="9">
        <v>41</v>
      </c>
      <c r="Q582" s="7" t="str">
        <f t="shared" si="18"/>
        <v>WENESDAY</v>
      </c>
      <c r="R582" t="str">
        <f t="shared" si="19"/>
        <v>Light Rain/Snow</v>
      </c>
    </row>
    <row r="583" spans="1:18" x14ac:dyDescent="0.25">
      <c r="A583" s="7">
        <v>582</v>
      </c>
      <c r="B583" s="8">
        <v>40569</v>
      </c>
      <c r="C583" s="7">
        <v>1</v>
      </c>
      <c r="D583" s="7">
        <v>0</v>
      </c>
      <c r="E583" s="7">
        <v>1</v>
      </c>
      <c r="F583" s="7">
        <v>12</v>
      </c>
      <c r="G583" s="7" t="b">
        <v>0</v>
      </c>
      <c r="H583" s="7">
        <v>3</v>
      </c>
      <c r="I583" s="7">
        <v>3</v>
      </c>
      <c r="J583" s="7">
        <v>0.22</v>
      </c>
      <c r="K583" s="9">
        <v>0.19700000000000001</v>
      </c>
      <c r="L583" s="9">
        <v>0.93</v>
      </c>
      <c r="M583" s="9">
        <v>0.32840000000000003</v>
      </c>
      <c r="N583" s="9">
        <v>7</v>
      </c>
      <c r="O583" s="9">
        <v>41</v>
      </c>
      <c r="P583" s="9">
        <v>48</v>
      </c>
      <c r="Q583" s="7" t="str">
        <f t="shared" si="18"/>
        <v>WENESDAY</v>
      </c>
      <c r="R583" t="str">
        <f t="shared" si="19"/>
        <v>Light Rain/Snow</v>
      </c>
    </row>
    <row r="584" spans="1:18" x14ac:dyDescent="0.25">
      <c r="A584" s="7">
        <v>583</v>
      </c>
      <c r="B584" s="8">
        <v>40569</v>
      </c>
      <c r="C584" s="7">
        <v>1</v>
      </c>
      <c r="D584" s="7">
        <v>0</v>
      </c>
      <c r="E584" s="7">
        <v>1</v>
      </c>
      <c r="F584" s="7">
        <v>13</v>
      </c>
      <c r="G584" s="7" t="b">
        <v>0</v>
      </c>
      <c r="H584" s="7">
        <v>3</v>
      </c>
      <c r="I584" s="7">
        <v>3</v>
      </c>
      <c r="J584" s="7">
        <v>0.22</v>
      </c>
      <c r="K584" s="9">
        <v>0.19700000000000001</v>
      </c>
      <c r="L584" s="9">
        <v>0.93</v>
      </c>
      <c r="M584" s="9">
        <v>0.32840000000000003</v>
      </c>
      <c r="N584" s="9">
        <v>4</v>
      </c>
      <c r="O584" s="9">
        <v>43</v>
      </c>
      <c r="P584" s="9">
        <v>47</v>
      </c>
      <c r="Q584" s="7" t="str">
        <f t="shared" si="18"/>
        <v>WENESDAY</v>
      </c>
      <c r="R584" t="str">
        <f t="shared" si="19"/>
        <v>Light Rain/Snow</v>
      </c>
    </row>
    <row r="585" spans="1:18" x14ac:dyDescent="0.25">
      <c r="A585" s="7">
        <v>584</v>
      </c>
      <c r="B585" s="8">
        <v>40569</v>
      </c>
      <c r="C585" s="7">
        <v>1</v>
      </c>
      <c r="D585" s="7">
        <v>0</v>
      </c>
      <c r="E585" s="7">
        <v>1</v>
      </c>
      <c r="F585" s="7">
        <v>14</v>
      </c>
      <c r="G585" s="7" t="b">
        <v>0</v>
      </c>
      <c r="H585" s="7">
        <v>3</v>
      </c>
      <c r="I585" s="7">
        <v>3</v>
      </c>
      <c r="J585" s="7">
        <v>0.22</v>
      </c>
      <c r="K585" s="9">
        <v>0.19700000000000001</v>
      </c>
      <c r="L585" s="9">
        <v>0.93</v>
      </c>
      <c r="M585" s="9">
        <v>0.35820000000000002</v>
      </c>
      <c r="N585" s="9">
        <v>0</v>
      </c>
      <c r="O585" s="9">
        <v>36</v>
      </c>
      <c r="P585" s="9">
        <v>36</v>
      </c>
      <c r="Q585" s="7" t="str">
        <f t="shared" si="18"/>
        <v>WENESDAY</v>
      </c>
      <c r="R585" t="str">
        <f t="shared" si="19"/>
        <v>Light Rain/Snow</v>
      </c>
    </row>
    <row r="586" spans="1:18" x14ac:dyDescent="0.25">
      <c r="A586" s="7">
        <v>585</v>
      </c>
      <c r="B586" s="8">
        <v>40569</v>
      </c>
      <c r="C586" s="7">
        <v>1</v>
      </c>
      <c r="D586" s="7">
        <v>0</v>
      </c>
      <c r="E586" s="7">
        <v>1</v>
      </c>
      <c r="F586" s="7">
        <v>15</v>
      </c>
      <c r="G586" s="7" t="b">
        <v>0</v>
      </c>
      <c r="H586" s="7">
        <v>3</v>
      </c>
      <c r="I586" s="7">
        <v>3</v>
      </c>
      <c r="J586" s="7">
        <v>0.22</v>
      </c>
      <c r="K586" s="9">
        <v>0.18179999999999999</v>
      </c>
      <c r="L586" s="9">
        <v>0.93</v>
      </c>
      <c r="M586" s="9">
        <v>0.4627</v>
      </c>
      <c r="N586" s="9">
        <v>1</v>
      </c>
      <c r="O586" s="9">
        <v>42</v>
      </c>
      <c r="P586" s="9">
        <v>43</v>
      </c>
      <c r="Q586" s="7" t="str">
        <f t="shared" si="18"/>
        <v>WENESDAY</v>
      </c>
      <c r="R586" t="str">
        <f t="shared" si="19"/>
        <v>Light Rain/Snow</v>
      </c>
    </row>
    <row r="587" spans="1:18" x14ac:dyDescent="0.25">
      <c r="A587" s="7">
        <v>586</v>
      </c>
      <c r="B587" s="8">
        <v>40569</v>
      </c>
      <c r="C587" s="7">
        <v>1</v>
      </c>
      <c r="D587" s="7">
        <v>0</v>
      </c>
      <c r="E587" s="7">
        <v>1</v>
      </c>
      <c r="F587" s="7">
        <v>16</v>
      </c>
      <c r="G587" s="7" t="b">
        <v>0</v>
      </c>
      <c r="H587" s="7">
        <v>3</v>
      </c>
      <c r="I587" s="7">
        <v>4</v>
      </c>
      <c r="J587" s="7">
        <v>0.22</v>
      </c>
      <c r="K587" s="9">
        <v>0.19700000000000001</v>
      </c>
      <c r="L587" s="9">
        <v>0.93</v>
      </c>
      <c r="M587" s="9">
        <v>0.32840000000000003</v>
      </c>
      <c r="N587" s="9">
        <v>1</v>
      </c>
      <c r="O587" s="9">
        <v>35</v>
      </c>
      <c r="P587" s="9">
        <v>36</v>
      </c>
      <c r="Q587" s="7" t="str">
        <f t="shared" si="18"/>
        <v>WENESDAY</v>
      </c>
      <c r="R587" t="str">
        <f t="shared" si="19"/>
        <v>Heavy Rain</v>
      </c>
    </row>
    <row r="588" spans="1:18" x14ac:dyDescent="0.25">
      <c r="A588" s="7">
        <v>587</v>
      </c>
      <c r="B588" s="8">
        <v>40569</v>
      </c>
      <c r="C588" s="7">
        <v>1</v>
      </c>
      <c r="D588" s="7">
        <v>0</v>
      </c>
      <c r="E588" s="7">
        <v>1</v>
      </c>
      <c r="F588" s="7">
        <v>17</v>
      </c>
      <c r="G588" s="7" t="b">
        <v>0</v>
      </c>
      <c r="H588" s="7">
        <v>3</v>
      </c>
      <c r="I588" s="7">
        <v>3</v>
      </c>
      <c r="J588" s="7">
        <v>0.2</v>
      </c>
      <c r="K588" s="9">
        <v>0.18179999999999999</v>
      </c>
      <c r="L588" s="9">
        <v>0.93</v>
      </c>
      <c r="M588" s="9">
        <v>0.35820000000000002</v>
      </c>
      <c r="N588" s="9">
        <v>0</v>
      </c>
      <c r="O588" s="9">
        <v>26</v>
      </c>
      <c r="P588" s="9">
        <v>26</v>
      </c>
      <c r="Q588" s="7" t="str">
        <f t="shared" si="18"/>
        <v>WENESDAY</v>
      </c>
      <c r="R588" t="str">
        <f t="shared" si="19"/>
        <v>Light Rain/Snow</v>
      </c>
    </row>
    <row r="589" spans="1:18" x14ac:dyDescent="0.25">
      <c r="A589" s="7">
        <v>588</v>
      </c>
      <c r="B589" s="8">
        <v>40570</v>
      </c>
      <c r="C589" s="7">
        <v>1</v>
      </c>
      <c r="D589" s="7">
        <v>0</v>
      </c>
      <c r="E589" s="7">
        <v>1</v>
      </c>
      <c r="F589" s="7">
        <v>16</v>
      </c>
      <c r="G589" s="7" t="b">
        <v>0</v>
      </c>
      <c r="H589" s="7">
        <v>4</v>
      </c>
      <c r="I589" s="7">
        <v>1</v>
      </c>
      <c r="J589" s="7">
        <v>0.22</v>
      </c>
      <c r="K589" s="9">
        <v>0.2273</v>
      </c>
      <c r="L589" s="9">
        <v>0.55000000000000004</v>
      </c>
      <c r="M589" s="9">
        <v>0.19400000000000001</v>
      </c>
      <c r="N589" s="9">
        <v>1</v>
      </c>
      <c r="O589" s="9">
        <v>23</v>
      </c>
      <c r="P589" s="9">
        <v>24</v>
      </c>
      <c r="Q589" s="7" t="str">
        <f t="shared" si="18"/>
        <v>THUSDAY</v>
      </c>
      <c r="R589" t="str">
        <f t="shared" si="19"/>
        <v>Clear</v>
      </c>
    </row>
    <row r="590" spans="1:18" x14ac:dyDescent="0.25">
      <c r="A590" s="7">
        <v>589</v>
      </c>
      <c r="B590" s="8">
        <v>40570</v>
      </c>
      <c r="C590" s="7">
        <v>1</v>
      </c>
      <c r="D590" s="7">
        <v>0</v>
      </c>
      <c r="E590" s="7">
        <v>1</v>
      </c>
      <c r="F590" s="7">
        <v>17</v>
      </c>
      <c r="G590" s="7" t="b">
        <v>0</v>
      </c>
      <c r="H590" s="7">
        <v>4</v>
      </c>
      <c r="I590" s="7">
        <v>1</v>
      </c>
      <c r="J590" s="7">
        <v>0.22</v>
      </c>
      <c r="K590" s="9">
        <v>0.2424</v>
      </c>
      <c r="L590" s="9">
        <v>0.55000000000000004</v>
      </c>
      <c r="M590" s="9">
        <v>0.1045</v>
      </c>
      <c r="N590" s="9">
        <v>2</v>
      </c>
      <c r="O590" s="9">
        <v>82</v>
      </c>
      <c r="P590" s="9">
        <v>84</v>
      </c>
      <c r="Q590" s="7" t="str">
        <f t="shared" si="18"/>
        <v>THUSDAY</v>
      </c>
      <c r="R590" t="str">
        <f t="shared" si="19"/>
        <v>Clear</v>
      </c>
    </row>
    <row r="591" spans="1:18" x14ac:dyDescent="0.25">
      <c r="A591" s="7">
        <v>590</v>
      </c>
      <c r="B591" s="8">
        <v>40570</v>
      </c>
      <c r="C591" s="7">
        <v>1</v>
      </c>
      <c r="D591" s="7">
        <v>0</v>
      </c>
      <c r="E591" s="7">
        <v>1</v>
      </c>
      <c r="F591" s="7">
        <v>18</v>
      </c>
      <c r="G591" s="7" t="b">
        <v>0</v>
      </c>
      <c r="H591" s="7">
        <v>4</v>
      </c>
      <c r="I591" s="7">
        <v>1</v>
      </c>
      <c r="J591" s="7">
        <v>0.2</v>
      </c>
      <c r="K591" s="9">
        <v>0.2273</v>
      </c>
      <c r="L591" s="9">
        <v>0.69</v>
      </c>
      <c r="M591" s="9">
        <v>8.9599999999999999E-2</v>
      </c>
      <c r="N591" s="9">
        <v>3</v>
      </c>
      <c r="O591" s="9">
        <v>101</v>
      </c>
      <c r="P591" s="9">
        <v>104</v>
      </c>
      <c r="Q591" s="7" t="str">
        <f t="shared" si="18"/>
        <v>THUSDAY</v>
      </c>
      <c r="R591" t="str">
        <f t="shared" si="19"/>
        <v>Clear</v>
      </c>
    </row>
    <row r="592" spans="1:18" x14ac:dyDescent="0.25">
      <c r="A592" s="7">
        <v>591</v>
      </c>
      <c r="B592" s="8">
        <v>40570</v>
      </c>
      <c r="C592" s="7">
        <v>1</v>
      </c>
      <c r="D592" s="7">
        <v>0</v>
      </c>
      <c r="E592" s="7">
        <v>1</v>
      </c>
      <c r="F592" s="7">
        <v>19</v>
      </c>
      <c r="G592" s="7" t="b">
        <v>0</v>
      </c>
      <c r="H592" s="7">
        <v>4</v>
      </c>
      <c r="I592" s="7">
        <v>1</v>
      </c>
      <c r="J592" s="7">
        <v>0.2</v>
      </c>
      <c r="K592" s="9">
        <v>0.2273</v>
      </c>
      <c r="L592" s="9">
        <v>0.69</v>
      </c>
      <c r="M592" s="9">
        <v>8.9599999999999999E-2</v>
      </c>
      <c r="N592" s="9">
        <v>3</v>
      </c>
      <c r="O592" s="9">
        <v>76</v>
      </c>
      <c r="P592" s="9">
        <v>79</v>
      </c>
      <c r="Q592" s="7" t="str">
        <f t="shared" si="18"/>
        <v>THUSDAY</v>
      </c>
      <c r="R592" t="str">
        <f t="shared" si="19"/>
        <v>Clear</v>
      </c>
    </row>
    <row r="593" spans="1:18" x14ac:dyDescent="0.25">
      <c r="A593" s="7">
        <v>592</v>
      </c>
      <c r="B593" s="8">
        <v>40570</v>
      </c>
      <c r="C593" s="7">
        <v>1</v>
      </c>
      <c r="D593" s="7">
        <v>0</v>
      </c>
      <c r="E593" s="7">
        <v>1</v>
      </c>
      <c r="F593" s="7">
        <v>20</v>
      </c>
      <c r="G593" s="7" t="b">
        <v>0</v>
      </c>
      <c r="H593" s="7">
        <v>4</v>
      </c>
      <c r="I593" s="7">
        <v>1</v>
      </c>
      <c r="J593" s="7">
        <v>0.18</v>
      </c>
      <c r="K593" s="9">
        <v>0.21210000000000001</v>
      </c>
      <c r="L593" s="9">
        <v>0.74</v>
      </c>
      <c r="M593" s="9">
        <v>8.9599999999999999E-2</v>
      </c>
      <c r="N593" s="9">
        <v>4</v>
      </c>
      <c r="O593" s="9">
        <v>55</v>
      </c>
      <c r="P593" s="9">
        <v>59</v>
      </c>
      <c r="Q593" s="7" t="str">
        <f t="shared" si="18"/>
        <v>THUSDAY</v>
      </c>
      <c r="R593" t="str">
        <f t="shared" si="19"/>
        <v>Clear</v>
      </c>
    </row>
    <row r="594" spans="1:18" x14ac:dyDescent="0.25">
      <c r="A594" s="7">
        <v>593</v>
      </c>
      <c r="B594" s="8">
        <v>40570</v>
      </c>
      <c r="C594" s="7">
        <v>1</v>
      </c>
      <c r="D594" s="7">
        <v>0</v>
      </c>
      <c r="E594" s="7">
        <v>1</v>
      </c>
      <c r="F594" s="7">
        <v>21</v>
      </c>
      <c r="G594" s="7" t="b">
        <v>0</v>
      </c>
      <c r="H594" s="7">
        <v>4</v>
      </c>
      <c r="I594" s="7">
        <v>1</v>
      </c>
      <c r="J594" s="7">
        <v>0.18</v>
      </c>
      <c r="K594" s="9">
        <v>0.21210000000000001</v>
      </c>
      <c r="L594" s="9">
        <v>0.74</v>
      </c>
      <c r="M594" s="9">
        <v>8.9599999999999999E-2</v>
      </c>
      <c r="N594" s="9">
        <v>2</v>
      </c>
      <c r="O594" s="9">
        <v>36</v>
      </c>
      <c r="P594" s="9">
        <v>38</v>
      </c>
      <c r="Q594" s="7" t="str">
        <f t="shared" si="18"/>
        <v>THUSDAY</v>
      </c>
      <c r="R594" t="str">
        <f t="shared" si="19"/>
        <v>Clear</v>
      </c>
    </row>
    <row r="595" spans="1:18" x14ac:dyDescent="0.25">
      <c r="A595" s="7">
        <v>594</v>
      </c>
      <c r="B595" s="8">
        <v>40570</v>
      </c>
      <c r="C595" s="7">
        <v>1</v>
      </c>
      <c r="D595" s="7">
        <v>0</v>
      </c>
      <c r="E595" s="7">
        <v>1</v>
      </c>
      <c r="F595" s="7">
        <v>22</v>
      </c>
      <c r="G595" s="7" t="b">
        <v>0</v>
      </c>
      <c r="H595" s="7">
        <v>4</v>
      </c>
      <c r="I595" s="7">
        <v>1</v>
      </c>
      <c r="J595" s="7">
        <v>0.18</v>
      </c>
      <c r="K595" s="9">
        <v>0.21210000000000001</v>
      </c>
      <c r="L595" s="9">
        <v>0.74</v>
      </c>
      <c r="M595" s="9">
        <v>8.9599999999999999E-2</v>
      </c>
      <c r="N595" s="9">
        <v>0</v>
      </c>
      <c r="O595" s="9">
        <v>27</v>
      </c>
      <c r="P595" s="9">
        <v>27</v>
      </c>
      <c r="Q595" s="7" t="str">
        <f t="shared" si="18"/>
        <v>THUSDAY</v>
      </c>
      <c r="R595" t="str">
        <f t="shared" si="19"/>
        <v>Clear</v>
      </c>
    </row>
    <row r="596" spans="1:18" x14ac:dyDescent="0.25">
      <c r="A596" s="7">
        <v>595</v>
      </c>
      <c r="B596" s="8">
        <v>40570</v>
      </c>
      <c r="C596" s="7">
        <v>1</v>
      </c>
      <c r="D596" s="7">
        <v>0</v>
      </c>
      <c r="E596" s="7">
        <v>1</v>
      </c>
      <c r="F596" s="7">
        <v>23</v>
      </c>
      <c r="G596" s="7" t="b">
        <v>0</v>
      </c>
      <c r="H596" s="7">
        <v>4</v>
      </c>
      <c r="I596" s="7">
        <v>1</v>
      </c>
      <c r="J596" s="7">
        <v>0.18</v>
      </c>
      <c r="K596" s="9">
        <v>0.19700000000000001</v>
      </c>
      <c r="L596" s="9">
        <v>0.8</v>
      </c>
      <c r="M596" s="9">
        <v>0.16420000000000001</v>
      </c>
      <c r="N596" s="9">
        <v>0</v>
      </c>
      <c r="O596" s="9">
        <v>16</v>
      </c>
      <c r="P596" s="9">
        <v>16</v>
      </c>
      <c r="Q596" s="7" t="str">
        <f t="shared" si="18"/>
        <v>THUSDAY</v>
      </c>
      <c r="R596" t="str">
        <f t="shared" si="19"/>
        <v>Clear</v>
      </c>
    </row>
    <row r="597" spans="1:18" x14ac:dyDescent="0.25">
      <c r="A597" s="7">
        <v>596</v>
      </c>
      <c r="B597" s="8">
        <v>40571</v>
      </c>
      <c r="C597" s="7">
        <v>1</v>
      </c>
      <c r="D597" s="7">
        <v>0</v>
      </c>
      <c r="E597" s="7">
        <v>1</v>
      </c>
      <c r="F597" s="7">
        <v>0</v>
      </c>
      <c r="G597" s="7" t="b">
        <v>0</v>
      </c>
      <c r="H597" s="7">
        <v>5</v>
      </c>
      <c r="I597" s="7">
        <v>2</v>
      </c>
      <c r="J597" s="7">
        <v>0.2</v>
      </c>
      <c r="K597" s="9">
        <v>0.21210000000000001</v>
      </c>
      <c r="L597" s="9">
        <v>0.75</v>
      </c>
      <c r="M597" s="9">
        <v>0.1343</v>
      </c>
      <c r="N597" s="9">
        <v>0</v>
      </c>
      <c r="O597" s="9">
        <v>9</v>
      </c>
      <c r="P597" s="9">
        <v>9</v>
      </c>
      <c r="Q597" s="7" t="str">
        <f t="shared" si="18"/>
        <v>FRIDAY</v>
      </c>
      <c r="R597" t="str">
        <f t="shared" si="19"/>
        <v>Mist</v>
      </c>
    </row>
    <row r="598" spans="1:18" x14ac:dyDescent="0.25">
      <c r="A598" s="7">
        <v>597</v>
      </c>
      <c r="B598" s="8">
        <v>40571</v>
      </c>
      <c r="C598" s="7">
        <v>1</v>
      </c>
      <c r="D598" s="7">
        <v>0</v>
      </c>
      <c r="E598" s="7">
        <v>1</v>
      </c>
      <c r="F598" s="7">
        <v>1</v>
      </c>
      <c r="G598" s="7" t="b">
        <v>0</v>
      </c>
      <c r="H598" s="7">
        <v>5</v>
      </c>
      <c r="I598" s="7">
        <v>2</v>
      </c>
      <c r="J598" s="7">
        <v>0.2</v>
      </c>
      <c r="K598" s="9">
        <v>0.21210000000000001</v>
      </c>
      <c r="L598" s="9">
        <v>0.75</v>
      </c>
      <c r="M598" s="9">
        <v>0.1343</v>
      </c>
      <c r="N598" s="9">
        <v>1</v>
      </c>
      <c r="O598" s="9">
        <v>2</v>
      </c>
      <c r="P598" s="9">
        <v>3</v>
      </c>
      <c r="Q598" s="7" t="str">
        <f t="shared" si="18"/>
        <v>FRIDAY</v>
      </c>
      <c r="R598" t="str">
        <f t="shared" si="19"/>
        <v>Mist</v>
      </c>
    </row>
    <row r="599" spans="1:18" x14ac:dyDescent="0.25">
      <c r="A599" s="7">
        <v>598</v>
      </c>
      <c r="B599" s="8">
        <v>40571</v>
      </c>
      <c r="C599" s="7">
        <v>1</v>
      </c>
      <c r="D599" s="7">
        <v>0</v>
      </c>
      <c r="E599" s="7">
        <v>1</v>
      </c>
      <c r="F599" s="7">
        <v>2</v>
      </c>
      <c r="G599" s="7" t="b">
        <v>0</v>
      </c>
      <c r="H599" s="7">
        <v>5</v>
      </c>
      <c r="I599" s="7">
        <v>2</v>
      </c>
      <c r="J599" s="7">
        <v>0.2</v>
      </c>
      <c r="K599" s="9">
        <v>0.21210000000000001</v>
      </c>
      <c r="L599" s="9">
        <v>0.75</v>
      </c>
      <c r="M599" s="9">
        <v>0.16420000000000001</v>
      </c>
      <c r="N599" s="9">
        <v>0</v>
      </c>
      <c r="O599" s="9">
        <v>2</v>
      </c>
      <c r="P599" s="9">
        <v>2</v>
      </c>
      <c r="Q599" s="7" t="str">
        <f t="shared" si="18"/>
        <v>FRIDAY</v>
      </c>
      <c r="R599" t="str">
        <f t="shared" si="19"/>
        <v>Mist</v>
      </c>
    </row>
    <row r="600" spans="1:18" x14ac:dyDescent="0.25">
      <c r="A600" s="7">
        <v>599</v>
      </c>
      <c r="B600" s="8">
        <v>40571</v>
      </c>
      <c r="C600" s="7">
        <v>1</v>
      </c>
      <c r="D600" s="7">
        <v>0</v>
      </c>
      <c r="E600" s="7">
        <v>1</v>
      </c>
      <c r="F600" s="7">
        <v>3</v>
      </c>
      <c r="G600" s="7" t="b">
        <v>0</v>
      </c>
      <c r="H600" s="7">
        <v>5</v>
      </c>
      <c r="I600" s="7">
        <v>2</v>
      </c>
      <c r="J600" s="7">
        <v>0.2</v>
      </c>
      <c r="K600" s="9">
        <v>0.2273</v>
      </c>
      <c r="L600" s="9">
        <v>0.75</v>
      </c>
      <c r="M600" s="9">
        <v>0.1045</v>
      </c>
      <c r="N600" s="9">
        <v>1</v>
      </c>
      <c r="O600" s="9">
        <v>0</v>
      </c>
      <c r="P600" s="9">
        <v>1</v>
      </c>
      <c r="Q600" s="7" t="str">
        <f t="shared" si="18"/>
        <v>FRIDAY</v>
      </c>
      <c r="R600" t="str">
        <f t="shared" si="19"/>
        <v>Mist</v>
      </c>
    </row>
    <row r="601" spans="1:18" x14ac:dyDescent="0.25">
      <c r="A601" s="7">
        <v>600</v>
      </c>
      <c r="B601" s="8">
        <v>40571</v>
      </c>
      <c r="C601" s="7">
        <v>1</v>
      </c>
      <c r="D601" s="7">
        <v>0</v>
      </c>
      <c r="E601" s="7">
        <v>1</v>
      </c>
      <c r="F601" s="7">
        <v>5</v>
      </c>
      <c r="G601" s="7" t="b">
        <v>0</v>
      </c>
      <c r="H601" s="7">
        <v>5</v>
      </c>
      <c r="I601" s="7">
        <v>2</v>
      </c>
      <c r="J601" s="7">
        <v>0.18</v>
      </c>
      <c r="K601" s="9">
        <v>0.21210000000000001</v>
      </c>
      <c r="L601" s="9">
        <v>0.8</v>
      </c>
      <c r="M601" s="9">
        <v>0.1045</v>
      </c>
      <c r="N601" s="9">
        <v>0</v>
      </c>
      <c r="O601" s="9">
        <v>4</v>
      </c>
      <c r="P601" s="9">
        <v>4</v>
      </c>
      <c r="Q601" s="7" t="str">
        <f t="shared" si="18"/>
        <v>FRIDAY</v>
      </c>
      <c r="R601" t="str">
        <f t="shared" si="19"/>
        <v>Mist</v>
      </c>
    </row>
    <row r="602" spans="1:18" x14ac:dyDescent="0.25">
      <c r="A602" s="7">
        <v>601</v>
      </c>
      <c r="B602" s="8">
        <v>40571</v>
      </c>
      <c r="C602" s="7">
        <v>1</v>
      </c>
      <c r="D602" s="7">
        <v>0</v>
      </c>
      <c r="E602" s="7">
        <v>1</v>
      </c>
      <c r="F602" s="7">
        <v>6</v>
      </c>
      <c r="G602" s="7" t="b">
        <v>0</v>
      </c>
      <c r="H602" s="7">
        <v>5</v>
      </c>
      <c r="I602" s="7">
        <v>2</v>
      </c>
      <c r="J602" s="7">
        <v>0.18</v>
      </c>
      <c r="K602" s="9">
        <v>0.19700000000000001</v>
      </c>
      <c r="L602" s="9">
        <v>0.8</v>
      </c>
      <c r="M602" s="9">
        <v>0.1343</v>
      </c>
      <c r="N602" s="9">
        <v>0</v>
      </c>
      <c r="O602" s="9">
        <v>16</v>
      </c>
      <c r="P602" s="9">
        <v>16</v>
      </c>
      <c r="Q602" s="7" t="str">
        <f t="shared" si="18"/>
        <v>FRIDAY</v>
      </c>
      <c r="R602" t="str">
        <f t="shared" si="19"/>
        <v>Mist</v>
      </c>
    </row>
    <row r="603" spans="1:18" x14ac:dyDescent="0.25">
      <c r="A603" s="7">
        <v>602</v>
      </c>
      <c r="B603" s="8">
        <v>40571</v>
      </c>
      <c r="C603" s="7">
        <v>1</v>
      </c>
      <c r="D603" s="7">
        <v>0</v>
      </c>
      <c r="E603" s="7">
        <v>1</v>
      </c>
      <c r="F603" s="7">
        <v>7</v>
      </c>
      <c r="G603" s="7" t="b">
        <v>0</v>
      </c>
      <c r="H603" s="7">
        <v>5</v>
      </c>
      <c r="I603" s="7">
        <v>2</v>
      </c>
      <c r="J603" s="7">
        <v>0.16</v>
      </c>
      <c r="K603" s="9">
        <v>0.19700000000000001</v>
      </c>
      <c r="L603" s="9">
        <v>0.86</v>
      </c>
      <c r="M603" s="9">
        <v>8.9599999999999999E-2</v>
      </c>
      <c r="N603" s="9">
        <v>2</v>
      </c>
      <c r="O603" s="9">
        <v>58</v>
      </c>
      <c r="P603" s="9">
        <v>60</v>
      </c>
      <c r="Q603" s="7" t="str">
        <f t="shared" si="18"/>
        <v>FRIDAY</v>
      </c>
      <c r="R603" t="str">
        <f t="shared" si="19"/>
        <v>Mist</v>
      </c>
    </row>
    <row r="604" spans="1:18" x14ac:dyDescent="0.25">
      <c r="A604" s="7">
        <v>603</v>
      </c>
      <c r="B604" s="8">
        <v>40571</v>
      </c>
      <c r="C604" s="7">
        <v>1</v>
      </c>
      <c r="D604" s="7">
        <v>0</v>
      </c>
      <c r="E604" s="7">
        <v>1</v>
      </c>
      <c r="F604" s="7">
        <v>8</v>
      </c>
      <c r="G604" s="7" t="b">
        <v>0</v>
      </c>
      <c r="H604" s="7">
        <v>5</v>
      </c>
      <c r="I604" s="7">
        <v>2</v>
      </c>
      <c r="J604" s="7">
        <v>0.16</v>
      </c>
      <c r="K604" s="9">
        <v>0.19700000000000001</v>
      </c>
      <c r="L604" s="9">
        <v>0.86</v>
      </c>
      <c r="M604" s="9">
        <v>8.9599999999999999E-2</v>
      </c>
      <c r="N604" s="9">
        <v>2</v>
      </c>
      <c r="O604" s="9">
        <v>155</v>
      </c>
      <c r="P604" s="9">
        <v>157</v>
      </c>
      <c r="Q604" s="7" t="str">
        <f t="shared" si="18"/>
        <v>FRIDAY</v>
      </c>
      <c r="R604" t="str">
        <f t="shared" si="19"/>
        <v>Mist</v>
      </c>
    </row>
    <row r="605" spans="1:18" x14ac:dyDescent="0.25">
      <c r="A605" s="7">
        <v>604</v>
      </c>
      <c r="B605" s="8">
        <v>40571</v>
      </c>
      <c r="C605" s="7">
        <v>1</v>
      </c>
      <c r="D605" s="7">
        <v>0</v>
      </c>
      <c r="E605" s="7">
        <v>1</v>
      </c>
      <c r="F605" s="7">
        <v>9</v>
      </c>
      <c r="G605" s="7" t="b">
        <v>0</v>
      </c>
      <c r="H605" s="7">
        <v>5</v>
      </c>
      <c r="I605" s="7">
        <v>3</v>
      </c>
      <c r="J605" s="7">
        <v>0.18</v>
      </c>
      <c r="K605" s="9">
        <v>0.21210000000000001</v>
      </c>
      <c r="L605" s="9">
        <v>0.86</v>
      </c>
      <c r="M605" s="9">
        <v>8.9599999999999999E-2</v>
      </c>
      <c r="N605" s="9">
        <v>6</v>
      </c>
      <c r="O605" s="9">
        <v>95</v>
      </c>
      <c r="P605" s="9">
        <v>101</v>
      </c>
      <c r="Q605" s="7" t="str">
        <f t="shared" si="18"/>
        <v>FRIDAY</v>
      </c>
      <c r="R605" t="str">
        <f t="shared" si="19"/>
        <v>Light Rain/Snow</v>
      </c>
    </row>
    <row r="606" spans="1:18" x14ac:dyDescent="0.25">
      <c r="A606" s="7">
        <v>605</v>
      </c>
      <c r="B606" s="8">
        <v>40571</v>
      </c>
      <c r="C606" s="7">
        <v>1</v>
      </c>
      <c r="D606" s="7">
        <v>0</v>
      </c>
      <c r="E606" s="7">
        <v>1</v>
      </c>
      <c r="F606" s="7">
        <v>10</v>
      </c>
      <c r="G606" s="7" t="b">
        <v>0</v>
      </c>
      <c r="H606" s="7">
        <v>5</v>
      </c>
      <c r="I606" s="7">
        <v>3</v>
      </c>
      <c r="J606" s="7">
        <v>0.18</v>
      </c>
      <c r="K606" s="9">
        <v>0.21210000000000001</v>
      </c>
      <c r="L606" s="9">
        <v>0.86</v>
      </c>
      <c r="M606" s="9">
        <v>0.1045</v>
      </c>
      <c r="N606" s="9">
        <v>0</v>
      </c>
      <c r="O606" s="9">
        <v>49</v>
      </c>
      <c r="P606" s="9">
        <v>49</v>
      </c>
      <c r="Q606" s="7" t="str">
        <f t="shared" si="18"/>
        <v>FRIDAY</v>
      </c>
      <c r="R606" t="str">
        <f t="shared" si="19"/>
        <v>Light Rain/Snow</v>
      </c>
    </row>
    <row r="607" spans="1:18" x14ac:dyDescent="0.25">
      <c r="A607" s="7">
        <v>606</v>
      </c>
      <c r="B607" s="8">
        <v>40571</v>
      </c>
      <c r="C607" s="7">
        <v>1</v>
      </c>
      <c r="D607" s="7">
        <v>0</v>
      </c>
      <c r="E607" s="7">
        <v>1</v>
      </c>
      <c r="F607" s="7">
        <v>11</v>
      </c>
      <c r="G607" s="7" t="b">
        <v>0</v>
      </c>
      <c r="H607" s="7">
        <v>5</v>
      </c>
      <c r="I607" s="7">
        <v>3</v>
      </c>
      <c r="J607" s="7">
        <v>0.18</v>
      </c>
      <c r="K607" s="9">
        <v>0.21210000000000001</v>
      </c>
      <c r="L607" s="9">
        <v>0.93</v>
      </c>
      <c r="M607" s="9">
        <v>0.1045</v>
      </c>
      <c r="N607" s="9">
        <v>0</v>
      </c>
      <c r="O607" s="9">
        <v>30</v>
      </c>
      <c r="P607" s="9">
        <v>30</v>
      </c>
      <c r="Q607" s="7" t="str">
        <f t="shared" si="18"/>
        <v>FRIDAY</v>
      </c>
      <c r="R607" t="str">
        <f t="shared" si="19"/>
        <v>Light Rain/Snow</v>
      </c>
    </row>
    <row r="608" spans="1:18" x14ac:dyDescent="0.25">
      <c r="A608" s="7">
        <v>607</v>
      </c>
      <c r="B608" s="8">
        <v>40571</v>
      </c>
      <c r="C608" s="7">
        <v>1</v>
      </c>
      <c r="D608" s="7">
        <v>0</v>
      </c>
      <c r="E608" s="7">
        <v>1</v>
      </c>
      <c r="F608" s="7">
        <v>12</v>
      </c>
      <c r="G608" s="7" t="b">
        <v>0</v>
      </c>
      <c r="H608" s="7">
        <v>5</v>
      </c>
      <c r="I608" s="7">
        <v>3</v>
      </c>
      <c r="J608" s="7">
        <v>0.18</v>
      </c>
      <c r="K608" s="9">
        <v>0.21210000000000001</v>
      </c>
      <c r="L608" s="9">
        <v>0.93</v>
      </c>
      <c r="M608" s="9">
        <v>0.1045</v>
      </c>
      <c r="N608" s="9">
        <v>1</v>
      </c>
      <c r="O608" s="9">
        <v>28</v>
      </c>
      <c r="P608" s="9">
        <v>29</v>
      </c>
      <c r="Q608" s="7" t="str">
        <f t="shared" si="18"/>
        <v>FRIDAY</v>
      </c>
      <c r="R608" t="str">
        <f t="shared" si="19"/>
        <v>Light Rain/Snow</v>
      </c>
    </row>
    <row r="609" spans="1:18" x14ac:dyDescent="0.25">
      <c r="A609" s="7">
        <v>608</v>
      </c>
      <c r="B609" s="8">
        <v>40571</v>
      </c>
      <c r="C609" s="7">
        <v>1</v>
      </c>
      <c r="D609" s="7">
        <v>0</v>
      </c>
      <c r="E609" s="7">
        <v>1</v>
      </c>
      <c r="F609" s="7">
        <v>13</v>
      </c>
      <c r="G609" s="7" t="b">
        <v>0</v>
      </c>
      <c r="H609" s="7">
        <v>5</v>
      </c>
      <c r="I609" s="7">
        <v>3</v>
      </c>
      <c r="J609" s="7">
        <v>0.18</v>
      </c>
      <c r="K609" s="9">
        <v>0.21210000000000001</v>
      </c>
      <c r="L609" s="9">
        <v>0.93</v>
      </c>
      <c r="M609" s="9">
        <v>0.1045</v>
      </c>
      <c r="N609" s="9">
        <v>0</v>
      </c>
      <c r="O609" s="9">
        <v>31</v>
      </c>
      <c r="P609" s="9">
        <v>31</v>
      </c>
      <c r="Q609" s="7" t="str">
        <f t="shared" si="18"/>
        <v>FRIDAY</v>
      </c>
      <c r="R609" t="str">
        <f t="shared" si="19"/>
        <v>Light Rain/Snow</v>
      </c>
    </row>
    <row r="610" spans="1:18" x14ac:dyDescent="0.25">
      <c r="A610" s="7">
        <v>609</v>
      </c>
      <c r="B610" s="8">
        <v>40571</v>
      </c>
      <c r="C610" s="7">
        <v>1</v>
      </c>
      <c r="D610" s="7">
        <v>0</v>
      </c>
      <c r="E610" s="7">
        <v>1</v>
      </c>
      <c r="F610" s="7">
        <v>14</v>
      </c>
      <c r="G610" s="7" t="b">
        <v>0</v>
      </c>
      <c r="H610" s="7">
        <v>5</v>
      </c>
      <c r="I610" s="7">
        <v>3</v>
      </c>
      <c r="J610" s="7">
        <v>0.22</v>
      </c>
      <c r="K610" s="9">
        <v>0.2727</v>
      </c>
      <c r="L610" s="9">
        <v>0.8</v>
      </c>
      <c r="M610" s="9">
        <v>0</v>
      </c>
      <c r="N610" s="9">
        <v>2</v>
      </c>
      <c r="O610" s="9">
        <v>36</v>
      </c>
      <c r="P610" s="9">
        <v>38</v>
      </c>
      <c r="Q610" s="7" t="str">
        <f t="shared" si="18"/>
        <v>FRIDAY</v>
      </c>
      <c r="R610" t="str">
        <f t="shared" si="19"/>
        <v>Light Rain/Snow</v>
      </c>
    </row>
    <row r="611" spans="1:18" x14ac:dyDescent="0.25">
      <c r="A611" s="7">
        <v>610</v>
      </c>
      <c r="B611" s="8">
        <v>40571</v>
      </c>
      <c r="C611" s="7">
        <v>1</v>
      </c>
      <c r="D611" s="7">
        <v>0</v>
      </c>
      <c r="E611" s="7">
        <v>1</v>
      </c>
      <c r="F611" s="7">
        <v>15</v>
      </c>
      <c r="G611" s="7" t="b">
        <v>0</v>
      </c>
      <c r="H611" s="7">
        <v>5</v>
      </c>
      <c r="I611" s="7">
        <v>2</v>
      </c>
      <c r="J611" s="7">
        <v>0.2</v>
      </c>
      <c r="K611" s="9">
        <v>0.2576</v>
      </c>
      <c r="L611" s="9">
        <v>0.86</v>
      </c>
      <c r="M611" s="9">
        <v>0</v>
      </c>
      <c r="N611" s="9">
        <v>1</v>
      </c>
      <c r="O611" s="9">
        <v>40</v>
      </c>
      <c r="P611" s="9">
        <v>41</v>
      </c>
      <c r="Q611" s="7" t="str">
        <f t="shared" si="18"/>
        <v>FRIDAY</v>
      </c>
      <c r="R611" t="str">
        <f t="shared" si="19"/>
        <v>Mist</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01"/>
  <sheetViews>
    <sheetView tabSelected="1" topLeftCell="A235" workbookViewId="0">
      <selection activeCell="H21" sqref="H21"/>
    </sheetView>
  </sheetViews>
  <sheetFormatPr defaultRowHeight="15" x14ac:dyDescent="0.25"/>
  <cols>
    <col min="1" max="1" width="9.28515625" customWidth="1"/>
    <col min="2" max="2" width="10.42578125" customWidth="1"/>
    <col min="3" max="3" width="9.28515625" customWidth="1"/>
    <col min="7" max="7" width="9.7109375" customWidth="1"/>
    <col min="8" max="8" width="11.140625" customWidth="1"/>
    <col min="9" max="9" width="12.7109375" customWidth="1"/>
    <col min="13" max="13" width="13" customWidth="1"/>
    <col min="15" max="15" width="12.28515625" customWidth="1"/>
    <col min="17" max="17" width="14" customWidth="1"/>
    <col min="18" max="18" width="18.7109375" customWidth="1"/>
    <col min="19" max="19" width="17.5703125" customWidth="1"/>
    <col min="20" max="20" width="18.85546875" customWidth="1"/>
    <col min="21" max="21" width="9.140625" style="6"/>
    <col min="22" max="22" width="14.570312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17</v>
      </c>
      <c r="R1" t="s">
        <v>18</v>
      </c>
      <c r="S1" t="s">
        <v>19</v>
      </c>
      <c r="T1" t="s">
        <v>20</v>
      </c>
      <c r="U1" s="6" t="s">
        <v>9</v>
      </c>
      <c r="V1" t="s">
        <v>35</v>
      </c>
    </row>
    <row r="2" spans="1:22" x14ac:dyDescent="0.25">
      <c r="A2">
        <v>1</v>
      </c>
      <c r="B2" s="1">
        <v>40544</v>
      </c>
      <c r="C2">
        <v>1</v>
      </c>
      <c r="D2">
        <v>0</v>
      </c>
      <c r="E2">
        <v>1</v>
      </c>
      <c r="F2">
        <v>0</v>
      </c>
      <c r="G2" t="b">
        <v>0</v>
      </c>
      <c r="H2">
        <v>6</v>
      </c>
      <c r="I2">
        <v>1</v>
      </c>
      <c r="J2">
        <v>0.24</v>
      </c>
      <c r="K2">
        <v>0.28789999999999999</v>
      </c>
      <c r="L2">
        <v>0.81</v>
      </c>
      <c r="M2">
        <v>0</v>
      </c>
      <c r="N2">
        <v>3</v>
      </c>
      <c r="O2">
        <v>13</v>
      </c>
      <c r="P2">
        <v>16</v>
      </c>
      <c r="Q2" t="str">
        <f>IF(WEEKDAY(A2,2)&gt;5,"Weekend","Weekday")</f>
        <v>Weekend</v>
      </c>
      <c r="R2" t="str">
        <f t="shared" ref="R2:R65" si="0">IF(I2=1, "Clear", IF(I2=2, "Mist/Cloudy", IF(I2=3, "Light Snow/Rain", "Heavy Rain")))</f>
        <v>Clear</v>
      </c>
      <c r="S2">
        <f t="shared" ref="S2:S65" si="1">CORREL($L$2:$L$1001, $P$2:$P$1001)</f>
        <v>-0.25435329828790432</v>
      </c>
      <c r="T2">
        <f t="shared" ref="T2:T65" si="2">CORREL($M$2:$M$1001, $P$2:$P$1001)</f>
        <v>0.10399668008577614</v>
      </c>
      <c r="U2" s="6">
        <v>0.24</v>
      </c>
      <c r="V2">
        <f t="array" ref="V2">CORREL(IFERROR(VALUE(TRIM(CLEAN($U$2:$U$1001))),0), IFERROR(VALUE(TRIM(CLEAN($P$2:$P$1001))),0))</f>
        <v>0.23135628536430677</v>
      </c>
    </row>
    <row r="3" spans="1:22" x14ac:dyDescent="0.25">
      <c r="A3">
        <v>2</v>
      </c>
      <c r="B3" s="1">
        <v>40544</v>
      </c>
      <c r="C3">
        <v>1</v>
      </c>
      <c r="D3">
        <v>0</v>
      </c>
      <c r="E3">
        <v>1</v>
      </c>
      <c r="F3">
        <v>1</v>
      </c>
      <c r="G3" t="b">
        <v>0</v>
      </c>
      <c r="H3">
        <v>6</v>
      </c>
      <c r="I3">
        <v>1</v>
      </c>
      <c r="J3">
        <v>0.22</v>
      </c>
      <c r="K3">
        <v>0.2727</v>
      </c>
      <c r="L3">
        <v>0.8</v>
      </c>
      <c r="M3">
        <v>0</v>
      </c>
      <c r="N3">
        <v>8</v>
      </c>
      <c r="O3">
        <v>32</v>
      </c>
      <c r="P3">
        <v>40</v>
      </c>
      <c r="Q3" t="str">
        <f t="shared" ref="Q3:Q66" si="3">IF(WEEKDAY(A3,2)&gt;5,"Weekend","Weekday")</f>
        <v>Weekday</v>
      </c>
      <c r="R3" t="str">
        <f t="shared" si="0"/>
        <v>Clear</v>
      </c>
      <c r="S3">
        <f t="shared" si="1"/>
        <v>-0.25435329828790432</v>
      </c>
      <c r="T3">
        <f t="shared" si="2"/>
        <v>0.10399668008577614</v>
      </c>
      <c r="U3" s="6">
        <v>0.22</v>
      </c>
      <c r="V3">
        <f t="array" ref="V3">CORREL(IFERROR(VALUE(TRIM(CLEAN($U$2:$U$1001))),0), IFERROR(VALUE(TRIM(CLEAN($P$2:$P$1001))),0))</f>
        <v>0.23135628536430677</v>
      </c>
    </row>
    <row r="4" spans="1:22" x14ac:dyDescent="0.25">
      <c r="A4">
        <v>3</v>
      </c>
      <c r="B4" s="1">
        <v>40544</v>
      </c>
      <c r="C4">
        <v>1</v>
      </c>
      <c r="D4">
        <v>0</v>
      </c>
      <c r="E4">
        <v>1</v>
      </c>
      <c r="F4">
        <v>2</v>
      </c>
      <c r="G4" t="b">
        <v>0</v>
      </c>
      <c r="H4">
        <v>6</v>
      </c>
      <c r="I4">
        <v>1</v>
      </c>
      <c r="J4">
        <v>0.22</v>
      </c>
      <c r="K4">
        <v>0.2727</v>
      </c>
      <c r="L4">
        <v>0.8</v>
      </c>
      <c r="M4">
        <v>0</v>
      </c>
      <c r="N4">
        <v>5</v>
      </c>
      <c r="O4">
        <v>27</v>
      </c>
      <c r="P4">
        <v>32</v>
      </c>
      <c r="Q4" t="str">
        <f t="shared" si="3"/>
        <v>Weekday</v>
      </c>
      <c r="R4" t="str">
        <f t="shared" si="0"/>
        <v>Clear</v>
      </c>
      <c r="S4">
        <f t="shared" si="1"/>
        <v>-0.25435329828790432</v>
      </c>
      <c r="T4">
        <f t="shared" si="2"/>
        <v>0.10399668008577614</v>
      </c>
      <c r="U4" s="6">
        <v>0.22</v>
      </c>
      <c r="V4">
        <f t="array" ref="V4">CORREL(IFERROR(VALUE(TRIM(CLEAN($U$2:$U$1001))),0), IFERROR(VALUE(TRIM(CLEAN($P$2:$P$1001))),0))</f>
        <v>0.23135628536430677</v>
      </c>
    </row>
    <row r="5" spans="1:22" x14ac:dyDescent="0.25">
      <c r="A5">
        <v>4</v>
      </c>
      <c r="B5" s="1">
        <v>40544</v>
      </c>
      <c r="C5">
        <v>1</v>
      </c>
      <c r="D5">
        <v>0</v>
      </c>
      <c r="E5">
        <v>1</v>
      </c>
      <c r="F5">
        <v>3</v>
      </c>
      <c r="G5" t="b">
        <v>0</v>
      </c>
      <c r="H5">
        <v>6</v>
      </c>
      <c r="I5">
        <v>1</v>
      </c>
      <c r="J5">
        <v>0.24</v>
      </c>
      <c r="K5">
        <v>0.28789999999999999</v>
      </c>
      <c r="L5">
        <v>0.75</v>
      </c>
      <c r="M5">
        <v>0</v>
      </c>
      <c r="N5">
        <v>3</v>
      </c>
      <c r="O5">
        <v>10</v>
      </c>
      <c r="P5">
        <v>13</v>
      </c>
      <c r="Q5" t="str">
        <f t="shared" si="3"/>
        <v>Weekday</v>
      </c>
      <c r="R5" t="str">
        <f t="shared" si="0"/>
        <v>Clear</v>
      </c>
      <c r="S5">
        <f t="shared" si="1"/>
        <v>-0.25435329828790432</v>
      </c>
      <c r="T5">
        <f t="shared" si="2"/>
        <v>0.10399668008577614</v>
      </c>
      <c r="U5" s="6">
        <v>0.24</v>
      </c>
      <c r="V5">
        <f t="array" ref="V5">CORREL(IFERROR(VALUE(TRIM(CLEAN($U$2:$U$1001))),0), IFERROR(VALUE(TRIM(CLEAN($P$2:$P$1001))),0))</f>
        <v>0.23135628536430677</v>
      </c>
    </row>
    <row r="6" spans="1:22" x14ac:dyDescent="0.25">
      <c r="A6">
        <v>5</v>
      </c>
      <c r="B6" s="1">
        <v>40544</v>
      </c>
      <c r="C6">
        <v>1</v>
      </c>
      <c r="D6">
        <v>0</v>
      </c>
      <c r="E6">
        <v>1</v>
      </c>
      <c r="F6">
        <v>4</v>
      </c>
      <c r="G6" t="b">
        <v>0</v>
      </c>
      <c r="H6">
        <v>6</v>
      </c>
      <c r="I6">
        <v>1</v>
      </c>
      <c r="J6">
        <v>0.24</v>
      </c>
      <c r="K6">
        <v>0.28789999999999999</v>
      </c>
      <c r="L6">
        <v>0.75</v>
      </c>
      <c r="M6">
        <v>0</v>
      </c>
      <c r="N6">
        <v>0</v>
      </c>
      <c r="O6">
        <v>1</v>
      </c>
      <c r="P6">
        <v>1</v>
      </c>
      <c r="Q6" t="str">
        <f t="shared" si="3"/>
        <v>Weekday</v>
      </c>
      <c r="R6" t="str">
        <f t="shared" si="0"/>
        <v>Clear</v>
      </c>
      <c r="S6">
        <f t="shared" si="1"/>
        <v>-0.25435329828790432</v>
      </c>
      <c r="T6">
        <f t="shared" si="2"/>
        <v>0.10399668008577614</v>
      </c>
      <c r="U6" s="6">
        <v>0.24</v>
      </c>
      <c r="V6">
        <f t="array" ref="V6">CORREL(IFERROR(VALUE(TRIM(CLEAN($U$2:$U$1001))),0), IFERROR(VALUE(TRIM(CLEAN($P$2:$P$1001))),0))</f>
        <v>0.23135628536430677</v>
      </c>
    </row>
    <row r="7" spans="1:22" x14ac:dyDescent="0.25">
      <c r="A7">
        <v>6</v>
      </c>
      <c r="B7" s="1">
        <v>40544</v>
      </c>
      <c r="C7">
        <v>1</v>
      </c>
      <c r="D7">
        <v>0</v>
      </c>
      <c r="E7">
        <v>1</v>
      </c>
      <c r="F7">
        <v>5</v>
      </c>
      <c r="G7" t="b">
        <v>0</v>
      </c>
      <c r="H7">
        <v>6</v>
      </c>
      <c r="I7">
        <v>2</v>
      </c>
      <c r="J7">
        <v>0.24</v>
      </c>
      <c r="K7">
        <v>0.2576</v>
      </c>
      <c r="L7">
        <v>0.75</v>
      </c>
      <c r="M7">
        <v>8.9599999999999999E-2</v>
      </c>
      <c r="N7">
        <v>0</v>
      </c>
      <c r="O7">
        <v>1</v>
      </c>
      <c r="P7">
        <v>1</v>
      </c>
      <c r="Q7" t="str">
        <f t="shared" si="3"/>
        <v>Weekday</v>
      </c>
      <c r="R7" t="str">
        <f t="shared" si="0"/>
        <v>Mist/Cloudy</v>
      </c>
      <c r="S7">
        <f t="shared" si="1"/>
        <v>-0.25435329828790432</v>
      </c>
      <c r="T7">
        <f t="shared" si="2"/>
        <v>0.10399668008577614</v>
      </c>
      <c r="U7" s="6">
        <v>0.24</v>
      </c>
      <c r="V7">
        <f t="array" ref="V7">CORREL(IFERROR(VALUE(TRIM(CLEAN($U$2:$U$1001))),0), IFERROR(VALUE(TRIM(CLEAN($P$2:$P$1001))),0))</f>
        <v>0.23135628536430677</v>
      </c>
    </row>
    <row r="8" spans="1:22" x14ac:dyDescent="0.25">
      <c r="A8">
        <v>7</v>
      </c>
      <c r="B8" s="1">
        <v>40544</v>
      </c>
      <c r="C8">
        <v>1</v>
      </c>
      <c r="D8">
        <v>0</v>
      </c>
      <c r="E8">
        <v>1</v>
      </c>
      <c r="F8">
        <v>6</v>
      </c>
      <c r="G8" t="b">
        <v>0</v>
      </c>
      <c r="H8">
        <v>6</v>
      </c>
      <c r="I8">
        <v>1</v>
      </c>
      <c r="J8">
        <v>0.22</v>
      </c>
      <c r="K8">
        <v>0.2727</v>
      </c>
      <c r="L8">
        <v>0.8</v>
      </c>
      <c r="M8">
        <v>0</v>
      </c>
      <c r="N8">
        <v>2</v>
      </c>
      <c r="O8">
        <v>0</v>
      </c>
      <c r="P8">
        <v>2</v>
      </c>
      <c r="Q8" t="str">
        <f t="shared" si="3"/>
        <v>Weekend</v>
      </c>
      <c r="R8" t="str">
        <f t="shared" si="0"/>
        <v>Clear</v>
      </c>
      <c r="S8">
        <f t="shared" si="1"/>
        <v>-0.25435329828790432</v>
      </c>
      <c r="T8">
        <f t="shared" si="2"/>
        <v>0.10399668008577614</v>
      </c>
      <c r="U8" s="6">
        <v>0.22</v>
      </c>
      <c r="V8">
        <f t="array" ref="V8">CORREL(IFERROR(VALUE(TRIM(CLEAN($U$2:$U$1001))),0), IFERROR(VALUE(TRIM(CLEAN($P$2:$P$1001))),0))</f>
        <v>0.23135628536430677</v>
      </c>
    </row>
    <row r="9" spans="1:22" x14ac:dyDescent="0.25">
      <c r="A9">
        <v>8</v>
      </c>
      <c r="B9" s="1">
        <v>40544</v>
      </c>
      <c r="C9">
        <v>1</v>
      </c>
      <c r="D9">
        <v>0</v>
      </c>
      <c r="E9">
        <v>1</v>
      </c>
      <c r="F9">
        <v>7</v>
      </c>
      <c r="G9" t="b">
        <v>0</v>
      </c>
      <c r="H9">
        <v>6</v>
      </c>
      <c r="I9">
        <v>1</v>
      </c>
      <c r="J9">
        <v>0.2</v>
      </c>
      <c r="K9">
        <v>0.2576</v>
      </c>
      <c r="L9">
        <v>0.86</v>
      </c>
      <c r="M9">
        <v>0</v>
      </c>
      <c r="N9">
        <v>1</v>
      </c>
      <c r="O9">
        <v>2</v>
      </c>
      <c r="P9">
        <v>3</v>
      </c>
      <c r="Q9" t="str">
        <f t="shared" si="3"/>
        <v>Weekend</v>
      </c>
      <c r="R9" t="str">
        <f t="shared" si="0"/>
        <v>Clear</v>
      </c>
      <c r="S9">
        <f t="shared" si="1"/>
        <v>-0.25435329828790432</v>
      </c>
      <c r="T9">
        <f t="shared" si="2"/>
        <v>0.10399668008577614</v>
      </c>
      <c r="U9" s="6">
        <v>0.2</v>
      </c>
      <c r="V9">
        <f t="array" ref="V9">CORREL(IFERROR(VALUE(TRIM(CLEAN($U$2:$U$1001))),0), IFERROR(VALUE(TRIM(CLEAN($P$2:$P$1001))),0))</f>
        <v>0.23135628536430677</v>
      </c>
    </row>
    <row r="10" spans="1:22" x14ac:dyDescent="0.25">
      <c r="A10">
        <v>9</v>
      </c>
      <c r="B10" s="1">
        <v>40544</v>
      </c>
      <c r="C10">
        <v>1</v>
      </c>
      <c r="D10">
        <v>0</v>
      </c>
      <c r="E10">
        <v>1</v>
      </c>
      <c r="F10">
        <v>8</v>
      </c>
      <c r="G10" t="b">
        <v>0</v>
      </c>
      <c r="H10">
        <v>6</v>
      </c>
      <c r="I10">
        <v>1</v>
      </c>
      <c r="J10">
        <v>0.24</v>
      </c>
      <c r="K10">
        <v>0.19993</v>
      </c>
      <c r="L10">
        <v>0.75</v>
      </c>
      <c r="M10">
        <v>0</v>
      </c>
      <c r="N10">
        <v>1</v>
      </c>
      <c r="O10">
        <v>7</v>
      </c>
      <c r="P10">
        <v>8</v>
      </c>
      <c r="Q10" t="str">
        <f t="shared" si="3"/>
        <v>Weekday</v>
      </c>
      <c r="R10" t="str">
        <f t="shared" si="0"/>
        <v>Clear</v>
      </c>
      <c r="S10">
        <f t="shared" si="1"/>
        <v>-0.25435329828790432</v>
      </c>
      <c r="T10">
        <f t="shared" si="2"/>
        <v>0.10399668008577614</v>
      </c>
      <c r="U10" s="6">
        <v>0.24</v>
      </c>
      <c r="V10">
        <f t="array" ref="V10">CORREL(IFERROR(VALUE(TRIM(CLEAN($U$2:$U$1001))),0), IFERROR(VALUE(TRIM(CLEAN($P$2:$P$1001))),0))</f>
        <v>0.23135628536430677</v>
      </c>
    </row>
    <row r="11" spans="1:22" x14ac:dyDescent="0.25">
      <c r="A11">
        <v>10</v>
      </c>
      <c r="B11" s="1">
        <v>40544</v>
      </c>
      <c r="C11">
        <v>1</v>
      </c>
      <c r="D11">
        <v>0</v>
      </c>
      <c r="E11">
        <v>1</v>
      </c>
      <c r="F11">
        <v>9</v>
      </c>
      <c r="G11" t="b">
        <v>0</v>
      </c>
      <c r="H11">
        <v>6</v>
      </c>
      <c r="I11">
        <v>1</v>
      </c>
      <c r="J11">
        <v>0.32</v>
      </c>
      <c r="K11">
        <v>0.34849999999999998</v>
      </c>
      <c r="L11">
        <v>0.76</v>
      </c>
      <c r="M11">
        <v>0</v>
      </c>
      <c r="N11">
        <v>8</v>
      </c>
      <c r="O11">
        <v>6</v>
      </c>
      <c r="P11">
        <v>14</v>
      </c>
      <c r="Q11" t="str">
        <f t="shared" si="3"/>
        <v>Weekday</v>
      </c>
      <c r="R11" t="str">
        <f t="shared" si="0"/>
        <v>Clear</v>
      </c>
      <c r="S11">
        <f t="shared" si="1"/>
        <v>-0.25435329828790432</v>
      </c>
      <c r="T11">
        <f t="shared" si="2"/>
        <v>0.10399668008577614</v>
      </c>
      <c r="U11" s="6">
        <v>0.32</v>
      </c>
      <c r="V11">
        <f t="array" ref="V11">CORREL(IFERROR(VALUE(TRIM(CLEAN($U$2:$U$1001))),0), IFERROR(VALUE(TRIM(CLEAN($P$2:$P$1001))),0))</f>
        <v>0.23135628536430677</v>
      </c>
    </row>
    <row r="12" spans="1:22" x14ac:dyDescent="0.25">
      <c r="A12">
        <v>11</v>
      </c>
      <c r="B12" s="1">
        <v>40544</v>
      </c>
      <c r="C12">
        <v>1</v>
      </c>
      <c r="D12">
        <v>0</v>
      </c>
      <c r="E12">
        <v>1</v>
      </c>
      <c r="F12">
        <v>10</v>
      </c>
      <c r="G12" t="b">
        <v>0</v>
      </c>
      <c r="H12">
        <v>6</v>
      </c>
      <c r="I12">
        <v>1</v>
      </c>
      <c r="J12">
        <v>0.38</v>
      </c>
      <c r="K12">
        <v>0.39389999999999997</v>
      </c>
      <c r="L12">
        <v>0.76</v>
      </c>
      <c r="M12">
        <v>0.25369999999999998</v>
      </c>
      <c r="N12">
        <v>12</v>
      </c>
      <c r="O12">
        <v>24</v>
      </c>
      <c r="P12">
        <v>36</v>
      </c>
      <c r="Q12" t="str">
        <f t="shared" si="3"/>
        <v>Weekday</v>
      </c>
      <c r="R12" t="str">
        <f t="shared" si="0"/>
        <v>Clear</v>
      </c>
      <c r="S12">
        <f t="shared" si="1"/>
        <v>-0.25435329828790432</v>
      </c>
      <c r="T12">
        <f t="shared" si="2"/>
        <v>0.10399668008577614</v>
      </c>
      <c r="U12" s="6">
        <v>0.38</v>
      </c>
      <c r="V12">
        <f t="array" ref="V12">CORREL(IFERROR(VALUE(TRIM(CLEAN($U$2:$U$1001))),0), IFERROR(VALUE(TRIM(CLEAN($P$2:$P$1001))),0))</f>
        <v>0.23135628536430677</v>
      </c>
    </row>
    <row r="13" spans="1:22" x14ac:dyDescent="0.25">
      <c r="A13">
        <v>12</v>
      </c>
      <c r="B13" s="1">
        <v>40544</v>
      </c>
      <c r="C13">
        <v>1</v>
      </c>
      <c r="D13">
        <v>0</v>
      </c>
      <c r="E13">
        <v>1</v>
      </c>
      <c r="F13">
        <v>11</v>
      </c>
      <c r="G13" t="b">
        <v>0</v>
      </c>
      <c r="H13">
        <v>6</v>
      </c>
      <c r="I13">
        <v>1</v>
      </c>
      <c r="J13">
        <v>0.36</v>
      </c>
      <c r="K13">
        <v>0.33329999999999999</v>
      </c>
      <c r="L13">
        <v>0.81</v>
      </c>
      <c r="M13">
        <v>0.28360000000000002</v>
      </c>
      <c r="N13">
        <v>26</v>
      </c>
      <c r="O13">
        <v>30</v>
      </c>
      <c r="P13">
        <v>56</v>
      </c>
      <c r="Q13" t="str">
        <f t="shared" si="3"/>
        <v>Weekday</v>
      </c>
      <c r="R13" t="str">
        <f t="shared" si="0"/>
        <v>Clear</v>
      </c>
      <c r="S13">
        <f t="shared" si="1"/>
        <v>-0.25435329828790432</v>
      </c>
      <c r="T13">
        <f t="shared" si="2"/>
        <v>0.10399668008577614</v>
      </c>
      <c r="U13" s="6">
        <v>0.36</v>
      </c>
      <c r="V13">
        <f t="array" ref="V13">CORREL(IFERROR(VALUE(TRIM(CLEAN($U$2:$U$1001))),0), IFERROR(VALUE(TRIM(CLEAN($P$2:$P$1001))),0))</f>
        <v>0.23135628536430677</v>
      </c>
    </row>
    <row r="14" spans="1:22" x14ac:dyDescent="0.25">
      <c r="A14">
        <v>13</v>
      </c>
      <c r="B14" s="1">
        <v>40544</v>
      </c>
      <c r="C14">
        <v>1</v>
      </c>
      <c r="D14">
        <v>0</v>
      </c>
      <c r="E14">
        <v>1</v>
      </c>
      <c r="F14">
        <v>12</v>
      </c>
      <c r="G14" t="b">
        <v>0</v>
      </c>
      <c r="H14">
        <v>6</v>
      </c>
      <c r="I14">
        <v>1</v>
      </c>
      <c r="J14">
        <v>0.42</v>
      </c>
      <c r="K14">
        <v>0.42420000000000002</v>
      </c>
      <c r="L14">
        <v>0.77</v>
      </c>
      <c r="M14">
        <v>0.28360000000000002</v>
      </c>
      <c r="N14">
        <v>29</v>
      </c>
      <c r="O14">
        <v>55</v>
      </c>
      <c r="P14">
        <v>84</v>
      </c>
      <c r="Q14" t="str">
        <f t="shared" si="3"/>
        <v>Weekday</v>
      </c>
      <c r="R14" t="str">
        <f t="shared" si="0"/>
        <v>Clear</v>
      </c>
      <c r="S14">
        <f t="shared" si="1"/>
        <v>-0.25435329828790432</v>
      </c>
      <c r="T14">
        <f t="shared" si="2"/>
        <v>0.10399668008577614</v>
      </c>
      <c r="U14" s="6">
        <v>0.42</v>
      </c>
      <c r="V14">
        <f t="array" ref="V14">CORREL(IFERROR(VALUE(TRIM(CLEAN($U$2:$U$1001))),0), IFERROR(VALUE(TRIM(CLEAN($P$2:$P$1001))),0))</f>
        <v>0.23135628536430677</v>
      </c>
    </row>
    <row r="15" spans="1:22" x14ac:dyDescent="0.25">
      <c r="A15">
        <v>14</v>
      </c>
      <c r="B15" s="1">
        <v>40544</v>
      </c>
      <c r="C15">
        <v>1</v>
      </c>
      <c r="D15">
        <v>0</v>
      </c>
      <c r="E15">
        <v>1</v>
      </c>
      <c r="F15">
        <v>13</v>
      </c>
      <c r="G15" t="b">
        <v>0</v>
      </c>
      <c r="H15">
        <v>6</v>
      </c>
      <c r="I15">
        <v>2</v>
      </c>
      <c r="J15">
        <v>0.46</v>
      </c>
      <c r="K15">
        <v>0.45450000000000002</v>
      </c>
      <c r="L15">
        <v>0.72</v>
      </c>
      <c r="M15">
        <v>0.29849999999999999</v>
      </c>
      <c r="N15">
        <v>47</v>
      </c>
      <c r="O15">
        <v>47</v>
      </c>
      <c r="P15">
        <v>94</v>
      </c>
      <c r="Q15" t="str">
        <f t="shared" si="3"/>
        <v>Weekend</v>
      </c>
      <c r="R15" t="str">
        <f t="shared" si="0"/>
        <v>Mist/Cloudy</v>
      </c>
      <c r="S15">
        <f t="shared" si="1"/>
        <v>-0.25435329828790432</v>
      </c>
      <c r="T15">
        <f t="shared" si="2"/>
        <v>0.10399668008577614</v>
      </c>
      <c r="U15" s="6">
        <v>0.46</v>
      </c>
      <c r="V15">
        <f t="array" ref="V15">CORREL(IFERROR(VALUE(TRIM(CLEAN($U$2:$U$1001))),0), IFERROR(VALUE(TRIM(CLEAN($P$2:$P$1001))),0))</f>
        <v>0.23135628536430677</v>
      </c>
    </row>
    <row r="16" spans="1:22" x14ac:dyDescent="0.25">
      <c r="A16">
        <v>15</v>
      </c>
      <c r="B16" s="1">
        <v>40544</v>
      </c>
      <c r="C16">
        <v>1</v>
      </c>
      <c r="D16">
        <v>0</v>
      </c>
      <c r="E16">
        <v>1</v>
      </c>
      <c r="F16">
        <v>14</v>
      </c>
      <c r="G16" t="b">
        <v>0</v>
      </c>
      <c r="H16">
        <v>6</v>
      </c>
      <c r="I16">
        <v>2</v>
      </c>
      <c r="J16">
        <v>0.46</v>
      </c>
      <c r="K16">
        <v>0.45450000000000002</v>
      </c>
      <c r="L16">
        <v>0.72</v>
      </c>
      <c r="M16">
        <v>0.28360000000000002</v>
      </c>
      <c r="N16">
        <v>35</v>
      </c>
      <c r="O16">
        <v>71</v>
      </c>
      <c r="P16">
        <v>106</v>
      </c>
      <c r="Q16" t="str">
        <f t="shared" si="3"/>
        <v>Weekend</v>
      </c>
      <c r="R16" t="str">
        <f t="shared" si="0"/>
        <v>Mist/Cloudy</v>
      </c>
      <c r="S16">
        <f t="shared" si="1"/>
        <v>-0.25435329828790432</v>
      </c>
      <c r="T16">
        <f t="shared" si="2"/>
        <v>0.10399668008577614</v>
      </c>
      <c r="U16" s="6">
        <v>0.46</v>
      </c>
      <c r="V16">
        <f t="array" ref="V16">CORREL(IFERROR(VALUE(TRIM(CLEAN($U$2:$U$1001))),0), IFERROR(VALUE(TRIM(CLEAN($P$2:$P$1001))),0))</f>
        <v>0.23135628536430677</v>
      </c>
    </row>
    <row r="17" spans="1:22" x14ac:dyDescent="0.25">
      <c r="A17">
        <v>16</v>
      </c>
      <c r="B17" s="1">
        <v>40544</v>
      </c>
      <c r="C17">
        <v>1</v>
      </c>
      <c r="D17">
        <v>0</v>
      </c>
      <c r="E17">
        <v>1</v>
      </c>
      <c r="F17">
        <v>15</v>
      </c>
      <c r="G17" t="b">
        <v>0</v>
      </c>
      <c r="H17">
        <v>6</v>
      </c>
      <c r="I17">
        <v>2</v>
      </c>
      <c r="J17">
        <v>0.44</v>
      </c>
      <c r="K17">
        <v>0.43940000000000001</v>
      </c>
      <c r="L17">
        <v>0.77</v>
      </c>
      <c r="M17">
        <v>0.29849999999999999</v>
      </c>
      <c r="N17">
        <v>40</v>
      </c>
      <c r="O17">
        <v>70</v>
      </c>
      <c r="P17">
        <v>110</v>
      </c>
      <c r="Q17" t="str">
        <f t="shared" si="3"/>
        <v>Weekday</v>
      </c>
      <c r="R17" t="str">
        <f t="shared" si="0"/>
        <v>Mist/Cloudy</v>
      </c>
      <c r="S17">
        <f t="shared" si="1"/>
        <v>-0.25435329828790432</v>
      </c>
      <c r="T17">
        <f t="shared" si="2"/>
        <v>0.10399668008577614</v>
      </c>
      <c r="U17" s="6">
        <v>0.44</v>
      </c>
      <c r="V17">
        <f t="array" ref="V17">CORREL(IFERROR(VALUE(TRIM(CLEAN($U$2:$U$1001))),0), IFERROR(VALUE(TRIM(CLEAN($P$2:$P$1001))),0))</f>
        <v>0.23135628536430677</v>
      </c>
    </row>
    <row r="18" spans="1:22" x14ac:dyDescent="0.25">
      <c r="A18">
        <v>17</v>
      </c>
      <c r="B18" s="1">
        <v>40544</v>
      </c>
      <c r="C18">
        <v>1</v>
      </c>
      <c r="D18">
        <v>0</v>
      </c>
      <c r="E18">
        <v>1</v>
      </c>
      <c r="F18">
        <v>16</v>
      </c>
      <c r="G18" t="b">
        <v>0</v>
      </c>
      <c r="H18">
        <v>6</v>
      </c>
      <c r="I18">
        <v>2</v>
      </c>
      <c r="J18">
        <v>0.42</v>
      </c>
      <c r="K18">
        <v>0.42420000000000002</v>
      </c>
      <c r="L18">
        <v>0.82</v>
      </c>
      <c r="M18">
        <v>0.29849999999999999</v>
      </c>
      <c r="N18">
        <v>41</v>
      </c>
      <c r="O18">
        <v>52</v>
      </c>
      <c r="P18">
        <v>93</v>
      </c>
      <c r="Q18" t="str">
        <f t="shared" si="3"/>
        <v>Weekday</v>
      </c>
      <c r="R18" t="str">
        <f t="shared" si="0"/>
        <v>Mist/Cloudy</v>
      </c>
      <c r="S18">
        <f t="shared" si="1"/>
        <v>-0.25435329828790432</v>
      </c>
      <c r="T18">
        <f t="shared" si="2"/>
        <v>0.10399668008577614</v>
      </c>
      <c r="U18" s="6">
        <v>0.42</v>
      </c>
      <c r="V18">
        <f t="array" ref="V18">CORREL(IFERROR(VALUE(TRIM(CLEAN($U$2:$U$1001))),0), IFERROR(VALUE(TRIM(CLEAN($P$2:$P$1001))),0))</f>
        <v>0.23135628536430677</v>
      </c>
    </row>
    <row r="19" spans="1:22" x14ac:dyDescent="0.25">
      <c r="A19">
        <v>18</v>
      </c>
      <c r="B19" s="1">
        <v>40544</v>
      </c>
      <c r="C19">
        <v>1</v>
      </c>
      <c r="D19">
        <v>0</v>
      </c>
      <c r="E19">
        <v>1</v>
      </c>
      <c r="F19">
        <v>17</v>
      </c>
      <c r="G19" t="b">
        <v>0</v>
      </c>
      <c r="H19">
        <v>6</v>
      </c>
      <c r="I19">
        <v>2</v>
      </c>
      <c r="J19">
        <v>0.44</v>
      </c>
      <c r="K19">
        <v>0.19993</v>
      </c>
      <c r="L19">
        <v>0.82</v>
      </c>
      <c r="M19">
        <v>0.28360000000000002</v>
      </c>
      <c r="N19">
        <v>15</v>
      </c>
      <c r="O19">
        <v>52</v>
      </c>
      <c r="P19">
        <v>67</v>
      </c>
      <c r="Q19" t="str">
        <f t="shared" si="3"/>
        <v>Weekday</v>
      </c>
      <c r="R19" t="str">
        <f t="shared" si="0"/>
        <v>Mist/Cloudy</v>
      </c>
      <c r="S19">
        <f t="shared" si="1"/>
        <v>-0.25435329828790432</v>
      </c>
      <c r="T19">
        <f t="shared" si="2"/>
        <v>0.10399668008577614</v>
      </c>
      <c r="U19" s="6">
        <v>0.44</v>
      </c>
      <c r="V19">
        <f t="array" ref="V19">CORREL(IFERROR(VALUE(TRIM(CLEAN($U$2:$U$1001))),0), IFERROR(VALUE(TRIM(CLEAN($P$2:$P$1001))),0))</f>
        <v>0.23135628536430677</v>
      </c>
    </row>
    <row r="20" spans="1:22" x14ac:dyDescent="0.25">
      <c r="A20">
        <v>19</v>
      </c>
      <c r="B20" s="1">
        <v>40544</v>
      </c>
      <c r="C20">
        <v>1</v>
      </c>
      <c r="D20">
        <v>0</v>
      </c>
      <c r="E20">
        <v>1</v>
      </c>
      <c r="F20">
        <v>18</v>
      </c>
      <c r="G20" t="b">
        <v>0</v>
      </c>
      <c r="H20">
        <v>6</v>
      </c>
      <c r="I20">
        <v>3</v>
      </c>
      <c r="J20">
        <v>0.42</v>
      </c>
      <c r="K20">
        <v>0.42420000000000002</v>
      </c>
      <c r="L20">
        <v>0.88</v>
      </c>
      <c r="M20">
        <v>0.25369999999999998</v>
      </c>
      <c r="N20">
        <v>9</v>
      </c>
      <c r="O20">
        <v>26</v>
      </c>
      <c r="P20">
        <v>35</v>
      </c>
      <c r="Q20" t="str">
        <f t="shared" si="3"/>
        <v>Weekday</v>
      </c>
      <c r="R20" t="str">
        <f t="shared" si="0"/>
        <v>Light Snow/Rain</v>
      </c>
      <c r="S20">
        <f t="shared" si="1"/>
        <v>-0.25435329828790432</v>
      </c>
      <c r="T20">
        <f t="shared" si="2"/>
        <v>0.10399668008577614</v>
      </c>
      <c r="U20" s="6">
        <v>0.42</v>
      </c>
      <c r="V20">
        <f t="array" ref="V20">CORREL(IFERROR(VALUE(TRIM(CLEAN($U$2:$U$1001))),0), IFERROR(VALUE(TRIM(CLEAN($P$2:$P$1001))),0))</f>
        <v>0.23135628536430677</v>
      </c>
    </row>
    <row r="21" spans="1:22" x14ac:dyDescent="0.25">
      <c r="A21">
        <v>20</v>
      </c>
      <c r="B21" s="1">
        <v>40544</v>
      </c>
      <c r="C21">
        <v>1</v>
      </c>
      <c r="D21">
        <v>0</v>
      </c>
      <c r="E21">
        <v>1</v>
      </c>
      <c r="F21">
        <v>19</v>
      </c>
      <c r="G21" t="b">
        <v>0</v>
      </c>
      <c r="H21">
        <v>6</v>
      </c>
      <c r="I21">
        <v>3</v>
      </c>
      <c r="J21">
        <v>0.42</v>
      </c>
      <c r="K21">
        <v>0.42420000000000002</v>
      </c>
      <c r="L21">
        <v>0.88</v>
      </c>
      <c r="M21">
        <v>0.25369999999999998</v>
      </c>
      <c r="N21">
        <v>6</v>
      </c>
      <c r="O21">
        <v>31</v>
      </c>
      <c r="P21">
        <v>37</v>
      </c>
      <c r="Q21" t="str">
        <f t="shared" si="3"/>
        <v>Weekday</v>
      </c>
      <c r="R21" t="str">
        <f t="shared" si="0"/>
        <v>Light Snow/Rain</v>
      </c>
      <c r="S21">
        <f t="shared" si="1"/>
        <v>-0.25435329828790432</v>
      </c>
      <c r="T21">
        <f t="shared" si="2"/>
        <v>0.10399668008577614</v>
      </c>
      <c r="U21" s="6">
        <v>0.42</v>
      </c>
      <c r="V21">
        <f t="array" ref="V21">CORREL(IFERROR(VALUE(TRIM(CLEAN($U$2:$U$1001))),0), IFERROR(VALUE(TRIM(CLEAN($P$2:$P$1001))),0))</f>
        <v>0.23135628536430677</v>
      </c>
    </row>
    <row r="22" spans="1:22" x14ac:dyDescent="0.25">
      <c r="A22">
        <v>21</v>
      </c>
      <c r="B22" s="1">
        <v>40544</v>
      </c>
      <c r="C22">
        <v>1</v>
      </c>
      <c r="D22">
        <v>0</v>
      </c>
      <c r="E22">
        <v>1</v>
      </c>
      <c r="F22">
        <v>20</v>
      </c>
      <c r="G22" t="b">
        <v>0</v>
      </c>
      <c r="H22">
        <v>6</v>
      </c>
      <c r="I22">
        <v>2</v>
      </c>
      <c r="J22">
        <v>0.4</v>
      </c>
      <c r="K22">
        <v>0.40910000000000002</v>
      </c>
      <c r="L22">
        <v>0.87</v>
      </c>
      <c r="M22">
        <v>0.25369999999999998</v>
      </c>
      <c r="N22">
        <v>11</v>
      </c>
      <c r="O22">
        <v>25</v>
      </c>
      <c r="P22">
        <v>36</v>
      </c>
      <c r="Q22" t="str">
        <f t="shared" si="3"/>
        <v>Weekend</v>
      </c>
      <c r="R22" t="str">
        <f t="shared" si="0"/>
        <v>Mist/Cloudy</v>
      </c>
      <c r="S22">
        <f t="shared" si="1"/>
        <v>-0.25435329828790432</v>
      </c>
      <c r="T22">
        <f t="shared" si="2"/>
        <v>0.10399668008577614</v>
      </c>
      <c r="U22" s="6">
        <v>0.4</v>
      </c>
      <c r="V22">
        <f t="array" ref="V22">CORREL(IFERROR(VALUE(TRIM(CLEAN($U$2:$U$1001))),0), IFERROR(VALUE(TRIM(CLEAN($P$2:$P$1001))),0))</f>
        <v>0.23135628536430677</v>
      </c>
    </row>
    <row r="23" spans="1:22" x14ac:dyDescent="0.25">
      <c r="A23">
        <v>22</v>
      </c>
      <c r="B23" s="1">
        <v>40544</v>
      </c>
      <c r="C23">
        <v>1</v>
      </c>
      <c r="D23">
        <v>0</v>
      </c>
      <c r="E23">
        <v>1</v>
      </c>
      <c r="F23">
        <v>21</v>
      </c>
      <c r="G23" t="b">
        <v>0</v>
      </c>
      <c r="H23">
        <v>6</v>
      </c>
      <c r="I23">
        <v>2</v>
      </c>
      <c r="J23">
        <v>0.4</v>
      </c>
      <c r="K23">
        <v>0.40910000000000002</v>
      </c>
      <c r="L23">
        <v>0.87</v>
      </c>
      <c r="M23">
        <v>0.19400000000000001</v>
      </c>
      <c r="N23">
        <v>3</v>
      </c>
      <c r="O23">
        <v>31</v>
      </c>
      <c r="P23">
        <v>34</v>
      </c>
      <c r="Q23" t="str">
        <f t="shared" si="3"/>
        <v>Weekend</v>
      </c>
      <c r="R23" t="str">
        <f t="shared" si="0"/>
        <v>Mist/Cloudy</v>
      </c>
      <c r="S23">
        <f t="shared" si="1"/>
        <v>-0.25435329828790432</v>
      </c>
      <c r="T23">
        <f t="shared" si="2"/>
        <v>0.10399668008577614</v>
      </c>
      <c r="U23" s="6">
        <v>0.4</v>
      </c>
      <c r="V23">
        <f t="array" ref="V23">CORREL(IFERROR(VALUE(TRIM(CLEAN($U$2:$U$1001))),0), IFERROR(VALUE(TRIM(CLEAN($P$2:$P$1001))),0))</f>
        <v>0.23135628536430677</v>
      </c>
    </row>
    <row r="24" spans="1:22" x14ac:dyDescent="0.25">
      <c r="A24">
        <v>23</v>
      </c>
      <c r="B24" s="1">
        <v>40544</v>
      </c>
      <c r="C24">
        <v>1</v>
      </c>
      <c r="D24">
        <v>0</v>
      </c>
      <c r="E24">
        <v>1</v>
      </c>
      <c r="F24">
        <v>22</v>
      </c>
      <c r="G24" t="b">
        <v>0</v>
      </c>
      <c r="H24">
        <v>6</v>
      </c>
      <c r="I24">
        <v>2</v>
      </c>
      <c r="J24">
        <v>0.4</v>
      </c>
      <c r="K24">
        <v>0.40910000000000002</v>
      </c>
      <c r="L24">
        <v>0.94</v>
      </c>
      <c r="M24">
        <v>0.22389999999999999</v>
      </c>
      <c r="N24">
        <v>11</v>
      </c>
      <c r="O24">
        <v>17</v>
      </c>
      <c r="P24">
        <v>28</v>
      </c>
      <c r="Q24" t="str">
        <f t="shared" si="3"/>
        <v>Weekday</v>
      </c>
      <c r="R24" t="str">
        <f t="shared" si="0"/>
        <v>Mist/Cloudy</v>
      </c>
      <c r="S24">
        <f t="shared" si="1"/>
        <v>-0.25435329828790432</v>
      </c>
      <c r="T24">
        <f t="shared" si="2"/>
        <v>0.10399668008577614</v>
      </c>
      <c r="U24" s="6">
        <v>0.4</v>
      </c>
      <c r="V24">
        <f t="array" ref="V24">CORREL(IFERROR(VALUE(TRIM(CLEAN($U$2:$U$1001))),0), IFERROR(VALUE(TRIM(CLEAN($P$2:$P$1001))),0))</f>
        <v>0.23135628536430677</v>
      </c>
    </row>
    <row r="25" spans="1:22" x14ac:dyDescent="0.25">
      <c r="A25">
        <v>24</v>
      </c>
      <c r="B25" s="1">
        <v>40544</v>
      </c>
      <c r="C25">
        <v>1</v>
      </c>
      <c r="D25">
        <v>0</v>
      </c>
      <c r="E25">
        <v>1</v>
      </c>
      <c r="F25">
        <v>23</v>
      </c>
      <c r="G25" t="b">
        <v>0</v>
      </c>
      <c r="H25">
        <v>6</v>
      </c>
      <c r="I25">
        <v>2</v>
      </c>
      <c r="J25">
        <v>0.46</v>
      </c>
      <c r="K25">
        <v>0.19993</v>
      </c>
      <c r="L25">
        <v>0.88</v>
      </c>
      <c r="M25">
        <v>0.29849999999999999</v>
      </c>
      <c r="N25">
        <v>15</v>
      </c>
      <c r="O25">
        <v>24</v>
      </c>
      <c r="P25">
        <v>39</v>
      </c>
      <c r="Q25" t="str">
        <f t="shared" si="3"/>
        <v>Weekday</v>
      </c>
      <c r="R25" t="str">
        <f t="shared" si="0"/>
        <v>Mist/Cloudy</v>
      </c>
      <c r="S25">
        <f t="shared" si="1"/>
        <v>-0.25435329828790432</v>
      </c>
      <c r="T25">
        <f t="shared" si="2"/>
        <v>0.10399668008577614</v>
      </c>
      <c r="U25" s="6">
        <v>0.46</v>
      </c>
      <c r="V25">
        <f t="array" ref="V25">CORREL(IFERROR(VALUE(TRIM(CLEAN($U$2:$U$1001))),0), IFERROR(VALUE(TRIM(CLEAN($P$2:$P$1001))),0))</f>
        <v>0.23135628536430677</v>
      </c>
    </row>
    <row r="26" spans="1:22" x14ac:dyDescent="0.25">
      <c r="A26">
        <v>25</v>
      </c>
      <c r="B26" s="1">
        <v>40545</v>
      </c>
      <c r="C26">
        <v>1</v>
      </c>
      <c r="D26">
        <v>0</v>
      </c>
      <c r="E26">
        <v>1</v>
      </c>
      <c r="F26">
        <v>0</v>
      </c>
      <c r="G26" t="b">
        <v>0</v>
      </c>
      <c r="H26">
        <v>0</v>
      </c>
      <c r="I26">
        <v>2</v>
      </c>
      <c r="J26">
        <v>0.46</v>
      </c>
      <c r="K26">
        <v>0.45450000000000002</v>
      </c>
      <c r="L26">
        <v>0.88</v>
      </c>
      <c r="M26">
        <v>0.29849999999999999</v>
      </c>
      <c r="N26">
        <v>4</v>
      </c>
      <c r="O26">
        <v>13</v>
      </c>
      <c r="P26">
        <v>17</v>
      </c>
      <c r="Q26" t="str">
        <f t="shared" si="3"/>
        <v>Weekday</v>
      </c>
      <c r="R26" t="str">
        <f t="shared" si="0"/>
        <v>Mist/Cloudy</v>
      </c>
      <c r="S26">
        <f t="shared" si="1"/>
        <v>-0.25435329828790432</v>
      </c>
      <c r="T26">
        <f t="shared" si="2"/>
        <v>0.10399668008577614</v>
      </c>
      <c r="U26" s="6">
        <v>0.46</v>
      </c>
      <c r="V26">
        <f t="array" ref="V26">CORREL(IFERROR(VALUE(TRIM(CLEAN($U$2:$U$1001))),0), IFERROR(VALUE(TRIM(CLEAN($P$2:$P$1001))),0))</f>
        <v>0.23135628536430677</v>
      </c>
    </row>
    <row r="27" spans="1:22" x14ac:dyDescent="0.25">
      <c r="A27">
        <v>26</v>
      </c>
      <c r="B27" s="1">
        <v>40545</v>
      </c>
      <c r="C27">
        <v>1</v>
      </c>
      <c r="D27">
        <v>0</v>
      </c>
      <c r="E27">
        <v>1</v>
      </c>
      <c r="F27">
        <v>1</v>
      </c>
      <c r="G27" t="b">
        <v>0</v>
      </c>
      <c r="H27">
        <v>0</v>
      </c>
      <c r="I27">
        <v>2</v>
      </c>
      <c r="J27">
        <v>0.44</v>
      </c>
      <c r="K27">
        <v>0.43940000000000001</v>
      </c>
      <c r="L27">
        <v>0.94</v>
      </c>
      <c r="M27">
        <v>0.25369999999999998</v>
      </c>
      <c r="N27">
        <v>1</v>
      </c>
      <c r="O27">
        <v>16</v>
      </c>
      <c r="P27">
        <v>17</v>
      </c>
      <c r="Q27" t="str">
        <f t="shared" si="3"/>
        <v>Weekday</v>
      </c>
      <c r="R27" t="str">
        <f t="shared" si="0"/>
        <v>Mist/Cloudy</v>
      </c>
      <c r="S27">
        <f t="shared" si="1"/>
        <v>-0.25435329828790432</v>
      </c>
      <c r="T27">
        <f t="shared" si="2"/>
        <v>0.10399668008577614</v>
      </c>
      <c r="U27" s="6">
        <v>0.44</v>
      </c>
      <c r="V27">
        <f t="array" ref="V27">CORREL(IFERROR(VALUE(TRIM(CLEAN($U$2:$U$1001))),0), IFERROR(VALUE(TRIM(CLEAN($P$2:$P$1001))),0))</f>
        <v>0.23135628536430677</v>
      </c>
    </row>
    <row r="28" spans="1:22" x14ac:dyDescent="0.25">
      <c r="A28">
        <v>27</v>
      </c>
      <c r="B28" s="1">
        <v>40545</v>
      </c>
      <c r="C28">
        <v>1</v>
      </c>
      <c r="D28">
        <v>0</v>
      </c>
      <c r="E28">
        <v>1</v>
      </c>
      <c r="F28">
        <v>2</v>
      </c>
      <c r="G28" t="b">
        <v>0</v>
      </c>
      <c r="H28">
        <v>0</v>
      </c>
      <c r="I28">
        <v>2</v>
      </c>
      <c r="J28">
        <v>0.42</v>
      </c>
      <c r="K28">
        <v>0.42420000000000002</v>
      </c>
      <c r="L28">
        <v>1</v>
      </c>
      <c r="M28">
        <v>0.28360000000000002</v>
      </c>
      <c r="N28">
        <v>1</v>
      </c>
      <c r="O28">
        <v>8</v>
      </c>
      <c r="P28">
        <v>9</v>
      </c>
      <c r="Q28" t="str">
        <f t="shared" si="3"/>
        <v>Weekday</v>
      </c>
      <c r="R28" t="str">
        <f t="shared" si="0"/>
        <v>Mist/Cloudy</v>
      </c>
      <c r="S28">
        <f t="shared" si="1"/>
        <v>-0.25435329828790432</v>
      </c>
      <c r="T28">
        <f t="shared" si="2"/>
        <v>0.10399668008577614</v>
      </c>
      <c r="U28" s="6">
        <v>0.42</v>
      </c>
      <c r="V28">
        <f t="array" ref="V28">CORREL(IFERROR(VALUE(TRIM(CLEAN($U$2:$U$1001))),0), IFERROR(VALUE(TRIM(CLEAN($P$2:$P$1001))),0))</f>
        <v>0.23135628536430677</v>
      </c>
    </row>
    <row r="29" spans="1:22" x14ac:dyDescent="0.25">
      <c r="A29">
        <v>28</v>
      </c>
      <c r="B29" s="1">
        <v>40545</v>
      </c>
      <c r="C29">
        <v>1</v>
      </c>
      <c r="D29">
        <v>0</v>
      </c>
      <c r="E29">
        <v>1</v>
      </c>
      <c r="F29">
        <v>3</v>
      </c>
      <c r="G29" t="b">
        <v>0</v>
      </c>
      <c r="H29">
        <v>0</v>
      </c>
      <c r="I29">
        <v>2</v>
      </c>
      <c r="J29">
        <v>0.46</v>
      </c>
      <c r="K29">
        <v>0.45450000000000002</v>
      </c>
      <c r="L29">
        <v>0.94</v>
      </c>
      <c r="M29">
        <v>0.19400000000000001</v>
      </c>
      <c r="N29">
        <v>2</v>
      </c>
      <c r="O29">
        <v>4</v>
      </c>
      <c r="P29">
        <v>6</v>
      </c>
      <c r="Q29" t="str">
        <f t="shared" si="3"/>
        <v>Weekend</v>
      </c>
      <c r="R29" t="str">
        <f t="shared" si="0"/>
        <v>Mist/Cloudy</v>
      </c>
      <c r="S29">
        <f t="shared" si="1"/>
        <v>-0.25435329828790432</v>
      </c>
      <c r="T29">
        <f t="shared" si="2"/>
        <v>0.10399668008577614</v>
      </c>
      <c r="U29" s="6">
        <v>0.46</v>
      </c>
      <c r="V29">
        <f t="array" ref="V29">CORREL(IFERROR(VALUE(TRIM(CLEAN($U$2:$U$1001))),0), IFERROR(VALUE(TRIM(CLEAN($P$2:$P$1001))),0))</f>
        <v>0.23135628536430677</v>
      </c>
    </row>
    <row r="30" spans="1:22" x14ac:dyDescent="0.25">
      <c r="A30">
        <v>29</v>
      </c>
      <c r="B30" s="1">
        <v>40545</v>
      </c>
      <c r="C30">
        <v>1</v>
      </c>
      <c r="D30">
        <v>0</v>
      </c>
      <c r="E30">
        <v>1</v>
      </c>
      <c r="F30">
        <v>4</v>
      </c>
      <c r="G30" t="b">
        <v>0</v>
      </c>
      <c r="H30">
        <v>0</v>
      </c>
      <c r="I30">
        <v>2</v>
      </c>
      <c r="J30">
        <v>0.46</v>
      </c>
      <c r="K30">
        <v>0.19993</v>
      </c>
      <c r="L30">
        <v>0.94</v>
      </c>
      <c r="M30">
        <v>0.19400000000000001</v>
      </c>
      <c r="N30">
        <v>2</v>
      </c>
      <c r="O30">
        <v>1</v>
      </c>
      <c r="P30">
        <v>3</v>
      </c>
      <c r="Q30" t="str">
        <f t="shared" si="3"/>
        <v>Weekend</v>
      </c>
      <c r="R30" t="str">
        <f t="shared" si="0"/>
        <v>Mist/Cloudy</v>
      </c>
      <c r="S30">
        <f t="shared" si="1"/>
        <v>-0.25435329828790432</v>
      </c>
      <c r="T30">
        <f t="shared" si="2"/>
        <v>0.10399668008577614</v>
      </c>
      <c r="U30" s="6">
        <v>0.46</v>
      </c>
      <c r="V30">
        <f t="array" ref="V30">CORREL(IFERROR(VALUE(TRIM(CLEAN($U$2:$U$1001))),0), IFERROR(VALUE(TRIM(CLEAN($P$2:$P$1001))),0))</f>
        <v>0.23135628536430677</v>
      </c>
    </row>
    <row r="31" spans="1:22" x14ac:dyDescent="0.25">
      <c r="A31">
        <v>30</v>
      </c>
      <c r="B31" s="1">
        <v>40545</v>
      </c>
      <c r="C31">
        <v>1</v>
      </c>
      <c r="D31">
        <v>0</v>
      </c>
      <c r="E31">
        <v>1</v>
      </c>
      <c r="F31">
        <v>6</v>
      </c>
      <c r="G31" t="b">
        <v>0</v>
      </c>
      <c r="H31">
        <v>0</v>
      </c>
      <c r="I31">
        <v>3</v>
      </c>
      <c r="J31">
        <v>0.42</v>
      </c>
      <c r="K31">
        <v>0.42420000000000002</v>
      </c>
      <c r="L31">
        <v>0.77</v>
      </c>
      <c r="M31">
        <v>0.29849999999999999</v>
      </c>
      <c r="N31">
        <v>0</v>
      </c>
      <c r="O31">
        <v>2</v>
      </c>
      <c r="P31">
        <v>2</v>
      </c>
      <c r="Q31" t="str">
        <f t="shared" si="3"/>
        <v>Weekday</v>
      </c>
      <c r="R31" t="str">
        <f t="shared" si="0"/>
        <v>Light Snow/Rain</v>
      </c>
      <c r="S31">
        <f t="shared" si="1"/>
        <v>-0.25435329828790432</v>
      </c>
      <c r="T31">
        <f t="shared" si="2"/>
        <v>0.10399668008577614</v>
      </c>
      <c r="U31" s="6">
        <v>0.42</v>
      </c>
      <c r="V31">
        <f t="array" ref="V31">CORREL(IFERROR(VALUE(TRIM(CLEAN($U$2:$U$1001))),0), IFERROR(VALUE(TRIM(CLEAN($P$2:$P$1001))),0))</f>
        <v>0.23135628536430677</v>
      </c>
    </row>
    <row r="32" spans="1:22" x14ac:dyDescent="0.25">
      <c r="A32">
        <v>31</v>
      </c>
      <c r="B32" s="1">
        <v>40545</v>
      </c>
      <c r="C32">
        <v>1</v>
      </c>
      <c r="D32">
        <v>0</v>
      </c>
      <c r="E32">
        <v>1</v>
      </c>
      <c r="F32">
        <v>7</v>
      </c>
      <c r="G32" t="b">
        <v>0</v>
      </c>
      <c r="H32">
        <v>0</v>
      </c>
      <c r="I32">
        <v>2</v>
      </c>
      <c r="J32">
        <v>0.4</v>
      </c>
      <c r="K32">
        <v>0.40910000000000002</v>
      </c>
      <c r="L32">
        <v>0.76</v>
      </c>
      <c r="M32">
        <v>0.19400000000000001</v>
      </c>
      <c r="N32">
        <v>0</v>
      </c>
      <c r="O32">
        <v>1</v>
      </c>
      <c r="P32">
        <v>1</v>
      </c>
      <c r="Q32" t="str">
        <f t="shared" si="3"/>
        <v>Weekday</v>
      </c>
      <c r="R32" t="str">
        <f t="shared" si="0"/>
        <v>Mist/Cloudy</v>
      </c>
      <c r="S32">
        <f t="shared" si="1"/>
        <v>-0.25435329828790432</v>
      </c>
      <c r="T32">
        <f t="shared" si="2"/>
        <v>0.10399668008577614</v>
      </c>
      <c r="U32" s="6">
        <v>0.4</v>
      </c>
      <c r="V32">
        <f t="array" ref="V32">CORREL(IFERROR(VALUE(TRIM(CLEAN($U$2:$U$1001))),0), IFERROR(VALUE(TRIM(CLEAN($P$2:$P$1001))),0))</f>
        <v>0.23135628536430677</v>
      </c>
    </row>
    <row r="33" spans="1:22" x14ac:dyDescent="0.25">
      <c r="A33">
        <v>32</v>
      </c>
      <c r="B33" s="1">
        <v>40545</v>
      </c>
      <c r="C33">
        <v>1</v>
      </c>
      <c r="D33">
        <v>0</v>
      </c>
      <c r="E33">
        <v>1</v>
      </c>
      <c r="F33">
        <v>8</v>
      </c>
      <c r="G33" t="b">
        <v>0</v>
      </c>
      <c r="H33">
        <v>0</v>
      </c>
      <c r="I33">
        <v>3</v>
      </c>
      <c r="J33">
        <v>0.4</v>
      </c>
      <c r="K33">
        <v>0.40910000000000002</v>
      </c>
      <c r="L33">
        <v>0.71</v>
      </c>
      <c r="M33">
        <v>0.22389999999999999</v>
      </c>
      <c r="N33">
        <v>0</v>
      </c>
      <c r="O33">
        <v>8</v>
      </c>
      <c r="P33">
        <v>8</v>
      </c>
      <c r="Q33" t="str">
        <f t="shared" si="3"/>
        <v>Weekday</v>
      </c>
      <c r="R33" t="str">
        <f t="shared" si="0"/>
        <v>Light Snow/Rain</v>
      </c>
      <c r="S33">
        <f t="shared" si="1"/>
        <v>-0.25435329828790432</v>
      </c>
      <c r="T33">
        <f t="shared" si="2"/>
        <v>0.10399668008577614</v>
      </c>
      <c r="U33" s="6">
        <v>0.4</v>
      </c>
      <c r="V33">
        <f t="array" ref="V33">CORREL(IFERROR(VALUE(TRIM(CLEAN($U$2:$U$1001))),0), IFERROR(VALUE(TRIM(CLEAN($P$2:$P$1001))),0))</f>
        <v>0.23135628536430677</v>
      </c>
    </row>
    <row r="34" spans="1:22" x14ac:dyDescent="0.25">
      <c r="A34">
        <v>33</v>
      </c>
      <c r="B34" s="1">
        <v>40545</v>
      </c>
      <c r="C34">
        <v>1</v>
      </c>
      <c r="D34">
        <v>0</v>
      </c>
      <c r="E34">
        <v>1</v>
      </c>
      <c r="F34">
        <v>9</v>
      </c>
      <c r="G34" t="b">
        <v>0</v>
      </c>
      <c r="H34">
        <v>0</v>
      </c>
      <c r="I34">
        <v>2</v>
      </c>
      <c r="J34">
        <v>0.38</v>
      </c>
      <c r="K34">
        <v>0.19993</v>
      </c>
      <c r="L34">
        <v>0.76</v>
      </c>
      <c r="M34">
        <v>0.22389999999999999</v>
      </c>
      <c r="N34">
        <v>1</v>
      </c>
      <c r="O34">
        <v>19</v>
      </c>
      <c r="P34">
        <v>20</v>
      </c>
      <c r="Q34" t="str">
        <f t="shared" si="3"/>
        <v>Weekday</v>
      </c>
      <c r="R34" t="str">
        <f t="shared" si="0"/>
        <v>Mist/Cloudy</v>
      </c>
      <c r="S34">
        <f t="shared" si="1"/>
        <v>-0.25435329828790432</v>
      </c>
      <c r="T34">
        <f t="shared" si="2"/>
        <v>0.10399668008577614</v>
      </c>
      <c r="U34" s="6">
        <v>0.38</v>
      </c>
      <c r="V34">
        <f t="array" ref="V34">CORREL(IFERROR(VALUE(TRIM(CLEAN($U$2:$U$1001))),0), IFERROR(VALUE(TRIM(CLEAN($P$2:$P$1001))),0))</f>
        <v>0.23135628536430677</v>
      </c>
    </row>
    <row r="35" spans="1:22" x14ac:dyDescent="0.25">
      <c r="A35">
        <v>34</v>
      </c>
      <c r="B35" s="1">
        <v>40545</v>
      </c>
      <c r="C35">
        <v>1</v>
      </c>
      <c r="D35">
        <v>0</v>
      </c>
      <c r="E35">
        <v>1</v>
      </c>
      <c r="F35">
        <v>10</v>
      </c>
      <c r="G35" t="b">
        <v>0</v>
      </c>
      <c r="H35">
        <v>0</v>
      </c>
      <c r="I35">
        <v>2</v>
      </c>
      <c r="J35">
        <v>0.36</v>
      </c>
      <c r="K35">
        <v>0.34849999999999998</v>
      </c>
      <c r="L35">
        <v>0.81</v>
      </c>
      <c r="M35">
        <v>0.22389999999999999</v>
      </c>
      <c r="N35">
        <v>7</v>
      </c>
      <c r="O35">
        <v>46</v>
      </c>
      <c r="P35">
        <v>53</v>
      </c>
      <c r="Q35" t="str">
        <f t="shared" si="3"/>
        <v>Weekday</v>
      </c>
      <c r="R35" t="str">
        <f t="shared" si="0"/>
        <v>Mist/Cloudy</v>
      </c>
      <c r="S35">
        <f t="shared" si="1"/>
        <v>-0.25435329828790432</v>
      </c>
      <c r="T35">
        <f t="shared" si="2"/>
        <v>0.10399668008577614</v>
      </c>
      <c r="U35" s="6">
        <v>0.36</v>
      </c>
      <c r="V35">
        <f t="array" ref="V35">CORREL(IFERROR(VALUE(TRIM(CLEAN($U$2:$U$1001))),0), IFERROR(VALUE(TRIM(CLEAN($P$2:$P$1001))),0))</f>
        <v>0.23135628536430677</v>
      </c>
    </row>
    <row r="36" spans="1:22" x14ac:dyDescent="0.25">
      <c r="A36">
        <v>35</v>
      </c>
      <c r="B36" s="1">
        <v>40545</v>
      </c>
      <c r="C36">
        <v>1</v>
      </c>
      <c r="D36">
        <v>0</v>
      </c>
      <c r="E36">
        <v>1</v>
      </c>
      <c r="F36">
        <v>11</v>
      </c>
      <c r="G36" t="b">
        <v>0</v>
      </c>
      <c r="H36">
        <v>0</v>
      </c>
      <c r="I36">
        <v>2</v>
      </c>
      <c r="J36">
        <v>0.36</v>
      </c>
      <c r="K36">
        <v>0.33329999999999999</v>
      </c>
      <c r="L36">
        <v>0.71</v>
      </c>
      <c r="M36">
        <v>0.25369999999999998</v>
      </c>
      <c r="N36">
        <v>16</v>
      </c>
      <c r="O36">
        <v>54</v>
      </c>
      <c r="P36">
        <v>70</v>
      </c>
      <c r="Q36" t="str">
        <f t="shared" si="3"/>
        <v>Weekend</v>
      </c>
      <c r="R36" t="str">
        <f t="shared" si="0"/>
        <v>Mist/Cloudy</v>
      </c>
      <c r="S36">
        <f t="shared" si="1"/>
        <v>-0.25435329828790432</v>
      </c>
      <c r="T36">
        <f t="shared" si="2"/>
        <v>0.10399668008577614</v>
      </c>
      <c r="U36" s="6">
        <v>0.36</v>
      </c>
      <c r="V36">
        <f t="array" ref="V36">CORREL(IFERROR(VALUE(TRIM(CLEAN($U$2:$U$1001))),0), IFERROR(VALUE(TRIM(CLEAN($P$2:$P$1001))),0))</f>
        <v>0.23135628536430677</v>
      </c>
    </row>
    <row r="37" spans="1:22" x14ac:dyDescent="0.25">
      <c r="A37">
        <v>36</v>
      </c>
      <c r="B37" s="1">
        <v>40545</v>
      </c>
      <c r="C37">
        <v>1</v>
      </c>
      <c r="D37">
        <v>0</v>
      </c>
      <c r="E37">
        <v>1</v>
      </c>
      <c r="F37">
        <v>12</v>
      </c>
      <c r="G37" t="b">
        <v>0</v>
      </c>
      <c r="H37">
        <v>0</v>
      </c>
      <c r="I37">
        <v>2</v>
      </c>
      <c r="J37">
        <v>0.36</v>
      </c>
      <c r="K37">
        <v>0.33329999999999999</v>
      </c>
      <c r="L37">
        <v>0.66</v>
      </c>
      <c r="M37">
        <v>0.29849999999999999</v>
      </c>
      <c r="N37">
        <v>20</v>
      </c>
      <c r="O37">
        <v>73</v>
      </c>
      <c r="P37">
        <v>93</v>
      </c>
      <c r="Q37" t="str">
        <f t="shared" si="3"/>
        <v>Weekend</v>
      </c>
      <c r="R37" t="str">
        <f t="shared" si="0"/>
        <v>Mist/Cloudy</v>
      </c>
      <c r="S37">
        <f t="shared" si="1"/>
        <v>-0.25435329828790432</v>
      </c>
      <c r="T37">
        <f t="shared" si="2"/>
        <v>0.10399668008577614</v>
      </c>
      <c r="U37" s="6">
        <v>0.36</v>
      </c>
      <c r="V37">
        <f t="array" ref="V37">CORREL(IFERROR(VALUE(TRIM(CLEAN($U$2:$U$1001))),0), IFERROR(VALUE(TRIM(CLEAN($P$2:$P$1001))),0))</f>
        <v>0.23135628536430677</v>
      </c>
    </row>
    <row r="38" spans="1:22" x14ac:dyDescent="0.25">
      <c r="A38">
        <v>37</v>
      </c>
      <c r="B38" s="1">
        <v>40545</v>
      </c>
      <c r="C38">
        <v>1</v>
      </c>
      <c r="D38">
        <v>0</v>
      </c>
      <c r="E38">
        <v>1</v>
      </c>
      <c r="F38">
        <v>13</v>
      </c>
      <c r="G38" t="b">
        <v>0</v>
      </c>
      <c r="H38">
        <v>0</v>
      </c>
      <c r="I38">
        <v>2</v>
      </c>
      <c r="J38">
        <v>0.36</v>
      </c>
      <c r="K38">
        <v>0.34849999999999998</v>
      </c>
      <c r="L38">
        <v>0.66</v>
      </c>
      <c r="M38">
        <v>0.1343</v>
      </c>
      <c r="N38">
        <v>11</v>
      </c>
      <c r="O38">
        <v>64</v>
      </c>
      <c r="P38">
        <v>75</v>
      </c>
      <c r="Q38" t="str">
        <f t="shared" si="3"/>
        <v>Weekday</v>
      </c>
      <c r="R38" t="str">
        <f t="shared" si="0"/>
        <v>Mist/Cloudy</v>
      </c>
      <c r="S38">
        <f t="shared" si="1"/>
        <v>-0.25435329828790432</v>
      </c>
      <c r="T38">
        <f t="shared" si="2"/>
        <v>0.10399668008577614</v>
      </c>
      <c r="U38" s="6">
        <v>0.36</v>
      </c>
      <c r="V38">
        <f t="array" ref="V38">CORREL(IFERROR(VALUE(TRIM(CLEAN($U$2:$U$1001))),0), IFERROR(VALUE(TRIM(CLEAN($P$2:$P$1001))),0))</f>
        <v>0.23135628536430677</v>
      </c>
    </row>
    <row r="39" spans="1:22" x14ac:dyDescent="0.25">
      <c r="A39">
        <v>38</v>
      </c>
      <c r="B39" s="1">
        <v>40545</v>
      </c>
      <c r="C39">
        <v>1</v>
      </c>
      <c r="D39">
        <v>0</v>
      </c>
      <c r="E39">
        <v>1</v>
      </c>
      <c r="F39">
        <v>14</v>
      </c>
      <c r="G39" t="b">
        <v>0</v>
      </c>
      <c r="H39">
        <v>0</v>
      </c>
      <c r="I39">
        <v>3</v>
      </c>
      <c r="J39">
        <v>0.36</v>
      </c>
      <c r="K39">
        <v>0.19993</v>
      </c>
      <c r="L39">
        <v>0.76</v>
      </c>
      <c r="M39">
        <v>0.19400000000000001</v>
      </c>
      <c r="N39">
        <v>4</v>
      </c>
      <c r="O39">
        <v>55</v>
      </c>
      <c r="P39">
        <v>59</v>
      </c>
      <c r="Q39" t="str">
        <f t="shared" si="3"/>
        <v>Weekday</v>
      </c>
      <c r="R39" t="str">
        <f t="shared" si="0"/>
        <v>Light Snow/Rain</v>
      </c>
      <c r="S39">
        <f t="shared" si="1"/>
        <v>-0.25435329828790432</v>
      </c>
      <c r="T39">
        <f t="shared" si="2"/>
        <v>0.10399668008577614</v>
      </c>
      <c r="U39" s="6">
        <v>0.36</v>
      </c>
      <c r="V39">
        <f t="array" ref="V39">CORREL(IFERROR(VALUE(TRIM(CLEAN($U$2:$U$1001))),0), IFERROR(VALUE(TRIM(CLEAN($P$2:$P$1001))),0))</f>
        <v>0.23135628536430677</v>
      </c>
    </row>
    <row r="40" spans="1:22" x14ac:dyDescent="0.25">
      <c r="A40">
        <v>39</v>
      </c>
      <c r="B40" s="1">
        <v>40545</v>
      </c>
      <c r="C40">
        <v>1</v>
      </c>
      <c r="D40">
        <v>0</v>
      </c>
      <c r="E40">
        <v>1</v>
      </c>
      <c r="F40">
        <v>15</v>
      </c>
      <c r="G40" t="b">
        <v>0</v>
      </c>
      <c r="H40">
        <v>0</v>
      </c>
      <c r="I40">
        <v>3</v>
      </c>
      <c r="J40">
        <v>0.34</v>
      </c>
      <c r="K40">
        <v>0.33329999999999999</v>
      </c>
      <c r="L40">
        <v>0.81</v>
      </c>
      <c r="M40">
        <v>0.16420000000000001</v>
      </c>
      <c r="N40">
        <v>19</v>
      </c>
      <c r="O40">
        <v>55</v>
      </c>
      <c r="P40">
        <v>74</v>
      </c>
      <c r="Q40" t="str">
        <f t="shared" si="3"/>
        <v>Weekday</v>
      </c>
      <c r="R40" t="str">
        <f t="shared" si="0"/>
        <v>Light Snow/Rain</v>
      </c>
      <c r="S40">
        <f t="shared" si="1"/>
        <v>-0.25435329828790432</v>
      </c>
      <c r="T40">
        <f t="shared" si="2"/>
        <v>0.10399668008577614</v>
      </c>
      <c r="U40" s="6">
        <v>0.34</v>
      </c>
      <c r="V40">
        <f t="array" ref="V40">CORREL(IFERROR(VALUE(TRIM(CLEAN($U$2:$U$1001))),0), IFERROR(VALUE(TRIM(CLEAN($P$2:$P$1001))),0))</f>
        <v>0.23135628536430677</v>
      </c>
    </row>
    <row r="41" spans="1:22" x14ac:dyDescent="0.25">
      <c r="A41">
        <v>40</v>
      </c>
      <c r="B41" s="1">
        <v>40545</v>
      </c>
      <c r="C41">
        <v>1</v>
      </c>
      <c r="D41">
        <v>0</v>
      </c>
      <c r="E41">
        <v>1</v>
      </c>
      <c r="F41">
        <v>16</v>
      </c>
      <c r="G41" t="b">
        <v>0</v>
      </c>
      <c r="H41">
        <v>0</v>
      </c>
      <c r="I41">
        <v>3</v>
      </c>
      <c r="J41">
        <v>0.34</v>
      </c>
      <c r="K41">
        <v>0.33329999999999999</v>
      </c>
      <c r="L41">
        <v>0.71</v>
      </c>
      <c r="M41">
        <v>0.16420000000000001</v>
      </c>
      <c r="N41">
        <v>9</v>
      </c>
      <c r="O41">
        <v>67</v>
      </c>
      <c r="P41">
        <v>76</v>
      </c>
      <c r="Q41" t="str">
        <f t="shared" si="3"/>
        <v>Weekday</v>
      </c>
      <c r="R41" t="str">
        <f t="shared" si="0"/>
        <v>Light Snow/Rain</v>
      </c>
      <c r="S41">
        <f t="shared" si="1"/>
        <v>-0.25435329828790432</v>
      </c>
      <c r="T41">
        <f t="shared" si="2"/>
        <v>0.10399668008577614</v>
      </c>
      <c r="U41" s="6">
        <v>0.34</v>
      </c>
      <c r="V41">
        <f t="array" ref="V41">CORREL(IFERROR(VALUE(TRIM(CLEAN($U$2:$U$1001))),0), IFERROR(VALUE(TRIM(CLEAN($P$2:$P$1001))),0))</f>
        <v>0.23135628536430677</v>
      </c>
    </row>
    <row r="42" spans="1:22" x14ac:dyDescent="0.25">
      <c r="A42">
        <v>41</v>
      </c>
      <c r="B42" s="1">
        <v>40545</v>
      </c>
      <c r="C42">
        <v>1</v>
      </c>
      <c r="D42">
        <v>0</v>
      </c>
      <c r="E42">
        <v>1</v>
      </c>
      <c r="F42">
        <v>17</v>
      </c>
      <c r="G42" t="b">
        <v>0</v>
      </c>
      <c r="H42">
        <v>0</v>
      </c>
      <c r="I42">
        <v>1</v>
      </c>
      <c r="J42">
        <v>0.34</v>
      </c>
      <c r="K42">
        <v>0.33329999999999999</v>
      </c>
      <c r="L42">
        <v>0.56999999999999995</v>
      </c>
      <c r="M42">
        <v>0.19400000000000001</v>
      </c>
      <c r="N42">
        <v>7</v>
      </c>
      <c r="O42">
        <v>58</v>
      </c>
      <c r="P42">
        <v>65</v>
      </c>
      <c r="Q42" t="str">
        <f t="shared" si="3"/>
        <v>Weekday</v>
      </c>
      <c r="R42" t="str">
        <f t="shared" si="0"/>
        <v>Clear</v>
      </c>
      <c r="S42">
        <f t="shared" si="1"/>
        <v>-0.25435329828790432</v>
      </c>
      <c r="T42">
        <f t="shared" si="2"/>
        <v>0.10399668008577614</v>
      </c>
      <c r="U42" s="6">
        <v>0.34</v>
      </c>
      <c r="V42">
        <f t="array" ref="V42">CORREL(IFERROR(VALUE(TRIM(CLEAN($U$2:$U$1001))),0), IFERROR(VALUE(TRIM(CLEAN($P$2:$P$1001))),0))</f>
        <v>0.23135628536430677</v>
      </c>
    </row>
    <row r="43" spans="1:22" x14ac:dyDescent="0.25">
      <c r="A43">
        <v>42</v>
      </c>
      <c r="B43" s="1">
        <v>40545</v>
      </c>
      <c r="C43">
        <v>1</v>
      </c>
      <c r="D43">
        <v>0</v>
      </c>
      <c r="E43">
        <v>1</v>
      </c>
      <c r="F43">
        <v>18</v>
      </c>
      <c r="G43" t="b">
        <v>0</v>
      </c>
      <c r="H43">
        <v>0</v>
      </c>
      <c r="I43">
        <v>2</v>
      </c>
      <c r="J43">
        <v>0.36</v>
      </c>
      <c r="K43">
        <v>0.33329999999999999</v>
      </c>
      <c r="L43">
        <v>0.46</v>
      </c>
      <c r="M43">
        <v>0.32840000000000003</v>
      </c>
      <c r="N43">
        <v>10</v>
      </c>
      <c r="O43">
        <v>43</v>
      </c>
      <c r="P43">
        <v>53</v>
      </c>
      <c r="Q43" t="str">
        <f t="shared" si="3"/>
        <v>Weekend</v>
      </c>
      <c r="R43" t="str">
        <f t="shared" si="0"/>
        <v>Mist/Cloudy</v>
      </c>
      <c r="S43">
        <f t="shared" si="1"/>
        <v>-0.25435329828790432</v>
      </c>
      <c r="T43">
        <f t="shared" si="2"/>
        <v>0.10399668008577614</v>
      </c>
      <c r="U43" s="6">
        <v>0.36</v>
      </c>
      <c r="V43">
        <f t="array" ref="V43">CORREL(IFERROR(VALUE(TRIM(CLEAN($U$2:$U$1001))),0), IFERROR(VALUE(TRIM(CLEAN($P$2:$P$1001))),0))</f>
        <v>0.23135628536430677</v>
      </c>
    </row>
    <row r="44" spans="1:22" x14ac:dyDescent="0.25">
      <c r="A44">
        <v>43</v>
      </c>
      <c r="B44" s="1">
        <v>40545</v>
      </c>
      <c r="C44">
        <v>1</v>
      </c>
      <c r="D44">
        <v>0</v>
      </c>
      <c r="E44">
        <v>1</v>
      </c>
      <c r="F44">
        <v>19</v>
      </c>
      <c r="G44" t="b">
        <v>0</v>
      </c>
      <c r="H44">
        <v>0</v>
      </c>
      <c r="I44">
        <v>1</v>
      </c>
      <c r="J44">
        <v>0.32</v>
      </c>
      <c r="K44">
        <v>0.28789999999999999</v>
      </c>
      <c r="L44">
        <v>0.42</v>
      </c>
      <c r="M44">
        <v>0.44779999999999998</v>
      </c>
      <c r="N44">
        <v>1</v>
      </c>
      <c r="O44">
        <v>29</v>
      </c>
      <c r="P44">
        <v>30</v>
      </c>
      <c r="Q44" t="str">
        <f t="shared" si="3"/>
        <v>Weekend</v>
      </c>
      <c r="R44" t="str">
        <f t="shared" si="0"/>
        <v>Clear</v>
      </c>
      <c r="S44">
        <f t="shared" si="1"/>
        <v>-0.25435329828790432</v>
      </c>
      <c r="T44">
        <f t="shared" si="2"/>
        <v>0.10399668008577614</v>
      </c>
      <c r="U44" s="6">
        <v>0.32</v>
      </c>
      <c r="V44">
        <f t="array" ref="V44">CORREL(IFERROR(VALUE(TRIM(CLEAN($U$2:$U$1001))),0), IFERROR(VALUE(TRIM(CLEAN($P$2:$P$1001))),0))</f>
        <v>0.23135628536430677</v>
      </c>
    </row>
    <row r="45" spans="1:22" x14ac:dyDescent="0.25">
      <c r="A45">
        <v>44</v>
      </c>
      <c r="B45" s="1">
        <v>40545</v>
      </c>
      <c r="C45">
        <v>1</v>
      </c>
      <c r="D45">
        <v>0</v>
      </c>
      <c r="E45">
        <v>1</v>
      </c>
      <c r="F45">
        <v>20</v>
      </c>
      <c r="G45" t="b">
        <v>0</v>
      </c>
      <c r="H45">
        <v>0</v>
      </c>
      <c r="I45">
        <v>1</v>
      </c>
      <c r="J45">
        <v>0.3</v>
      </c>
      <c r="K45">
        <v>0.19993</v>
      </c>
      <c r="L45">
        <v>0.39</v>
      </c>
      <c r="M45">
        <v>0.35820000000000002</v>
      </c>
      <c r="N45">
        <v>5</v>
      </c>
      <c r="O45">
        <v>17</v>
      </c>
      <c r="P45">
        <v>22</v>
      </c>
      <c r="Q45" t="str">
        <f t="shared" si="3"/>
        <v>Weekday</v>
      </c>
      <c r="R45" t="str">
        <f t="shared" si="0"/>
        <v>Clear</v>
      </c>
      <c r="S45">
        <f t="shared" si="1"/>
        <v>-0.25435329828790432</v>
      </c>
      <c r="T45">
        <f t="shared" si="2"/>
        <v>0.10399668008577614</v>
      </c>
      <c r="U45" s="6">
        <v>0.3</v>
      </c>
      <c r="V45">
        <f t="array" ref="V45">CORREL(IFERROR(VALUE(TRIM(CLEAN($U$2:$U$1001))),0), IFERROR(VALUE(TRIM(CLEAN($P$2:$P$1001))),0))</f>
        <v>0.23135628536430677</v>
      </c>
    </row>
    <row r="46" spans="1:22" x14ac:dyDescent="0.25">
      <c r="A46">
        <v>45</v>
      </c>
      <c r="B46" s="1">
        <v>40545</v>
      </c>
      <c r="C46">
        <v>1</v>
      </c>
      <c r="D46">
        <v>0</v>
      </c>
      <c r="E46">
        <v>1</v>
      </c>
      <c r="F46">
        <v>21</v>
      </c>
      <c r="G46" t="b">
        <v>0</v>
      </c>
      <c r="H46">
        <v>0</v>
      </c>
      <c r="I46">
        <v>1</v>
      </c>
      <c r="J46">
        <v>0.26</v>
      </c>
      <c r="K46">
        <v>0.2273</v>
      </c>
      <c r="L46">
        <v>0.44</v>
      </c>
      <c r="M46">
        <v>0.32840000000000003</v>
      </c>
      <c r="N46">
        <v>11</v>
      </c>
      <c r="O46">
        <v>20</v>
      </c>
      <c r="P46">
        <v>31</v>
      </c>
      <c r="Q46" t="str">
        <f t="shared" si="3"/>
        <v>Weekday</v>
      </c>
      <c r="R46" t="str">
        <f t="shared" si="0"/>
        <v>Clear</v>
      </c>
      <c r="S46">
        <f t="shared" si="1"/>
        <v>-0.25435329828790432</v>
      </c>
      <c r="T46">
        <f t="shared" si="2"/>
        <v>0.10399668008577614</v>
      </c>
      <c r="U46" s="6">
        <v>0.26</v>
      </c>
      <c r="V46">
        <f t="array" ref="V46">CORREL(IFERROR(VALUE(TRIM(CLEAN($U$2:$U$1001))),0), IFERROR(VALUE(TRIM(CLEAN($P$2:$P$1001))),0))</f>
        <v>0.23135628536430677</v>
      </c>
    </row>
    <row r="47" spans="1:22" x14ac:dyDescent="0.25">
      <c r="A47">
        <v>46</v>
      </c>
      <c r="B47" s="1">
        <v>40545</v>
      </c>
      <c r="C47">
        <v>1</v>
      </c>
      <c r="D47">
        <v>0</v>
      </c>
      <c r="E47">
        <v>1</v>
      </c>
      <c r="F47">
        <v>22</v>
      </c>
      <c r="G47" t="b">
        <v>0</v>
      </c>
      <c r="H47">
        <v>0</v>
      </c>
      <c r="I47">
        <v>1</v>
      </c>
      <c r="J47">
        <v>0.24</v>
      </c>
      <c r="K47">
        <v>0.21210000000000001</v>
      </c>
      <c r="L47">
        <v>0.44</v>
      </c>
      <c r="M47">
        <v>0.29849999999999999</v>
      </c>
      <c r="N47">
        <v>0</v>
      </c>
      <c r="O47">
        <v>9</v>
      </c>
      <c r="P47">
        <v>9</v>
      </c>
      <c r="Q47" t="str">
        <f t="shared" si="3"/>
        <v>Weekday</v>
      </c>
      <c r="R47" t="str">
        <f t="shared" si="0"/>
        <v>Clear</v>
      </c>
      <c r="S47">
        <f t="shared" si="1"/>
        <v>-0.25435329828790432</v>
      </c>
      <c r="T47">
        <f t="shared" si="2"/>
        <v>0.10399668008577614</v>
      </c>
      <c r="U47" s="6">
        <v>0.24</v>
      </c>
      <c r="V47">
        <f t="array" ref="V47">CORREL(IFERROR(VALUE(TRIM(CLEAN($U$2:$U$1001))),0), IFERROR(VALUE(TRIM(CLEAN($P$2:$P$1001))),0))</f>
        <v>0.23135628536430677</v>
      </c>
    </row>
    <row r="48" spans="1:22" x14ac:dyDescent="0.25">
      <c r="A48">
        <v>47</v>
      </c>
      <c r="B48" s="1">
        <v>40545</v>
      </c>
      <c r="C48">
        <v>1</v>
      </c>
      <c r="D48">
        <v>0</v>
      </c>
      <c r="E48">
        <v>1</v>
      </c>
      <c r="F48">
        <v>23</v>
      </c>
      <c r="G48" t="b">
        <v>0</v>
      </c>
      <c r="H48">
        <v>0</v>
      </c>
      <c r="I48">
        <v>1</v>
      </c>
      <c r="J48">
        <v>0.22</v>
      </c>
      <c r="K48">
        <v>0.2273</v>
      </c>
      <c r="L48">
        <v>0.47</v>
      </c>
      <c r="M48">
        <v>0.16420000000000001</v>
      </c>
      <c r="N48">
        <v>0</v>
      </c>
      <c r="O48">
        <v>8</v>
      </c>
      <c r="P48">
        <v>8</v>
      </c>
      <c r="Q48" t="str">
        <f t="shared" si="3"/>
        <v>Weekday</v>
      </c>
      <c r="R48" t="str">
        <f t="shared" si="0"/>
        <v>Clear</v>
      </c>
      <c r="S48">
        <f t="shared" si="1"/>
        <v>-0.25435329828790432</v>
      </c>
      <c r="T48">
        <f t="shared" si="2"/>
        <v>0.10399668008577614</v>
      </c>
      <c r="U48" s="6">
        <v>0.22</v>
      </c>
      <c r="V48">
        <f t="array" ref="V48">CORREL(IFERROR(VALUE(TRIM(CLEAN($U$2:$U$1001))),0), IFERROR(VALUE(TRIM(CLEAN($P$2:$P$1001))),0))</f>
        <v>0.23135628536430677</v>
      </c>
    </row>
    <row r="49" spans="1:22" x14ac:dyDescent="0.25">
      <c r="A49">
        <v>48</v>
      </c>
      <c r="B49" s="1">
        <v>40546</v>
      </c>
      <c r="C49">
        <v>1</v>
      </c>
      <c r="D49">
        <v>0</v>
      </c>
      <c r="E49">
        <v>1</v>
      </c>
      <c r="F49">
        <v>0</v>
      </c>
      <c r="G49" t="b">
        <v>0</v>
      </c>
      <c r="H49">
        <v>1</v>
      </c>
      <c r="I49">
        <v>1</v>
      </c>
      <c r="J49">
        <v>0.22</v>
      </c>
      <c r="K49">
        <v>0.19700000000000001</v>
      </c>
      <c r="L49">
        <v>0.44</v>
      </c>
      <c r="M49">
        <v>0.35820000000000002</v>
      </c>
      <c r="N49">
        <v>0</v>
      </c>
      <c r="O49">
        <v>5</v>
      </c>
      <c r="P49">
        <v>5</v>
      </c>
      <c r="Q49" t="str">
        <f t="shared" si="3"/>
        <v>Weekday</v>
      </c>
      <c r="R49" t="str">
        <f t="shared" si="0"/>
        <v>Clear</v>
      </c>
      <c r="S49">
        <f t="shared" si="1"/>
        <v>-0.25435329828790432</v>
      </c>
      <c r="T49">
        <f t="shared" si="2"/>
        <v>0.10399668008577614</v>
      </c>
      <c r="U49" s="6">
        <v>0.22</v>
      </c>
      <c r="V49">
        <f t="array" ref="V49">CORREL(IFERROR(VALUE(TRIM(CLEAN($U$2:$U$1001))),0), IFERROR(VALUE(TRIM(CLEAN($P$2:$P$1001))),0))</f>
        <v>0.23135628536430677</v>
      </c>
    </row>
    <row r="50" spans="1:22" x14ac:dyDescent="0.25">
      <c r="A50">
        <v>49</v>
      </c>
      <c r="B50" s="1">
        <v>40546</v>
      </c>
      <c r="C50">
        <v>1</v>
      </c>
      <c r="D50">
        <v>0</v>
      </c>
      <c r="E50">
        <v>1</v>
      </c>
      <c r="F50">
        <v>1</v>
      </c>
      <c r="G50" t="b">
        <v>0</v>
      </c>
      <c r="H50">
        <v>1</v>
      </c>
      <c r="I50">
        <v>1</v>
      </c>
      <c r="J50">
        <v>0.2</v>
      </c>
      <c r="K50">
        <v>0.19993</v>
      </c>
      <c r="L50">
        <v>0.44</v>
      </c>
      <c r="M50">
        <v>0.41789999999999999</v>
      </c>
      <c r="N50">
        <v>0</v>
      </c>
      <c r="O50">
        <v>2</v>
      </c>
      <c r="P50">
        <v>2</v>
      </c>
      <c r="Q50" t="str">
        <f t="shared" si="3"/>
        <v>Weekend</v>
      </c>
      <c r="R50" t="str">
        <f t="shared" si="0"/>
        <v>Clear</v>
      </c>
      <c r="S50">
        <f t="shared" si="1"/>
        <v>-0.25435329828790432</v>
      </c>
      <c r="T50">
        <f t="shared" si="2"/>
        <v>0.10399668008577614</v>
      </c>
      <c r="U50" s="6">
        <v>0.2</v>
      </c>
      <c r="V50">
        <f t="array" ref="V50">CORREL(IFERROR(VALUE(TRIM(CLEAN($U$2:$U$1001))),0), IFERROR(VALUE(TRIM(CLEAN($P$2:$P$1001))),0))</f>
        <v>0.23135628536430677</v>
      </c>
    </row>
    <row r="51" spans="1:22" x14ac:dyDescent="0.25">
      <c r="A51">
        <v>50</v>
      </c>
      <c r="B51" s="1">
        <v>40546</v>
      </c>
      <c r="C51">
        <v>1</v>
      </c>
      <c r="D51">
        <v>0</v>
      </c>
      <c r="E51">
        <v>1</v>
      </c>
      <c r="F51">
        <v>4</v>
      </c>
      <c r="G51" t="b">
        <v>0</v>
      </c>
      <c r="H51">
        <v>1</v>
      </c>
      <c r="I51">
        <v>1</v>
      </c>
      <c r="J51">
        <v>0.16</v>
      </c>
      <c r="K51">
        <v>0.13639999999999999</v>
      </c>
      <c r="L51">
        <v>0.47</v>
      </c>
      <c r="M51">
        <v>0.3881</v>
      </c>
      <c r="N51">
        <v>0</v>
      </c>
      <c r="O51">
        <v>1</v>
      </c>
      <c r="P51">
        <v>1</v>
      </c>
      <c r="Q51" t="str">
        <f t="shared" si="3"/>
        <v>Weekend</v>
      </c>
      <c r="R51" t="str">
        <f t="shared" si="0"/>
        <v>Clear</v>
      </c>
      <c r="S51">
        <f t="shared" si="1"/>
        <v>-0.25435329828790432</v>
      </c>
      <c r="T51">
        <f t="shared" si="2"/>
        <v>0.10399668008577614</v>
      </c>
      <c r="U51" s="6">
        <v>0.16</v>
      </c>
      <c r="V51">
        <f t="array" ref="V51">CORREL(IFERROR(VALUE(TRIM(CLEAN($U$2:$U$1001))),0), IFERROR(VALUE(TRIM(CLEAN($P$2:$P$1001))),0))</f>
        <v>0.23135628536430677</v>
      </c>
    </row>
    <row r="52" spans="1:22" x14ac:dyDescent="0.25">
      <c r="A52">
        <v>51</v>
      </c>
      <c r="B52" s="1">
        <v>40546</v>
      </c>
      <c r="C52">
        <v>1</v>
      </c>
      <c r="D52">
        <v>0</v>
      </c>
      <c r="E52">
        <v>1</v>
      </c>
      <c r="F52">
        <v>5</v>
      </c>
      <c r="G52" t="b">
        <v>0</v>
      </c>
      <c r="H52">
        <v>1</v>
      </c>
      <c r="I52">
        <v>1</v>
      </c>
      <c r="J52">
        <v>0.16</v>
      </c>
      <c r="K52">
        <v>0.13639999999999999</v>
      </c>
      <c r="L52">
        <v>0.47</v>
      </c>
      <c r="M52">
        <v>0.28360000000000002</v>
      </c>
      <c r="N52">
        <v>0</v>
      </c>
      <c r="O52">
        <v>3</v>
      </c>
      <c r="P52">
        <v>3</v>
      </c>
      <c r="Q52" t="str">
        <f t="shared" si="3"/>
        <v>Weekday</v>
      </c>
      <c r="R52" t="str">
        <f t="shared" si="0"/>
        <v>Clear</v>
      </c>
      <c r="S52">
        <f t="shared" si="1"/>
        <v>-0.25435329828790432</v>
      </c>
      <c r="T52">
        <f t="shared" si="2"/>
        <v>0.10399668008577614</v>
      </c>
      <c r="U52" s="6">
        <v>0.16</v>
      </c>
      <c r="V52">
        <f t="array" ref="V52">CORREL(IFERROR(VALUE(TRIM(CLEAN($U$2:$U$1001))),0), IFERROR(VALUE(TRIM(CLEAN($P$2:$P$1001))),0))</f>
        <v>0.23135628536430677</v>
      </c>
    </row>
    <row r="53" spans="1:22" x14ac:dyDescent="0.25">
      <c r="A53">
        <v>52</v>
      </c>
      <c r="B53" s="1">
        <v>40546</v>
      </c>
      <c r="C53">
        <v>1</v>
      </c>
      <c r="D53">
        <v>0</v>
      </c>
      <c r="E53">
        <v>1</v>
      </c>
      <c r="F53">
        <v>6</v>
      </c>
      <c r="G53" t="b">
        <v>0</v>
      </c>
      <c r="H53">
        <v>1</v>
      </c>
      <c r="I53">
        <v>1</v>
      </c>
      <c r="J53">
        <v>0.14000000000000001</v>
      </c>
      <c r="K53">
        <v>0.1061</v>
      </c>
      <c r="L53">
        <v>0.5</v>
      </c>
      <c r="M53">
        <v>0.3881</v>
      </c>
      <c r="N53">
        <v>0</v>
      </c>
      <c r="O53">
        <v>30</v>
      </c>
      <c r="P53">
        <v>30</v>
      </c>
      <c r="Q53" t="str">
        <f t="shared" si="3"/>
        <v>Weekday</v>
      </c>
      <c r="R53" t="str">
        <f t="shared" si="0"/>
        <v>Clear</v>
      </c>
      <c r="S53">
        <f t="shared" si="1"/>
        <v>-0.25435329828790432</v>
      </c>
      <c r="T53">
        <f t="shared" si="2"/>
        <v>0.10399668008577614</v>
      </c>
      <c r="U53" s="6">
        <v>0.14000000000000001</v>
      </c>
      <c r="V53">
        <f t="array" ref="V53">CORREL(IFERROR(VALUE(TRIM(CLEAN($U$2:$U$1001))),0), IFERROR(VALUE(TRIM(CLEAN($P$2:$P$1001))),0))</f>
        <v>0.23135628536430677</v>
      </c>
    </row>
    <row r="54" spans="1:22" x14ac:dyDescent="0.25">
      <c r="A54">
        <v>53</v>
      </c>
      <c r="B54" s="1">
        <v>40546</v>
      </c>
      <c r="C54">
        <v>1</v>
      </c>
      <c r="D54">
        <v>0</v>
      </c>
      <c r="E54">
        <v>1</v>
      </c>
      <c r="F54">
        <v>7</v>
      </c>
      <c r="G54" t="b">
        <v>0</v>
      </c>
      <c r="H54">
        <v>1</v>
      </c>
      <c r="I54">
        <v>1</v>
      </c>
      <c r="J54">
        <v>0.14000000000000001</v>
      </c>
      <c r="K54">
        <v>0.13639999999999999</v>
      </c>
      <c r="L54">
        <v>0.5</v>
      </c>
      <c r="M54">
        <v>0.19400000000000001</v>
      </c>
      <c r="N54">
        <v>1</v>
      </c>
      <c r="O54">
        <v>63</v>
      </c>
      <c r="P54">
        <v>64</v>
      </c>
      <c r="Q54" t="str">
        <f t="shared" si="3"/>
        <v>Weekday</v>
      </c>
      <c r="R54" t="str">
        <f t="shared" si="0"/>
        <v>Clear</v>
      </c>
      <c r="S54">
        <f t="shared" si="1"/>
        <v>-0.25435329828790432</v>
      </c>
      <c r="T54">
        <f t="shared" si="2"/>
        <v>0.10399668008577614</v>
      </c>
      <c r="U54" s="6">
        <v>0.14000000000000001</v>
      </c>
      <c r="V54">
        <f t="array" ref="V54">CORREL(IFERROR(VALUE(TRIM(CLEAN($U$2:$U$1001))),0), IFERROR(VALUE(TRIM(CLEAN($P$2:$P$1001))),0))</f>
        <v>0.23135628536430677</v>
      </c>
    </row>
    <row r="55" spans="1:22" x14ac:dyDescent="0.25">
      <c r="A55">
        <v>54</v>
      </c>
      <c r="B55" s="1">
        <v>40546</v>
      </c>
      <c r="C55">
        <v>1</v>
      </c>
      <c r="D55">
        <v>0</v>
      </c>
      <c r="E55">
        <v>1</v>
      </c>
      <c r="F55">
        <v>8</v>
      </c>
      <c r="G55" t="b">
        <v>0</v>
      </c>
      <c r="H55">
        <v>1</v>
      </c>
      <c r="I55">
        <v>1</v>
      </c>
      <c r="J55">
        <v>0.14000000000000001</v>
      </c>
      <c r="K55">
        <v>0.1212</v>
      </c>
      <c r="L55">
        <v>0.5</v>
      </c>
      <c r="M55">
        <v>0.28360000000000002</v>
      </c>
      <c r="N55">
        <v>1</v>
      </c>
      <c r="O55">
        <v>153</v>
      </c>
      <c r="P55">
        <v>154</v>
      </c>
      <c r="Q55" t="str">
        <f t="shared" si="3"/>
        <v>Weekday</v>
      </c>
      <c r="R55" t="str">
        <f t="shared" si="0"/>
        <v>Clear</v>
      </c>
      <c r="S55">
        <f t="shared" si="1"/>
        <v>-0.25435329828790432</v>
      </c>
      <c r="T55">
        <f t="shared" si="2"/>
        <v>0.10399668008577614</v>
      </c>
      <c r="U55" s="6">
        <v>0.14000000000000001</v>
      </c>
      <c r="V55">
        <f t="array" ref="V55">CORREL(IFERROR(VALUE(TRIM(CLEAN($U$2:$U$1001))),0), IFERROR(VALUE(TRIM(CLEAN($P$2:$P$1001))),0))</f>
        <v>0.23135628536430677</v>
      </c>
    </row>
    <row r="56" spans="1:22" x14ac:dyDescent="0.25">
      <c r="A56">
        <v>55</v>
      </c>
      <c r="B56" s="1">
        <v>40546</v>
      </c>
      <c r="C56">
        <v>1</v>
      </c>
      <c r="D56">
        <v>0</v>
      </c>
      <c r="E56">
        <v>1</v>
      </c>
      <c r="F56">
        <v>9</v>
      </c>
      <c r="G56" t="b">
        <v>0</v>
      </c>
      <c r="H56">
        <v>1</v>
      </c>
      <c r="I56">
        <v>1</v>
      </c>
      <c r="J56">
        <v>0.16</v>
      </c>
      <c r="K56">
        <v>0.13639999999999999</v>
      </c>
      <c r="L56">
        <v>0.43</v>
      </c>
      <c r="M56">
        <v>0.3881</v>
      </c>
      <c r="N56">
        <v>7</v>
      </c>
      <c r="O56">
        <v>81</v>
      </c>
      <c r="P56">
        <v>88</v>
      </c>
      <c r="Q56" t="str">
        <f t="shared" si="3"/>
        <v>Weekday</v>
      </c>
      <c r="R56" t="str">
        <f t="shared" si="0"/>
        <v>Clear</v>
      </c>
      <c r="S56">
        <f t="shared" si="1"/>
        <v>-0.25435329828790432</v>
      </c>
      <c r="T56">
        <f t="shared" si="2"/>
        <v>0.10399668008577614</v>
      </c>
      <c r="U56" s="6">
        <v>0.16</v>
      </c>
      <c r="V56">
        <f t="array" ref="V56">CORREL(IFERROR(VALUE(TRIM(CLEAN($U$2:$U$1001))),0), IFERROR(VALUE(TRIM(CLEAN($P$2:$P$1001))),0))</f>
        <v>0.23135628536430677</v>
      </c>
    </row>
    <row r="57" spans="1:22" x14ac:dyDescent="0.25">
      <c r="A57">
        <v>56</v>
      </c>
      <c r="B57" s="1">
        <v>40546</v>
      </c>
      <c r="C57">
        <v>1</v>
      </c>
      <c r="D57">
        <v>0</v>
      </c>
      <c r="E57">
        <v>1</v>
      </c>
      <c r="F57">
        <v>10</v>
      </c>
      <c r="G57" t="b">
        <v>0</v>
      </c>
      <c r="H57">
        <v>1</v>
      </c>
      <c r="I57">
        <v>1</v>
      </c>
      <c r="J57">
        <v>0.18</v>
      </c>
      <c r="K57">
        <v>0.16669999999999999</v>
      </c>
      <c r="L57">
        <v>0.43</v>
      </c>
      <c r="M57">
        <v>0.25369999999999998</v>
      </c>
      <c r="N57">
        <v>11</v>
      </c>
      <c r="O57">
        <v>33</v>
      </c>
      <c r="P57">
        <v>44</v>
      </c>
      <c r="Q57" t="str">
        <f t="shared" si="3"/>
        <v>Weekend</v>
      </c>
      <c r="R57" t="str">
        <f t="shared" si="0"/>
        <v>Clear</v>
      </c>
      <c r="S57">
        <f t="shared" si="1"/>
        <v>-0.25435329828790432</v>
      </c>
      <c r="T57">
        <f t="shared" si="2"/>
        <v>0.10399668008577614</v>
      </c>
      <c r="U57" s="6">
        <v>0.18</v>
      </c>
      <c r="V57">
        <f t="array" ref="V57">CORREL(IFERROR(VALUE(TRIM(CLEAN($U$2:$U$1001))),0), IFERROR(VALUE(TRIM(CLEAN($P$2:$P$1001))),0))</f>
        <v>0.23135628536430677</v>
      </c>
    </row>
    <row r="58" spans="1:22" x14ac:dyDescent="0.25">
      <c r="A58">
        <v>57</v>
      </c>
      <c r="B58" s="1">
        <v>40546</v>
      </c>
      <c r="C58">
        <v>1</v>
      </c>
      <c r="D58">
        <v>0</v>
      </c>
      <c r="E58">
        <v>1</v>
      </c>
      <c r="F58">
        <v>11</v>
      </c>
      <c r="G58" t="b">
        <v>0</v>
      </c>
      <c r="H58">
        <v>1</v>
      </c>
      <c r="I58">
        <v>1</v>
      </c>
      <c r="J58">
        <v>0.2</v>
      </c>
      <c r="K58">
        <v>0.18179999999999999</v>
      </c>
      <c r="L58">
        <v>0.4</v>
      </c>
      <c r="M58">
        <v>0.32840000000000003</v>
      </c>
      <c r="N58">
        <v>10</v>
      </c>
      <c r="O58">
        <v>41</v>
      </c>
      <c r="P58">
        <v>51</v>
      </c>
      <c r="Q58" t="str">
        <f t="shared" si="3"/>
        <v>Weekend</v>
      </c>
      <c r="R58" t="str">
        <f t="shared" si="0"/>
        <v>Clear</v>
      </c>
      <c r="S58">
        <f t="shared" si="1"/>
        <v>-0.25435329828790432</v>
      </c>
      <c r="T58">
        <f t="shared" si="2"/>
        <v>0.10399668008577614</v>
      </c>
      <c r="U58" s="6">
        <v>0.2</v>
      </c>
      <c r="V58">
        <f t="array" ref="V58">CORREL(IFERROR(VALUE(TRIM(CLEAN($U$2:$U$1001))),0), IFERROR(VALUE(TRIM(CLEAN($P$2:$P$1001))),0))</f>
        <v>0.23135628536430677</v>
      </c>
    </row>
    <row r="59" spans="1:22" x14ac:dyDescent="0.25">
      <c r="A59">
        <v>58</v>
      </c>
      <c r="B59" s="1">
        <v>40546</v>
      </c>
      <c r="C59">
        <v>1</v>
      </c>
      <c r="D59">
        <v>0</v>
      </c>
      <c r="E59">
        <v>1</v>
      </c>
      <c r="F59">
        <v>12</v>
      </c>
      <c r="G59" t="b">
        <v>0</v>
      </c>
      <c r="H59">
        <v>1</v>
      </c>
      <c r="I59">
        <v>1</v>
      </c>
      <c r="J59">
        <v>0.22</v>
      </c>
      <c r="K59">
        <v>0.21210000000000001</v>
      </c>
      <c r="L59">
        <v>0.35</v>
      </c>
      <c r="M59">
        <v>0.29849999999999999</v>
      </c>
      <c r="N59">
        <v>13</v>
      </c>
      <c r="O59">
        <v>48</v>
      </c>
      <c r="P59">
        <v>61</v>
      </c>
      <c r="Q59" t="str">
        <f t="shared" si="3"/>
        <v>Weekday</v>
      </c>
      <c r="R59" t="str">
        <f t="shared" si="0"/>
        <v>Clear</v>
      </c>
      <c r="S59">
        <f t="shared" si="1"/>
        <v>-0.25435329828790432</v>
      </c>
      <c r="T59">
        <f t="shared" si="2"/>
        <v>0.10399668008577614</v>
      </c>
      <c r="U59" s="6">
        <v>0.22</v>
      </c>
      <c r="V59">
        <f t="array" ref="V59">CORREL(IFERROR(VALUE(TRIM(CLEAN($U$2:$U$1001))),0), IFERROR(VALUE(TRIM(CLEAN($P$2:$P$1001))),0))</f>
        <v>0.23135628536430677</v>
      </c>
    </row>
    <row r="60" spans="1:22" x14ac:dyDescent="0.25">
      <c r="A60">
        <v>59</v>
      </c>
      <c r="B60" s="1">
        <v>40546</v>
      </c>
      <c r="C60">
        <v>1</v>
      </c>
      <c r="D60">
        <v>0</v>
      </c>
      <c r="E60">
        <v>1</v>
      </c>
      <c r="F60">
        <v>13</v>
      </c>
      <c r="G60" t="b">
        <v>0</v>
      </c>
      <c r="H60">
        <v>1</v>
      </c>
      <c r="I60">
        <v>1</v>
      </c>
      <c r="J60">
        <v>0.24</v>
      </c>
      <c r="K60">
        <v>0.19993</v>
      </c>
      <c r="L60">
        <v>0.35</v>
      </c>
      <c r="M60">
        <v>0.28360000000000002</v>
      </c>
      <c r="N60">
        <v>8</v>
      </c>
      <c r="O60">
        <v>53</v>
      </c>
      <c r="P60">
        <v>61</v>
      </c>
      <c r="Q60" t="str">
        <f t="shared" si="3"/>
        <v>Weekday</v>
      </c>
      <c r="R60" t="str">
        <f t="shared" si="0"/>
        <v>Clear</v>
      </c>
      <c r="S60">
        <f t="shared" si="1"/>
        <v>-0.25435329828790432</v>
      </c>
      <c r="T60">
        <f t="shared" si="2"/>
        <v>0.10399668008577614</v>
      </c>
      <c r="U60" s="6">
        <v>0.24</v>
      </c>
      <c r="V60">
        <f t="array" ref="V60">CORREL(IFERROR(VALUE(TRIM(CLEAN($U$2:$U$1001))),0), IFERROR(VALUE(TRIM(CLEAN($P$2:$P$1001))),0))</f>
        <v>0.23135628536430677</v>
      </c>
    </row>
    <row r="61" spans="1:22" x14ac:dyDescent="0.25">
      <c r="A61">
        <v>60</v>
      </c>
      <c r="B61" s="1">
        <v>40546</v>
      </c>
      <c r="C61">
        <v>1</v>
      </c>
      <c r="D61">
        <v>0</v>
      </c>
      <c r="E61">
        <v>1</v>
      </c>
      <c r="F61">
        <v>14</v>
      </c>
      <c r="G61" t="b">
        <v>0</v>
      </c>
      <c r="H61">
        <v>1</v>
      </c>
      <c r="I61">
        <v>1</v>
      </c>
      <c r="J61">
        <v>0.26</v>
      </c>
      <c r="K61">
        <v>0.2424</v>
      </c>
      <c r="L61">
        <v>0.3</v>
      </c>
      <c r="M61">
        <v>0.28360000000000002</v>
      </c>
      <c r="N61">
        <v>11</v>
      </c>
      <c r="O61">
        <v>66</v>
      </c>
      <c r="P61">
        <v>77</v>
      </c>
      <c r="Q61" t="str">
        <f t="shared" si="3"/>
        <v>Weekday</v>
      </c>
      <c r="R61" t="str">
        <f t="shared" si="0"/>
        <v>Clear</v>
      </c>
      <c r="S61">
        <f t="shared" si="1"/>
        <v>-0.25435329828790432</v>
      </c>
      <c r="T61">
        <f t="shared" si="2"/>
        <v>0.10399668008577614</v>
      </c>
      <c r="U61" s="6">
        <v>0.26</v>
      </c>
      <c r="V61">
        <f t="array" ref="V61">CORREL(IFERROR(VALUE(TRIM(CLEAN($U$2:$U$1001))),0), IFERROR(VALUE(TRIM(CLEAN($P$2:$P$1001))),0))</f>
        <v>0.23135628536430677</v>
      </c>
    </row>
    <row r="62" spans="1:22" x14ac:dyDescent="0.25">
      <c r="A62">
        <v>61</v>
      </c>
      <c r="B62" s="1">
        <v>40546</v>
      </c>
      <c r="C62">
        <v>1</v>
      </c>
      <c r="D62">
        <v>0</v>
      </c>
      <c r="E62">
        <v>1</v>
      </c>
      <c r="F62">
        <v>15</v>
      </c>
      <c r="G62" t="b">
        <v>0</v>
      </c>
      <c r="H62">
        <v>1</v>
      </c>
      <c r="I62">
        <v>1</v>
      </c>
      <c r="J62">
        <v>0.26</v>
      </c>
      <c r="K62">
        <v>0.2424</v>
      </c>
      <c r="L62">
        <v>0.3</v>
      </c>
      <c r="M62">
        <v>0.25369999999999998</v>
      </c>
      <c r="N62">
        <v>14</v>
      </c>
      <c r="O62">
        <v>58</v>
      </c>
      <c r="P62">
        <v>72</v>
      </c>
      <c r="Q62" t="str">
        <f t="shared" si="3"/>
        <v>Weekday</v>
      </c>
      <c r="R62" t="str">
        <f t="shared" si="0"/>
        <v>Clear</v>
      </c>
      <c r="S62">
        <f t="shared" si="1"/>
        <v>-0.25435329828790432</v>
      </c>
      <c r="T62">
        <f t="shared" si="2"/>
        <v>0.10399668008577614</v>
      </c>
      <c r="U62" s="6">
        <v>0.26</v>
      </c>
      <c r="V62">
        <f t="array" ref="V62">CORREL(IFERROR(VALUE(TRIM(CLEAN($U$2:$U$1001))),0), IFERROR(VALUE(TRIM(CLEAN($P$2:$P$1001))),0))</f>
        <v>0.23135628536430677</v>
      </c>
    </row>
    <row r="63" spans="1:22" x14ac:dyDescent="0.25">
      <c r="A63">
        <v>62</v>
      </c>
      <c r="B63" s="1">
        <v>40546</v>
      </c>
      <c r="C63">
        <v>1</v>
      </c>
      <c r="D63">
        <v>0</v>
      </c>
      <c r="E63">
        <v>1</v>
      </c>
      <c r="F63">
        <v>16</v>
      </c>
      <c r="G63" t="b">
        <v>0</v>
      </c>
      <c r="H63">
        <v>1</v>
      </c>
      <c r="I63">
        <v>1</v>
      </c>
      <c r="J63">
        <v>0.26</v>
      </c>
      <c r="K63">
        <v>0.2424</v>
      </c>
      <c r="L63">
        <v>0.3</v>
      </c>
      <c r="M63">
        <v>0.25369999999999998</v>
      </c>
      <c r="N63">
        <v>9</v>
      </c>
      <c r="O63">
        <v>67</v>
      </c>
      <c r="P63">
        <v>76</v>
      </c>
      <c r="Q63" t="str">
        <f t="shared" si="3"/>
        <v>Weekday</v>
      </c>
      <c r="R63" t="str">
        <f t="shared" si="0"/>
        <v>Clear</v>
      </c>
      <c r="S63">
        <f t="shared" si="1"/>
        <v>-0.25435329828790432</v>
      </c>
      <c r="T63">
        <f t="shared" si="2"/>
        <v>0.10399668008577614</v>
      </c>
      <c r="U63" s="6">
        <v>0.26</v>
      </c>
      <c r="V63">
        <f t="array" ref="V63">CORREL(IFERROR(VALUE(TRIM(CLEAN($U$2:$U$1001))),0), IFERROR(VALUE(TRIM(CLEAN($P$2:$P$1001))),0))</f>
        <v>0.23135628536430677</v>
      </c>
    </row>
    <row r="64" spans="1:22" x14ac:dyDescent="0.25">
      <c r="A64">
        <v>63</v>
      </c>
      <c r="B64" s="1">
        <v>40546</v>
      </c>
      <c r="C64">
        <v>1</v>
      </c>
      <c r="D64">
        <v>0</v>
      </c>
      <c r="E64">
        <v>1</v>
      </c>
      <c r="F64">
        <v>17</v>
      </c>
      <c r="G64" t="b">
        <v>0</v>
      </c>
      <c r="H64">
        <v>1</v>
      </c>
      <c r="I64">
        <v>1</v>
      </c>
      <c r="J64">
        <v>0.24</v>
      </c>
      <c r="K64">
        <v>0.2273</v>
      </c>
      <c r="L64">
        <v>0.3</v>
      </c>
      <c r="M64">
        <v>0.22389999999999999</v>
      </c>
      <c r="N64">
        <v>11</v>
      </c>
      <c r="O64">
        <v>146</v>
      </c>
      <c r="P64">
        <v>157</v>
      </c>
      <c r="Q64" t="str">
        <f t="shared" si="3"/>
        <v>Weekend</v>
      </c>
      <c r="R64" t="str">
        <f t="shared" si="0"/>
        <v>Clear</v>
      </c>
      <c r="S64">
        <f t="shared" si="1"/>
        <v>-0.25435329828790432</v>
      </c>
      <c r="T64">
        <f t="shared" si="2"/>
        <v>0.10399668008577614</v>
      </c>
      <c r="U64" s="6">
        <v>0.24</v>
      </c>
      <c r="V64">
        <f t="array" ref="V64">CORREL(IFERROR(VALUE(TRIM(CLEAN($U$2:$U$1001))),0), IFERROR(VALUE(TRIM(CLEAN($P$2:$P$1001))),0))</f>
        <v>0.23135628536430677</v>
      </c>
    </row>
    <row r="65" spans="1:22" x14ac:dyDescent="0.25">
      <c r="A65">
        <v>64</v>
      </c>
      <c r="B65" s="1">
        <v>40546</v>
      </c>
      <c r="C65">
        <v>1</v>
      </c>
      <c r="D65">
        <v>0</v>
      </c>
      <c r="E65">
        <v>1</v>
      </c>
      <c r="F65">
        <v>18</v>
      </c>
      <c r="G65" t="b">
        <v>0</v>
      </c>
      <c r="H65">
        <v>1</v>
      </c>
      <c r="I65">
        <v>1</v>
      </c>
      <c r="J65">
        <v>0.24</v>
      </c>
      <c r="K65">
        <v>0.2576</v>
      </c>
      <c r="L65">
        <v>0.32</v>
      </c>
      <c r="M65">
        <v>0.1045</v>
      </c>
      <c r="N65">
        <v>9</v>
      </c>
      <c r="O65">
        <v>148</v>
      </c>
      <c r="P65">
        <v>157</v>
      </c>
      <c r="Q65" t="str">
        <f t="shared" si="3"/>
        <v>Weekend</v>
      </c>
      <c r="R65" t="str">
        <f t="shared" si="0"/>
        <v>Clear</v>
      </c>
      <c r="S65">
        <f t="shared" si="1"/>
        <v>-0.25435329828790432</v>
      </c>
      <c r="T65">
        <f t="shared" si="2"/>
        <v>0.10399668008577614</v>
      </c>
      <c r="U65" s="6">
        <v>0.24</v>
      </c>
      <c r="V65">
        <f t="array" ref="V65">CORREL(IFERROR(VALUE(TRIM(CLEAN($U$2:$U$1001))),0), IFERROR(VALUE(TRIM(CLEAN($P$2:$P$1001))),0))</f>
        <v>0.23135628536430677</v>
      </c>
    </row>
    <row r="66" spans="1:22" x14ac:dyDescent="0.25">
      <c r="A66">
        <v>65</v>
      </c>
      <c r="B66" s="1">
        <v>40546</v>
      </c>
      <c r="C66">
        <v>1</v>
      </c>
      <c r="D66">
        <v>0</v>
      </c>
      <c r="E66">
        <v>1</v>
      </c>
      <c r="F66">
        <v>19</v>
      </c>
      <c r="G66" t="b">
        <v>0</v>
      </c>
      <c r="H66">
        <v>1</v>
      </c>
      <c r="I66">
        <v>1</v>
      </c>
      <c r="J66">
        <v>0.2</v>
      </c>
      <c r="K66">
        <v>0.2576</v>
      </c>
      <c r="L66">
        <v>0.47</v>
      </c>
      <c r="M66">
        <v>0</v>
      </c>
      <c r="N66">
        <v>8</v>
      </c>
      <c r="O66">
        <v>102</v>
      </c>
      <c r="P66">
        <v>110</v>
      </c>
      <c r="Q66" t="str">
        <f t="shared" si="3"/>
        <v>Weekday</v>
      </c>
      <c r="R66" t="str">
        <f t="shared" ref="R66:R129" si="4">IF(I66=1, "Clear", IF(I66=2, "Mist/Cloudy", IF(I66=3, "Light Snow/Rain", "Heavy Rain")))</f>
        <v>Clear</v>
      </c>
      <c r="S66">
        <f t="shared" ref="S66:S129" si="5">CORREL($L$2:$L$1001, $P$2:$P$1001)</f>
        <v>-0.25435329828790432</v>
      </c>
      <c r="T66">
        <f t="shared" ref="T66:T129" si="6">CORREL($M$2:$M$1001, $P$2:$P$1001)</f>
        <v>0.10399668008577614</v>
      </c>
      <c r="U66" s="6">
        <v>0.2</v>
      </c>
      <c r="V66">
        <f t="array" ref="V66">CORREL(IFERROR(VALUE(TRIM(CLEAN($U$2:$U$1001))),0), IFERROR(VALUE(TRIM(CLEAN($P$2:$P$1001))),0))</f>
        <v>0.23135628536430677</v>
      </c>
    </row>
    <row r="67" spans="1:22" x14ac:dyDescent="0.25">
      <c r="A67">
        <v>66</v>
      </c>
      <c r="B67" s="1">
        <v>40546</v>
      </c>
      <c r="C67">
        <v>1</v>
      </c>
      <c r="D67">
        <v>0</v>
      </c>
      <c r="E67">
        <v>1</v>
      </c>
      <c r="F67">
        <v>20</v>
      </c>
      <c r="G67" t="b">
        <v>0</v>
      </c>
      <c r="H67">
        <v>1</v>
      </c>
      <c r="I67">
        <v>1</v>
      </c>
      <c r="J67">
        <v>0.2</v>
      </c>
      <c r="K67">
        <v>0.19993</v>
      </c>
      <c r="L67">
        <v>0.47</v>
      </c>
      <c r="M67">
        <v>0.1045</v>
      </c>
      <c r="N67">
        <v>3</v>
      </c>
      <c r="O67">
        <v>49</v>
      </c>
      <c r="P67">
        <v>52</v>
      </c>
      <c r="Q67" t="str">
        <f t="shared" ref="Q67:Q130" si="7">IF(WEEKDAY(A67,2)&gt;5,"Weekend","Weekday")</f>
        <v>Weekday</v>
      </c>
      <c r="R67" t="str">
        <f t="shared" si="4"/>
        <v>Clear</v>
      </c>
      <c r="S67">
        <f t="shared" si="5"/>
        <v>-0.25435329828790432</v>
      </c>
      <c r="T67">
        <f t="shared" si="6"/>
        <v>0.10399668008577614</v>
      </c>
      <c r="U67" s="6">
        <v>0.2</v>
      </c>
      <c r="V67">
        <f t="array" ref="V67">CORREL(IFERROR(VALUE(TRIM(CLEAN($U$2:$U$1001))),0), IFERROR(VALUE(TRIM(CLEAN($P$2:$P$1001))),0))</f>
        <v>0.23135628536430677</v>
      </c>
    </row>
    <row r="68" spans="1:22" x14ac:dyDescent="0.25">
      <c r="A68">
        <v>67</v>
      </c>
      <c r="B68" s="1">
        <v>40546</v>
      </c>
      <c r="C68">
        <v>1</v>
      </c>
      <c r="D68">
        <v>0</v>
      </c>
      <c r="E68">
        <v>1</v>
      </c>
      <c r="F68">
        <v>21</v>
      </c>
      <c r="G68" t="b">
        <v>0</v>
      </c>
      <c r="H68">
        <v>1</v>
      </c>
      <c r="I68">
        <v>1</v>
      </c>
      <c r="J68">
        <v>0.18</v>
      </c>
      <c r="K68">
        <v>0.19700000000000001</v>
      </c>
      <c r="L68">
        <v>0.64</v>
      </c>
      <c r="M68">
        <v>0.1343</v>
      </c>
      <c r="N68">
        <v>3</v>
      </c>
      <c r="O68">
        <v>49</v>
      </c>
      <c r="P68">
        <v>52</v>
      </c>
      <c r="Q68" t="str">
        <f t="shared" si="7"/>
        <v>Weekday</v>
      </c>
      <c r="R68" t="str">
        <f t="shared" si="4"/>
        <v>Clear</v>
      </c>
      <c r="S68">
        <f t="shared" si="5"/>
        <v>-0.25435329828790432</v>
      </c>
      <c r="T68">
        <f t="shared" si="6"/>
        <v>0.10399668008577614</v>
      </c>
      <c r="U68" s="6">
        <v>0.18</v>
      </c>
      <c r="V68">
        <f t="array" ref="V68">CORREL(IFERROR(VALUE(TRIM(CLEAN($U$2:$U$1001))),0), IFERROR(VALUE(TRIM(CLEAN($P$2:$P$1001))),0))</f>
        <v>0.23135628536430677</v>
      </c>
    </row>
    <row r="69" spans="1:22" x14ac:dyDescent="0.25">
      <c r="A69">
        <v>68</v>
      </c>
      <c r="B69" s="1">
        <v>40546</v>
      </c>
      <c r="C69">
        <v>1</v>
      </c>
      <c r="D69">
        <v>0</v>
      </c>
      <c r="E69">
        <v>1</v>
      </c>
      <c r="F69">
        <v>22</v>
      </c>
      <c r="G69" t="b">
        <v>0</v>
      </c>
      <c r="H69">
        <v>1</v>
      </c>
      <c r="I69">
        <v>1</v>
      </c>
      <c r="J69">
        <v>0.14000000000000001</v>
      </c>
      <c r="K69">
        <v>0.1515</v>
      </c>
      <c r="L69">
        <v>0.69</v>
      </c>
      <c r="M69">
        <v>0.1343</v>
      </c>
      <c r="N69">
        <v>0</v>
      </c>
      <c r="O69">
        <v>20</v>
      </c>
      <c r="P69">
        <v>20</v>
      </c>
      <c r="Q69" t="str">
        <f t="shared" si="7"/>
        <v>Weekday</v>
      </c>
      <c r="R69" t="str">
        <f t="shared" si="4"/>
        <v>Clear</v>
      </c>
      <c r="S69">
        <f t="shared" si="5"/>
        <v>-0.25435329828790432</v>
      </c>
      <c r="T69">
        <f t="shared" si="6"/>
        <v>0.10399668008577614</v>
      </c>
      <c r="U69" s="6">
        <v>0.14000000000000001</v>
      </c>
      <c r="V69">
        <f t="array" ref="V69">CORREL(IFERROR(VALUE(TRIM(CLEAN($U$2:$U$1001))),0), IFERROR(VALUE(TRIM(CLEAN($P$2:$P$1001))),0))</f>
        <v>0.23135628536430677</v>
      </c>
    </row>
    <row r="70" spans="1:22" x14ac:dyDescent="0.25">
      <c r="A70">
        <v>69</v>
      </c>
      <c r="B70" s="1">
        <v>40546</v>
      </c>
      <c r="C70">
        <v>1</v>
      </c>
      <c r="D70">
        <v>0</v>
      </c>
      <c r="E70">
        <v>1</v>
      </c>
      <c r="F70">
        <v>23</v>
      </c>
      <c r="G70" t="b">
        <v>0</v>
      </c>
      <c r="H70">
        <v>1</v>
      </c>
      <c r="I70">
        <v>1</v>
      </c>
      <c r="J70">
        <v>0.18</v>
      </c>
      <c r="K70">
        <v>0.21210000000000001</v>
      </c>
      <c r="L70">
        <v>0.55000000000000004</v>
      </c>
      <c r="M70">
        <v>0.1045</v>
      </c>
      <c r="N70">
        <v>1</v>
      </c>
      <c r="O70">
        <v>11</v>
      </c>
      <c r="P70">
        <v>12</v>
      </c>
      <c r="Q70" t="str">
        <f t="shared" si="7"/>
        <v>Weekday</v>
      </c>
      <c r="R70" t="str">
        <f t="shared" si="4"/>
        <v>Clear</v>
      </c>
      <c r="S70">
        <f t="shared" si="5"/>
        <v>-0.25435329828790432</v>
      </c>
      <c r="T70">
        <f t="shared" si="6"/>
        <v>0.10399668008577614</v>
      </c>
      <c r="U70" s="6">
        <v>0.18</v>
      </c>
      <c r="V70">
        <f t="array" ref="V70">CORREL(IFERROR(VALUE(TRIM(CLEAN($U$2:$U$1001))),0), IFERROR(VALUE(TRIM(CLEAN($P$2:$P$1001))),0))</f>
        <v>0.23135628536430677</v>
      </c>
    </row>
    <row r="71" spans="1:22" x14ac:dyDescent="0.25">
      <c r="A71">
        <v>70</v>
      </c>
      <c r="B71" s="1">
        <v>40547</v>
      </c>
      <c r="C71">
        <v>1</v>
      </c>
      <c r="D71">
        <v>0</v>
      </c>
      <c r="E71">
        <v>1</v>
      </c>
      <c r="F71">
        <v>0</v>
      </c>
      <c r="G71" t="b">
        <v>0</v>
      </c>
      <c r="H71">
        <v>2</v>
      </c>
      <c r="I71">
        <v>1</v>
      </c>
      <c r="J71">
        <v>0.16</v>
      </c>
      <c r="K71">
        <v>0.19993</v>
      </c>
      <c r="L71">
        <v>0.55000000000000004</v>
      </c>
      <c r="M71">
        <v>0.1045</v>
      </c>
      <c r="N71">
        <v>0</v>
      </c>
      <c r="O71">
        <v>5</v>
      </c>
      <c r="P71">
        <v>5</v>
      </c>
      <c r="Q71" t="str">
        <f t="shared" si="7"/>
        <v>Weekend</v>
      </c>
      <c r="R71" t="str">
        <f t="shared" si="4"/>
        <v>Clear</v>
      </c>
      <c r="S71">
        <f t="shared" si="5"/>
        <v>-0.25435329828790432</v>
      </c>
      <c r="T71">
        <f t="shared" si="6"/>
        <v>0.10399668008577614</v>
      </c>
      <c r="U71" s="6">
        <v>0.16</v>
      </c>
      <c r="V71">
        <f t="array" ref="V71">CORREL(IFERROR(VALUE(TRIM(CLEAN($U$2:$U$1001))),0), IFERROR(VALUE(TRIM(CLEAN($P$2:$P$1001))),0))</f>
        <v>0.23135628536430677</v>
      </c>
    </row>
    <row r="72" spans="1:22" x14ac:dyDescent="0.25">
      <c r="A72">
        <v>71</v>
      </c>
      <c r="B72" s="1">
        <v>40547</v>
      </c>
      <c r="C72">
        <v>1</v>
      </c>
      <c r="D72">
        <v>0</v>
      </c>
      <c r="E72">
        <v>1</v>
      </c>
      <c r="F72">
        <v>1</v>
      </c>
      <c r="G72" t="b">
        <v>0</v>
      </c>
      <c r="H72">
        <v>2</v>
      </c>
      <c r="I72">
        <v>1</v>
      </c>
      <c r="J72">
        <v>0.16</v>
      </c>
      <c r="K72">
        <v>0.18179999999999999</v>
      </c>
      <c r="L72">
        <v>0.59</v>
      </c>
      <c r="M72">
        <v>0.1045</v>
      </c>
      <c r="N72">
        <v>0</v>
      </c>
      <c r="O72">
        <v>2</v>
      </c>
      <c r="P72">
        <v>2</v>
      </c>
      <c r="Q72" t="str">
        <f t="shared" si="7"/>
        <v>Weekend</v>
      </c>
      <c r="R72" t="str">
        <f t="shared" si="4"/>
        <v>Clear</v>
      </c>
      <c r="S72">
        <f t="shared" si="5"/>
        <v>-0.25435329828790432</v>
      </c>
      <c r="T72">
        <f t="shared" si="6"/>
        <v>0.10399668008577614</v>
      </c>
      <c r="U72" s="6">
        <v>0.16</v>
      </c>
      <c r="V72">
        <f t="array" ref="V72">CORREL(IFERROR(VALUE(TRIM(CLEAN($U$2:$U$1001))),0), IFERROR(VALUE(TRIM(CLEAN($P$2:$P$1001))),0))</f>
        <v>0.23135628536430677</v>
      </c>
    </row>
    <row r="73" spans="1:22" x14ac:dyDescent="0.25">
      <c r="A73">
        <v>72</v>
      </c>
      <c r="B73" s="1">
        <v>40547</v>
      </c>
      <c r="C73">
        <v>1</v>
      </c>
      <c r="D73">
        <v>0</v>
      </c>
      <c r="E73">
        <v>1</v>
      </c>
      <c r="F73">
        <v>2</v>
      </c>
      <c r="G73" t="b">
        <v>0</v>
      </c>
      <c r="H73">
        <v>2</v>
      </c>
      <c r="I73">
        <v>1</v>
      </c>
      <c r="J73">
        <v>0.14000000000000001</v>
      </c>
      <c r="K73">
        <v>0.1515</v>
      </c>
      <c r="L73">
        <v>0.63</v>
      </c>
      <c r="M73">
        <v>0.1343</v>
      </c>
      <c r="N73">
        <v>0</v>
      </c>
      <c r="O73">
        <v>1</v>
      </c>
      <c r="P73">
        <v>1</v>
      </c>
      <c r="Q73" t="str">
        <f t="shared" si="7"/>
        <v>Weekday</v>
      </c>
      <c r="R73" t="str">
        <f t="shared" si="4"/>
        <v>Clear</v>
      </c>
      <c r="S73">
        <f t="shared" si="5"/>
        <v>-0.25435329828790432</v>
      </c>
      <c r="T73">
        <f t="shared" si="6"/>
        <v>0.10399668008577614</v>
      </c>
      <c r="U73" s="6">
        <v>0.14000000000000001</v>
      </c>
      <c r="V73">
        <f t="array" ref="V73">CORREL(IFERROR(VALUE(TRIM(CLEAN($U$2:$U$1001))),0), IFERROR(VALUE(TRIM(CLEAN($P$2:$P$1001))),0))</f>
        <v>0.23135628536430677</v>
      </c>
    </row>
    <row r="74" spans="1:22" x14ac:dyDescent="0.25">
      <c r="A74">
        <v>73</v>
      </c>
      <c r="B74" s="1">
        <v>40547</v>
      </c>
      <c r="C74">
        <v>1</v>
      </c>
      <c r="D74">
        <v>0</v>
      </c>
      <c r="E74">
        <v>1</v>
      </c>
      <c r="F74">
        <v>4</v>
      </c>
      <c r="G74" t="b">
        <v>0</v>
      </c>
      <c r="H74">
        <v>2</v>
      </c>
      <c r="I74">
        <v>1</v>
      </c>
      <c r="J74">
        <v>0.14000000000000001</v>
      </c>
      <c r="K74">
        <v>0.18179999999999999</v>
      </c>
      <c r="L74">
        <v>0.63</v>
      </c>
      <c r="M74">
        <v>8.9599999999999999E-2</v>
      </c>
      <c r="N74">
        <v>0</v>
      </c>
      <c r="O74">
        <v>2</v>
      </c>
      <c r="P74">
        <v>2</v>
      </c>
      <c r="Q74" t="str">
        <f t="shared" si="7"/>
        <v>Weekday</v>
      </c>
      <c r="R74" t="str">
        <f t="shared" si="4"/>
        <v>Clear</v>
      </c>
      <c r="S74">
        <f t="shared" si="5"/>
        <v>-0.25435329828790432</v>
      </c>
      <c r="T74">
        <f t="shared" si="6"/>
        <v>0.10399668008577614</v>
      </c>
      <c r="U74" s="6">
        <v>0.14000000000000001</v>
      </c>
      <c r="V74">
        <f t="array" ref="V74">CORREL(IFERROR(VALUE(TRIM(CLEAN($U$2:$U$1001))),0), IFERROR(VALUE(TRIM(CLEAN($P$2:$P$1001))),0))</f>
        <v>0.23135628536430677</v>
      </c>
    </row>
    <row r="75" spans="1:22" x14ac:dyDescent="0.25">
      <c r="A75">
        <v>74</v>
      </c>
      <c r="B75" s="1">
        <v>40547</v>
      </c>
      <c r="C75">
        <v>1</v>
      </c>
      <c r="D75">
        <v>0</v>
      </c>
      <c r="E75">
        <v>1</v>
      </c>
      <c r="F75">
        <v>5</v>
      </c>
      <c r="G75" t="b">
        <v>0</v>
      </c>
      <c r="H75">
        <v>2</v>
      </c>
      <c r="I75">
        <v>1</v>
      </c>
      <c r="J75">
        <v>0.12</v>
      </c>
      <c r="K75">
        <v>0.1515</v>
      </c>
      <c r="L75">
        <v>0.68</v>
      </c>
      <c r="M75">
        <v>0.1045</v>
      </c>
      <c r="N75">
        <v>0</v>
      </c>
      <c r="O75">
        <v>4</v>
      </c>
      <c r="P75">
        <v>4</v>
      </c>
      <c r="Q75" t="str">
        <f t="shared" si="7"/>
        <v>Weekday</v>
      </c>
      <c r="R75" t="str">
        <f t="shared" si="4"/>
        <v>Clear</v>
      </c>
      <c r="S75">
        <f t="shared" si="5"/>
        <v>-0.25435329828790432</v>
      </c>
      <c r="T75">
        <f t="shared" si="6"/>
        <v>0.10399668008577614</v>
      </c>
      <c r="U75" s="6">
        <v>0.12</v>
      </c>
      <c r="V75">
        <f t="array" ref="V75">CORREL(IFERROR(VALUE(TRIM(CLEAN($U$2:$U$1001))),0), IFERROR(VALUE(TRIM(CLEAN($P$2:$P$1001))),0))</f>
        <v>0.23135628536430677</v>
      </c>
    </row>
    <row r="76" spans="1:22" x14ac:dyDescent="0.25">
      <c r="A76">
        <v>75</v>
      </c>
      <c r="B76" s="1">
        <v>40547</v>
      </c>
      <c r="C76">
        <v>1</v>
      </c>
      <c r="D76">
        <v>0</v>
      </c>
      <c r="E76">
        <v>1</v>
      </c>
      <c r="F76">
        <v>6</v>
      </c>
      <c r="G76" t="b">
        <v>0</v>
      </c>
      <c r="H76">
        <v>2</v>
      </c>
      <c r="I76">
        <v>1</v>
      </c>
      <c r="J76">
        <v>0.12</v>
      </c>
      <c r="K76">
        <v>0.1515</v>
      </c>
      <c r="L76">
        <v>0.74</v>
      </c>
      <c r="M76">
        <v>0.1045</v>
      </c>
      <c r="N76">
        <v>0</v>
      </c>
      <c r="O76">
        <v>36</v>
      </c>
      <c r="P76">
        <v>36</v>
      </c>
      <c r="Q76" t="str">
        <f t="shared" si="7"/>
        <v>Weekday</v>
      </c>
      <c r="R76" t="str">
        <f t="shared" si="4"/>
        <v>Clear</v>
      </c>
      <c r="S76">
        <f t="shared" si="5"/>
        <v>-0.25435329828790432</v>
      </c>
      <c r="T76">
        <f t="shared" si="6"/>
        <v>0.10399668008577614</v>
      </c>
      <c r="U76" s="6">
        <v>0.12</v>
      </c>
      <c r="V76">
        <f t="array" ref="V76">CORREL(IFERROR(VALUE(TRIM(CLEAN($U$2:$U$1001))),0), IFERROR(VALUE(TRIM(CLEAN($P$2:$P$1001))),0))</f>
        <v>0.23135628536430677</v>
      </c>
    </row>
    <row r="77" spans="1:22" x14ac:dyDescent="0.25">
      <c r="A77">
        <v>76</v>
      </c>
      <c r="B77" s="1">
        <v>40547</v>
      </c>
      <c r="C77">
        <v>1</v>
      </c>
      <c r="D77">
        <v>0</v>
      </c>
      <c r="E77">
        <v>1</v>
      </c>
      <c r="F77">
        <v>7</v>
      </c>
      <c r="G77" t="b">
        <v>0</v>
      </c>
      <c r="H77">
        <v>2</v>
      </c>
      <c r="I77">
        <v>1</v>
      </c>
      <c r="J77">
        <v>0.12</v>
      </c>
      <c r="K77">
        <v>0.1515</v>
      </c>
      <c r="L77">
        <v>0.74</v>
      </c>
      <c r="M77">
        <v>0.1343</v>
      </c>
      <c r="N77">
        <v>2</v>
      </c>
      <c r="O77">
        <v>92</v>
      </c>
      <c r="P77">
        <v>94</v>
      </c>
      <c r="Q77" t="str">
        <f t="shared" si="7"/>
        <v>Weekday</v>
      </c>
      <c r="R77" t="str">
        <f t="shared" si="4"/>
        <v>Clear</v>
      </c>
      <c r="S77">
        <f t="shared" si="5"/>
        <v>-0.25435329828790432</v>
      </c>
      <c r="T77">
        <f t="shared" si="6"/>
        <v>0.10399668008577614</v>
      </c>
      <c r="U77" s="6">
        <v>0.12</v>
      </c>
      <c r="V77">
        <f t="array" ref="V77">CORREL(IFERROR(VALUE(TRIM(CLEAN($U$2:$U$1001))),0), IFERROR(VALUE(TRIM(CLEAN($P$2:$P$1001))),0))</f>
        <v>0.23135628536430677</v>
      </c>
    </row>
    <row r="78" spans="1:22" x14ac:dyDescent="0.25">
      <c r="A78">
        <v>77</v>
      </c>
      <c r="B78" s="1">
        <v>40547</v>
      </c>
      <c r="C78">
        <v>1</v>
      </c>
      <c r="D78">
        <v>0</v>
      </c>
      <c r="E78">
        <v>1</v>
      </c>
      <c r="F78">
        <v>8</v>
      </c>
      <c r="G78" t="b">
        <v>0</v>
      </c>
      <c r="H78">
        <v>2</v>
      </c>
      <c r="I78">
        <v>1</v>
      </c>
      <c r="J78">
        <v>0.14000000000000001</v>
      </c>
      <c r="K78">
        <v>0.1515</v>
      </c>
      <c r="L78">
        <v>0.69</v>
      </c>
      <c r="M78">
        <v>0.16420000000000001</v>
      </c>
      <c r="N78">
        <v>2</v>
      </c>
      <c r="O78">
        <v>177</v>
      </c>
      <c r="P78">
        <v>179</v>
      </c>
      <c r="Q78" t="str">
        <f t="shared" si="7"/>
        <v>Weekend</v>
      </c>
      <c r="R78" t="str">
        <f t="shared" si="4"/>
        <v>Clear</v>
      </c>
      <c r="S78">
        <f t="shared" si="5"/>
        <v>-0.25435329828790432</v>
      </c>
      <c r="T78">
        <f t="shared" si="6"/>
        <v>0.10399668008577614</v>
      </c>
      <c r="U78" s="6">
        <v>0.14000000000000001</v>
      </c>
      <c r="V78">
        <f t="array" ref="V78">CORREL(IFERROR(VALUE(TRIM(CLEAN($U$2:$U$1001))),0), IFERROR(VALUE(TRIM(CLEAN($P$2:$P$1001))),0))</f>
        <v>0.23135628536430677</v>
      </c>
    </row>
    <row r="79" spans="1:22" x14ac:dyDescent="0.25">
      <c r="A79">
        <v>78</v>
      </c>
      <c r="B79" s="1">
        <v>40547</v>
      </c>
      <c r="C79">
        <v>1</v>
      </c>
      <c r="D79">
        <v>0</v>
      </c>
      <c r="E79">
        <v>1</v>
      </c>
      <c r="F79">
        <v>9</v>
      </c>
      <c r="G79" t="b">
        <v>0</v>
      </c>
      <c r="H79">
        <v>2</v>
      </c>
      <c r="I79">
        <v>1</v>
      </c>
      <c r="J79">
        <v>0.16</v>
      </c>
      <c r="K79">
        <v>0.1515</v>
      </c>
      <c r="L79">
        <v>0.64</v>
      </c>
      <c r="M79">
        <v>0.22389999999999999</v>
      </c>
      <c r="N79">
        <v>2</v>
      </c>
      <c r="O79">
        <v>98</v>
      </c>
      <c r="P79">
        <v>100</v>
      </c>
      <c r="Q79" t="str">
        <f t="shared" si="7"/>
        <v>Weekend</v>
      </c>
      <c r="R79" t="str">
        <f t="shared" si="4"/>
        <v>Clear</v>
      </c>
      <c r="S79">
        <f t="shared" si="5"/>
        <v>-0.25435329828790432</v>
      </c>
      <c r="T79">
        <f t="shared" si="6"/>
        <v>0.10399668008577614</v>
      </c>
      <c r="U79" s="6">
        <v>0.16</v>
      </c>
      <c r="V79">
        <f t="array" ref="V79">CORREL(IFERROR(VALUE(TRIM(CLEAN($U$2:$U$1001))),0), IFERROR(VALUE(TRIM(CLEAN($P$2:$P$1001))),0))</f>
        <v>0.23135628536430677</v>
      </c>
    </row>
    <row r="80" spans="1:22" x14ac:dyDescent="0.25">
      <c r="A80">
        <v>79</v>
      </c>
      <c r="B80" s="1">
        <v>40547</v>
      </c>
      <c r="C80">
        <v>1</v>
      </c>
      <c r="D80">
        <v>0</v>
      </c>
      <c r="E80">
        <v>1</v>
      </c>
      <c r="F80">
        <v>10</v>
      </c>
      <c r="G80" t="b">
        <v>0</v>
      </c>
      <c r="H80">
        <v>2</v>
      </c>
      <c r="I80">
        <v>2</v>
      </c>
      <c r="J80">
        <v>0.16</v>
      </c>
      <c r="K80">
        <v>0.13639999999999999</v>
      </c>
      <c r="L80">
        <v>0.69</v>
      </c>
      <c r="M80">
        <v>0.32840000000000003</v>
      </c>
      <c r="N80">
        <v>5</v>
      </c>
      <c r="O80">
        <v>37</v>
      </c>
      <c r="P80">
        <v>42</v>
      </c>
      <c r="Q80" t="str">
        <f t="shared" si="7"/>
        <v>Weekday</v>
      </c>
      <c r="R80" t="str">
        <f t="shared" si="4"/>
        <v>Mist/Cloudy</v>
      </c>
      <c r="S80">
        <f t="shared" si="5"/>
        <v>-0.25435329828790432</v>
      </c>
      <c r="T80">
        <f t="shared" si="6"/>
        <v>0.10399668008577614</v>
      </c>
      <c r="U80" s="6">
        <v>0.16</v>
      </c>
      <c r="V80">
        <f t="array" ref="V80">CORREL(IFERROR(VALUE(TRIM(CLEAN($U$2:$U$1001))),0), IFERROR(VALUE(TRIM(CLEAN($P$2:$P$1001))),0))</f>
        <v>0.23135628536430677</v>
      </c>
    </row>
    <row r="81" spans="1:22" x14ac:dyDescent="0.25">
      <c r="A81">
        <v>80</v>
      </c>
      <c r="B81" s="1">
        <v>40547</v>
      </c>
      <c r="C81">
        <v>1</v>
      </c>
      <c r="D81">
        <v>0</v>
      </c>
      <c r="E81">
        <v>1</v>
      </c>
      <c r="F81">
        <v>11</v>
      </c>
      <c r="G81" t="b">
        <v>0</v>
      </c>
      <c r="H81">
        <v>2</v>
      </c>
      <c r="I81">
        <v>1</v>
      </c>
      <c r="J81">
        <v>0.22</v>
      </c>
      <c r="K81">
        <v>0.21210000000000001</v>
      </c>
      <c r="L81">
        <v>0.51</v>
      </c>
      <c r="M81">
        <v>0.29849999999999999</v>
      </c>
      <c r="N81">
        <v>7</v>
      </c>
      <c r="O81">
        <v>50</v>
      </c>
      <c r="P81">
        <v>57</v>
      </c>
      <c r="Q81" t="str">
        <f t="shared" si="7"/>
        <v>Weekday</v>
      </c>
      <c r="R81" t="str">
        <f t="shared" si="4"/>
        <v>Clear</v>
      </c>
      <c r="S81">
        <f t="shared" si="5"/>
        <v>-0.25435329828790432</v>
      </c>
      <c r="T81">
        <f t="shared" si="6"/>
        <v>0.10399668008577614</v>
      </c>
      <c r="U81" s="6">
        <v>0.22</v>
      </c>
      <c r="V81">
        <f t="array" ref="V81">CORREL(IFERROR(VALUE(TRIM(CLEAN($U$2:$U$1001))),0), IFERROR(VALUE(TRIM(CLEAN($P$2:$P$1001))),0))</f>
        <v>0.23135628536430677</v>
      </c>
    </row>
    <row r="82" spans="1:22" x14ac:dyDescent="0.25">
      <c r="A82">
        <v>81</v>
      </c>
      <c r="B82" s="1">
        <v>40547</v>
      </c>
      <c r="C82">
        <v>1</v>
      </c>
      <c r="D82">
        <v>0</v>
      </c>
      <c r="E82">
        <v>1</v>
      </c>
      <c r="F82">
        <v>12</v>
      </c>
      <c r="G82" t="b">
        <v>0</v>
      </c>
      <c r="H82">
        <v>2</v>
      </c>
      <c r="I82">
        <v>1</v>
      </c>
      <c r="J82">
        <v>0.22</v>
      </c>
      <c r="K82">
        <v>0.2273</v>
      </c>
      <c r="L82">
        <v>0.51</v>
      </c>
      <c r="M82">
        <v>0.16420000000000001</v>
      </c>
      <c r="N82">
        <v>12</v>
      </c>
      <c r="O82">
        <v>66</v>
      </c>
      <c r="P82">
        <v>78</v>
      </c>
      <c r="Q82" t="str">
        <f t="shared" si="7"/>
        <v>Weekday</v>
      </c>
      <c r="R82" t="str">
        <f t="shared" si="4"/>
        <v>Clear</v>
      </c>
      <c r="S82">
        <f t="shared" si="5"/>
        <v>-0.25435329828790432</v>
      </c>
      <c r="T82">
        <f t="shared" si="6"/>
        <v>0.10399668008577614</v>
      </c>
      <c r="U82" s="6">
        <v>0.22</v>
      </c>
      <c r="V82">
        <f t="array" ref="V82">CORREL(IFERROR(VALUE(TRIM(CLEAN($U$2:$U$1001))),0), IFERROR(VALUE(TRIM(CLEAN($P$2:$P$1001))),0))</f>
        <v>0.23135628536430677</v>
      </c>
    </row>
    <row r="83" spans="1:22" x14ac:dyDescent="0.25">
      <c r="A83">
        <v>82</v>
      </c>
      <c r="B83" s="1">
        <v>40547</v>
      </c>
      <c r="C83">
        <v>1</v>
      </c>
      <c r="D83">
        <v>0</v>
      </c>
      <c r="E83">
        <v>1</v>
      </c>
      <c r="F83">
        <v>13</v>
      </c>
      <c r="G83" t="b">
        <v>0</v>
      </c>
      <c r="H83">
        <v>2</v>
      </c>
      <c r="I83">
        <v>1</v>
      </c>
      <c r="J83">
        <v>0.24</v>
      </c>
      <c r="K83">
        <v>0.2273</v>
      </c>
      <c r="L83">
        <v>0.56000000000000005</v>
      </c>
      <c r="M83">
        <v>0.19400000000000001</v>
      </c>
      <c r="N83">
        <v>18</v>
      </c>
      <c r="O83">
        <v>79</v>
      </c>
      <c r="P83">
        <v>97</v>
      </c>
      <c r="Q83" t="str">
        <f t="shared" si="7"/>
        <v>Weekday</v>
      </c>
      <c r="R83" t="str">
        <f t="shared" si="4"/>
        <v>Clear</v>
      </c>
      <c r="S83">
        <f t="shared" si="5"/>
        <v>-0.25435329828790432</v>
      </c>
      <c r="T83">
        <f t="shared" si="6"/>
        <v>0.10399668008577614</v>
      </c>
      <c r="U83" s="6">
        <v>0.24</v>
      </c>
      <c r="V83">
        <f t="array" ref="V83">CORREL(IFERROR(VALUE(TRIM(CLEAN($U$2:$U$1001))),0), IFERROR(VALUE(TRIM(CLEAN($P$2:$P$1001))),0))</f>
        <v>0.23135628536430677</v>
      </c>
    </row>
    <row r="84" spans="1:22" x14ac:dyDescent="0.25">
      <c r="A84">
        <v>83</v>
      </c>
      <c r="B84" s="1">
        <v>40547</v>
      </c>
      <c r="C84">
        <v>1</v>
      </c>
      <c r="D84">
        <v>0</v>
      </c>
      <c r="E84">
        <v>1</v>
      </c>
      <c r="F84">
        <v>14</v>
      </c>
      <c r="G84" t="b">
        <v>0</v>
      </c>
      <c r="H84">
        <v>2</v>
      </c>
      <c r="I84">
        <v>1</v>
      </c>
      <c r="J84">
        <v>0.26</v>
      </c>
      <c r="K84">
        <v>0.2576</v>
      </c>
      <c r="L84">
        <v>0.52</v>
      </c>
      <c r="M84">
        <v>0.22389999999999999</v>
      </c>
      <c r="N84">
        <v>9</v>
      </c>
      <c r="O84">
        <v>54</v>
      </c>
      <c r="P84">
        <v>63</v>
      </c>
      <c r="Q84" t="str">
        <f t="shared" si="7"/>
        <v>Weekday</v>
      </c>
      <c r="R84" t="str">
        <f t="shared" si="4"/>
        <v>Clear</v>
      </c>
      <c r="S84">
        <f t="shared" si="5"/>
        <v>-0.25435329828790432</v>
      </c>
      <c r="T84">
        <f t="shared" si="6"/>
        <v>0.10399668008577614</v>
      </c>
      <c r="U84" s="6">
        <v>0.26</v>
      </c>
      <c r="V84">
        <f t="array" ref="V84">CORREL(IFERROR(VALUE(TRIM(CLEAN($U$2:$U$1001))),0), IFERROR(VALUE(TRIM(CLEAN($P$2:$P$1001))),0))</f>
        <v>0.23135628536430677</v>
      </c>
    </row>
    <row r="85" spans="1:22" x14ac:dyDescent="0.25">
      <c r="A85">
        <v>84</v>
      </c>
      <c r="B85" s="1">
        <v>40547</v>
      </c>
      <c r="C85">
        <v>1</v>
      </c>
      <c r="D85">
        <v>0</v>
      </c>
      <c r="E85">
        <v>1</v>
      </c>
      <c r="F85">
        <v>15</v>
      </c>
      <c r="G85" t="b">
        <v>0</v>
      </c>
      <c r="H85">
        <v>2</v>
      </c>
      <c r="I85">
        <v>1</v>
      </c>
      <c r="J85">
        <v>0.28000000000000003</v>
      </c>
      <c r="K85">
        <v>0.2727</v>
      </c>
      <c r="L85">
        <v>0.52</v>
      </c>
      <c r="M85">
        <v>0.25369999999999998</v>
      </c>
      <c r="N85">
        <v>17</v>
      </c>
      <c r="O85">
        <v>48</v>
      </c>
      <c r="P85">
        <v>65</v>
      </c>
      <c r="Q85" t="str">
        <f t="shared" si="7"/>
        <v>Weekend</v>
      </c>
      <c r="R85" t="str">
        <f t="shared" si="4"/>
        <v>Clear</v>
      </c>
      <c r="S85">
        <f t="shared" si="5"/>
        <v>-0.25435329828790432</v>
      </c>
      <c r="T85">
        <f t="shared" si="6"/>
        <v>0.10399668008577614</v>
      </c>
      <c r="U85" s="6">
        <v>0.28000000000000003</v>
      </c>
      <c r="V85">
        <f t="array" ref="V85">CORREL(IFERROR(VALUE(TRIM(CLEAN($U$2:$U$1001))),0), IFERROR(VALUE(TRIM(CLEAN($P$2:$P$1001))),0))</f>
        <v>0.23135628536430677</v>
      </c>
    </row>
    <row r="86" spans="1:22" x14ac:dyDescent="0.25">
      <c r="A86">
        <v>85</v>
      </c>
      <c r="B86" s="1">
        <v>40547</v>
      </c>
      <c r="C86">
        <v>1</v>
      </c>
      <c r="D86">
        <v>0</v>
      </c>
      <c r="E86">
        <v>1</v>
      </c>
      <c r="F86">
        <v>16</v>
      </c>
      <c r="G86" t="b">
        <v>0</v>
      </c>
      <c r="H86">
        <v>2</v>
      </c>
      <c r="I86">
        <v>1</v>
      </c>
      <c r="J86">
        <v>0.3</v>
      </c>
      <c r="K86">
        <v>0.28789999999999999</v>
      </c>
      <c r="L86">
        <v>0.49</v>
      </c>
      <c r="M86">
        <v>0.25369999999999998</v>
      </c>
      <c r="N86">
        <v>15</v>
      </c>
      <c r="O86">
        <v>68</v>
      </c>
      <c r="P86">
        <v>83</v>
      </c>
      <c r="Q86" t="str">
        <f t="shared" si="7"/>
        <v>Weekend</v>
      </c>
      <c r="R86" t="str">
        <f t="shared" si="4"/>
        <v>Clear</v>
      </c>
      <c r="S86">
        <f t="shared" si="5"/>
        <v>-0.25435329828790432</v>
      </c>
      <c r="T86">
        <f t="shared" si="6"/>
        <v>0.10399668008577614</v>
      </c>
      <c r="U86" s="6">
        <v>0.3</v>
      </c>
      <c r="V86">
        <f t="array" ref="V86">CORREL(IFERROR(VALUE(TRIM(CLEAN($U$2:$U$1001))),0), IFERROR(VALUE(TRIM(CLEAN($P$2:$P$1001))),0))</f>
        <v>0.23135628536430677</v>
      </c>
    </row>
    <row r="87" spans="1:22" x14ac:dyDescent="0.25">
      <c r="A87">
        <v>86</v>
      </c>
      <c r="B87" s="1">
        <v>40547</v>
      </c>
      <c r="C87">
        <v>1</v>
      </c>
      <c r="D87">
        <v>0</v>
      </c>
      <c r="E87">
        <v>1</v>
      </c>
      <c r="F87">
        <v>17</v>
      </c>
      <c r="G87" t="b">
        <v>0</v>
      </c>
      <c r="H87">
        <v>2</v>
      </c>
      <c r="I87">
        <v>1</v>
      </c>
      <c r="J87">
        <v>0.28000000000000003</v>
      </c>
      <c r="K87">
        <v>0.2727</v>
      </c>
      <c r="L87">
        <v>0.48</v>
      </c>
      <c r="M87">
        <v>0.22389999999999999</v>
      </c>
      <c r="N87">
        <v>10</v>
      </c>
      <c r="O87">
        <v>202</v>
      </c>
      <c r="P87">
        <v>212</v>
      </c>
      <c r="Q87" t="str">
        <f t="shared" si="7"/>
        <v>Weekday</v>
      </c>
      <c r="R87" t="str">
        <f t="shared" si="4"/>
        <v>Clear</v>
      </c>
      <c r="S87">
        <f t="shared" si="5"/>
        <v>-0.25435329828790432</v>
      </c>
      <c r="T87">
        <f t="shared" si="6"/>
        <v>0.10399668008577614</v>
      </c>
      <c r="U87" s="6">
        <v>0.28000000000000003</v>
      </c>
      <c r="V87">
        <f t="array" ref="V87">CORREL(IFERROR(VALUE(TRIM(CLEAN($U$2:$U$1001))),0), IFERROR(VALUE(TRIM(CLEAN($P$2:$P$1001))),0))</f>
        <v>0.23135628536430677</v>
      </c>
    </row>
    <row r="88" spans="1:22" x14ac:dyDescent="0.25">
      <c r="A88">
        <v>87</v>
      </c>
      <c r="B88" s="1">
        <v>40547</v>
      </c>
      <c r="C88">
        <v>1</v>
      </c>
      <c r="D88">
        <v>0</v>
      </c>
      <c r="E88">
        <v>1</v>
      </c>
      <c r="F88">
        <v>18</v>
      </c>
      <c r="G88" t="b">
        <v>0</v>
      </c>
      <c r="H88">
        <v>2</v>
      </c>
      <c r="I88">
        <v>1</v>
      </c>
      <c r="J88">
        <v>0.26</v>
      </c>
      <c r="K88">
        <v>0.2576</v>
      </c>
      <c r="L88">
        <v>0.48</v>
      </c>
      <c r="M88">
        <v>0.19400000000000001</v>
      </c>
      <c r="N88">
        <v>3</v>
      </c>
      <c r="O88">
        <v>179</v>
      </c>
      <c r="P88">
        <v>182</v>
      </c>
      <c r="Q88" t="str">
        <f t="shared" si="7"/>
        <v>Weekday</v>
      </c>
      <c r="R88" t="str">
        <f t="shared" si="4"/>
        <v>Clear</v>
      </c>
      <c r="S88">
        <f t="shared" si="5"/>
        <v>-0.25435329828790432</v>
      </c>
      <c r="T88">
        <f t="shared" si="6"/>
        <v>0.10399668008577614</v>
      </c>
      <c r="U88" s="6">
        <v>0.26</v>
      </c>
      <c r="V88">
        <f t="array" ref="V88">CORREL(IFERROR(VALUE(TRIM(CLEAN($U$2:$U$1001))),0), IFERROR(VALUE(TRIM(CLEAN($P$2:$P$1001))),0))</f>
        <v>0.23135628536430677</v>
      </c>
    </row>
    <row r="89" spans="1:22" x14ac:dyDescent="0.25">
      <c r="A89">
        <v>88</v>
      </c>
      <c r="B89" s="1">
        <v>40547</v>
      </c>
      <c r="C89">
        <v>1</v>
      </c>
      <c r="D89">
        <v>0</v>
      </c>
      <c r="E89">
        <v>1</v>
      </c>
      <c r="F89">
        <v>19</v>
      </c>
      <c r="G89" t="b">
        <v>0</v>
      </c>
      <c r="H89">
        <v>2</v>
      </c>
      <c r="I89">
        <v>1</v>
      </c>
      <c r="J89">
        <v>0.24</v>
      </c>
      <c r="K89">
        <v>0.2576</v>
      </c>
      <c r="L89">
        <v>0.48</v>
      </c>
      <c r="M89">
        <v>0.1045</v>
      </c>
      <c r="N89">
        <v>2</v>
      </c>
      <c r="O89">
        <v>110</v>
      </c>
      <c r="P89">
        <v>112</v>
      </c>
      <c r="Q89" t="str">
        <f t="shared" si="7"/>
        <v>Weekday</v>
      </c>
      <c r="R89" t="str">
        <f t="shared" si="4"/>
        <v>Clear</v>
      </c>
      <c r="S89">
        <f t="shared" si="5"/>
        <v>-0.25435329828790432</v>
      </c>
      <c r="T89">
        <f t="shared" si="6"/>
        <v>0.10399668008577614</v>
      </c>
      <c r="U89" s="6">
        <v>0.24</v>
      </c>
      <c r="V89">
        <f t="array" ref="V89">CORREL(IFERROR(VALUE(TRIM(CLEAN($U$2:$U$1001))),0), IFERROR(VALUE(TRIM(CLEAN($P$2:$P$1001))),0))</f>
        <v>0.23135628536430677</v>
      </c>
    </row>
    <row r="90" spans="1:22" x14ac:dyDescent="0.25">
      <c r="A90">
        <v>89</v>
      </c>
      <c r="B90" s="1">
        <v>40547</v>
      </c>
      <c r="C90">
        <v>1</v>
      </c>
      <c r="D90">
        <v>0</v>
      </c>
      <c r="E90">
        <v>1</v>
      </c>
      <c r="F90">
        <v>20</v>
      </c>
      <c r="G90" t="b">
        <v>0</v>
      </c>
      <c r="H90">
        <v>2</v>
      </c>
      <c r="I90">
        <v>1</v>
      </c>
      <c r="J90">
        <v>0.24</v>
      </c>
      <c r="K90">
        <v>0.2576</v>
      </c>
      <c r="L90">
        <v>0.48</v>
      </c>
      <c r="M90">
        <v>0.1045</v>
      </c>
      <c r="N90">
        <v>1</v>
      </c>
      <c r="O90">
        <v>53</v>
      </c>
      <c r="P90">
        <v>54</v>
      </c>
      <c r="Q90" t="str">
        <f t="shared" si="7"/>
        <v>Weekday</v>
      </c>
      <c r="R90" t="str">
        <f t="shared" si="4"/>
        <v>Clear</v>
      </c>
      <c r="S90">
        <f t="shared" si="5"/>
        <v>-0.25435329828790432</v>
      </c>
      <c r="T90">
        <f t="shared" si="6"/>
        <v>0.10399668008577614</v>
      </c>
      <c r="U90" s="6">
        <v>0.24</v>
      </c>
      <c r="V90">
        <f t="array" ref="V90">CORREL(IFERROR(VALUE(TRIM(CLEAN($U$2:$U$1001))),0), IFERROR(VALUE(TRIM(CLEAN($P$2:$P$1001))),0))</f>
        <v>0.23135628536430677</v>
      </c>
    </row>
    <row r="91" spans="1:22" x14ac:dyDescent="0.25">
      <c r="A91">
        <v>90</v>
      </c>
      <c r="B91" s="1">
        <v>40547</v>
      </c>
      <c r="C91">
        <v>1</v>
      </c>
      <c r="D91">
        <v>0</v>
      </c>
      <c r="E91">
        <v>1</v>
      </c>
      <c r="F91">
        <v>21</v>
      </c>
      <c r="G91" t="b">
        <v>0</v>
      </c>
      <c r="H91">
        <v>2</v>
      </c>
      <c r="I91">
        <v>1</v>
      </c>
      <c r="J91">
        <v>0.22</v>
      </c>
      <c r="K91">
        <v>0.2727</v>
      </c>
      <c r="L91">
        <v>0.64</v>
      </c>
      <c r="M91">
        <v>0</v>
      </c>
      <c r="N91">
        <v>0</v>
      </c>
      <c r="O91">
        <v>48</v>
      </c>
      <c r="P91">
        <v>48</v>
      </c>
      <c r="Q91" t="str">
        <f t="shared" si="7"/>
        <v>Weekday</v>
      </c>
      <c r="R91" t="str">
        <f t="shared" si="4"/>
        <v>Clear</v>
      </c>
      <c r="S91">
        <f t="shared" si="5"/>
        <v>-0.25435329828790432</v>
      </c>
      <c r="T91">
        <f t="shared" si="6"/>
        <v>0.10399668008577614</v>
      </c>
      <c r="U91" s="6">
        <v>0.22</v>
      </c>
      <c r="V91">
        <f t="array" ref="V91">CORREL(IFERROR(VALUE(TRIM(CLEAN($U$2:$U$1001))),0), IFERROR(VALUE(TRIM(CLEAN($P$2:$P$1001))),0))</f>
        <v>0.23135628536430677</v>
      </c>
    </row>
    <row r="92" spans="1:22" x14ac:dyDescent="0.25">
      <c r="A92">
        <v>91</v>
      </c>
      <c r="B92" s="1">
        <v>40547</v>
      </c>
      <c r="C92">
        <v>1</v>
      </c>
      <c r="D92">
        <v>0</v>
      </c>
      <c r="E92">
        <v>1</v>
      </c>
      <c r="F92">
        <v>22</v>
      </c>
      <c r="G92" t="b">
        <v>0</v>
      </c>
      <c r="H92">
        <v>2</v>
      </c>
      <c r="I92">
        <v>1</v>
      </c>
      <c r="J92">
        <v>0.22</v>
      </c>
      <c r="K92">
        <v>0.2576</v>
      </c>
      <c r="L92">
        <v>0.64</v>
      </c>
      <c r="M92">
        <v>8.9599999999999999E-2</v>
      </c>
      <c r="N92">
        <v>1</v>
      </c>
      <c r="O92">
        <v>34</v>
      </c>
      <c r="P92">
        <v>35</v>
      </c>
      <c r="Q92" t="str">
        <f t="shared" si="7"/>
        <v>Weekend</v>
      </c>
      <c r="R92" t="str">
        <f t="shared" si="4"/>
        <v>Clear</v>
      </c>
      <c r="S92">
        <f t="shared" si="5"/>
        <v>-0.25435329828790432</v>
      </c>
      <c r="T92">
        <f t="shared" si="6"/>
        <v>0.10399668008577614</v>
      </c>
      <c r="U92" s="6">
        <v>0.22</v>
      </c>
      <c r="V92">
        <f t="array" ref="V92">CORREL(IFERROR(VALUE(TRIM(CLEAN($U$2:$U$1001))),0), IFERROR(VALUE(TRIM(CLEAN($P$2:$P$1001))),0))</f>
        <v>0.23135628536430677</v>
      </c>
    </row>
    <row r="93" spans="1:22" x14ac:dyDescent="0.25">
      <c r="A93">
        <v>92</v>
      </c>
      <c r="B93" s="1">
        <v>40547</v>
      </c>
      <c r="C93">
        <v>1</v>
      </c>
      <c r="D93">
        <v>0</v>
      </c>
      <c r="E93">
        <v>1</v>
      </c>
      <c r="F93">
        <v>23</v>
      </c>
      <c r="G93" t="b">
        <v>0</v>
      </c>
      <c r="H93">
        <v>2</v>
      </c>
      <c r="I93">
        <v>1</v>
      </c>
      <c r="J93">
        <v>0.2</v>
      </c>
      <c r="K93">
        <v>0.2273</v>
      </c>
      <c r="L93">
        <v>0.69</v>
      </c>
      <c r="M93">
        <v>8.9599999999999999E-2</v>
      </c>
      <c r="N93">
        <v>2</v>
      </c>
      <c r="O93">
        <v>9</v>
      </c>
      <c r="P93">
        <v>11</v>
      </c>
      <c r="Q93" t="str">
        <f t="shared" si="7"/>
        <v>Weekend</v>
      </c>
      <c r="R93" t="str">
        <f t="shared" si="4"/>
        <v>Clear</v>
      </c>
      <c r="S93">
        <f t="shared" si="5"/>
        <v>-0.25435329828790432</v>
      </c>
      <c r="T93">
        <f t="shared" si="6"/>
        <v>0.10399668008577614</v>
      </c>
      <c r="U93" s="6">
        <v>0.2</v>
      </c>
      <c r="V93">
        <f t="array" ref="V93">CORREL(IFERROR(VALUE(TRIM(CLEAN($U$2:$U$1001))),0), IFERROR(VALUE(TRIM(CLEAN($P$2:$P$1001))),0))</f>
        <v>0.23135628536430677</v>
      </c>
    </row>
    <row r="94" spans="1:22" x14ac:dyDescent="0.25">
      <c r="A94">
        <v>93</v>
      </c>
      <c r="B94" s="1">
        <v>40548</v>
      </c>
      <c r="C94">
        <v>1</v>
      </c>
      <c r="D94">
        <v>0</v>
      </c>
      <c r="E94">
        <v>1</v>
      </c>
      <c r="F94">
        <v>0</v>
      </c>
      <c r="G94" t="b">
        <v>0</v>
      </c>
      <c r="H94">
        <v>3</v>
      </c>
      <c r="I94">
        <v>1</v>
      </c>
      <c r="J94">
        <v>0.2</v>
      </c>
      <c r="K94">
        <v>0.2576</v>
      </c>
      <c r="L94">
        <v>0.64</v>
      </c>
      <c r="M94">
        <v>0</v>
      </c>
      <c r="N94">
        <v>0</v>
      </c>
      <c r="O94">
        <v>6</v>
      </c>
      <c r="P94">
        <v>6</v>
      </c>
      <c r="Q94" t="str">
        <f t="shared" si="7"/>
        <v>Weekday</v>
      </c>
      <c r="R94" t="str">
        <f t="shared" si="4"/>
        <v>Clear</v>
      </c>
      <c r="S94">
        <f t="shared" si="5"/>
        <v>-0.25435329828790432</v>
      </c>
      <c r="T94">
        <f t="shared" si="6"/>
        <v>0.10399668008577614</v>
      </c>
      <c r="U94" s="6">
        <v>0.2</v>
      </c>
      <c r="V94">
        <f t="array" ref="V94">CORREL(IFERROR(VALUE(TRIM(CLEAN($U$2:$U$1001))),0), IFERROR(VALUE(TRIM(CLEAN($P$2:$P$1001))),0))</f>
        <v>0.23135628536430677</v>
      </c>
    </row>
    <row r="95" spans="1:22" x14ac:dyDescent="0.25">
      <c r="A95">
        <v>94</v>
      </c>
      <c r="B95" s="1">
        <v>40548</v>
      </c>
      <c r="C95">
        <v>1</v>
      </c>
      <c r="D95">
        <v>0</v>
      </c>
      <c r="E95">
        <v>1</v>
      </c>
      <c r="F95">
        <v>1</v>
      </c>
      <c r="G95" t="b">
        <v>0</v>
      </c>
      <c r="H95">
        <v>3</v>
      </c>
      <c r="I95">
        <v>1</v>
      </c>
      <c r="J95">
        <v>0.16</v>
      </c>
      <c r="K95">
        <v>0.19700000000000001</v>
      </c>
      <c r="L95">
        <v>0.74</v>
      </c>
      <c r="M95">
        <v>8.9599999999999999E-2</v>
      </c>
      <c r="N95">
        <v>0</v>
      </c>
      <c r="O95">
        <v>6</v>
      </c>
      <c r="P95">
        <v>6</v>
      </c>
      <c r="Q95" t="str">
        <f t="shared" si="7"/>
        <v>Weekday</v>
      </c>
      <c r="R95" t="str">
        <f t="shared" si="4"/>
        <v>Clear</v>
      </c>
      <c r="S95">
        <f t="shared" si="5"/>
        <v>-0.25435329828790432</v>
      </c>
      <c r="T95">
        <f t="shared" si="6"/>
        <v>0.10399668008577614</v>
      </c>
      <c r="U95" s="6">
        <v>0.16</v>
      </c>
      <c r="V95">
        <f t="array" ref="V95">CORREL(IFERROR(VALUE(TRIM(CLEAN($U$2:$U$1001))),0), IFERROR(VALUE(TRIM(CLEAN($P$2:$P$1001))),0))</f>
        <v>0.23135628536430677</v>
      </c>
    </row>
    <row r="96" spans="1:22" x14ac:dyDescent="0.25">
      <c r="A96">
        <v>95</v>
      </c>
      <c r="B96" s="1">
        <v>40548</v>
      </c>
      <c r="C96">
        <v>1</v>
      </c>
      <c r="D96">
        <v>0</v>
      </c>
      <c r="E96">
        <v>1</v>
      </c>
      <c r="F96">
        <v>2</v>
      </c>
      <c r="G96" t="b">
        <v>0</v>
      </c>
      <c r="H96">
        <v>3</v>
      </c>
      <c r="I96">
        <v>1</v>
      </c>
      <c r="J96">
        <v>0.16</v>
      </c>
      <c r="K96">
        <v>0.19700000000000001</v>
      </c>
      <c r="L96">
        <v>0.74</v>
      </c>
      <c r="M96">
        <v>8.9599999999999999E-2</v>
      </c>
      <c r="N96">
        <v>0</v>
      </c>
      <c r="O96">
        <v>2</v>
      </c>
      <c r="P96">
        <v>2</v>
      </c>
      <c r="Q96" t="str">
        <f t="shared" si="7"/>
        <v>Weekday</v>
      </c>
      <c r="R96" t="str">
        <f t="shared" si="4"/>
        <v>Clear</v>
      </c>
      <c r="S96">
        <f t="shared" si="5"/>
        <v>-0.25435329828790432</v>
      </c>
      <c r="T96">
        <f t="shared" si="6"/>
        <v>0.10399668008577614</v>
      </c>
      <c r="U96" s="6">
        <v>0.16</v>
      </c>
      <c r="V96">
        <f t="array" ref="V96">CORREL(IFERROR(VALUE(TRIM(CLEAN($U$2:$U$1001))),0), IFERROR(VALUE(TRIM(CLEAN($P$2:$P$1001))),0))</f>
        <v>0.23135628536430677</v>
      </c>
    </row>
    <row r="97" spans="1:22" x14ac:dyDescent="0.25">
      <c r="A97">
        <v>96</v>
      </c>
      <c r="B97" s="1">
        <v>40548</v>
      </c>
      <c r="C97">
        <v>1</v>
      </c>
      <c r="D97">
        <v>0</v>
      </c>
      <c r="E97">
        <v>1</v>
      </c>
      <c r="F97">
        <v>4</v>
      </c>
      <c r="G97" t="b">
        <v>0</v>
      </c>
      <c r="H97">
        <v>3</v>
      </c>
      <c r="I97">
        <v>1</v>
      </c>
      <c r="J97">
        <v>0.24</v>
      </c>
      <c r="K97">
        <v>0.2273</v>
      </c>
      <c r="L97">
        <v>0.48</v>
      </c>
      <c r="M97">
        <v>0.22389999999999999</v>
      </c>
      <c r="N97">
        <v>0</v>
      </c>
      <c r="O97">
        <v>2</v>
      </c>
      <c r="P97">
        <v>2</v>
      </c>
      <c r="Q97" t="str">
        <f t="shared" si="7"/>
        <v>Weekday</v>
      </c>
      <c r="R97" t="str">
        <f t="shared" si="4"/>
        <v>Clear</v>
      </c>
      <c r="S97">
        <f t="shared" si="5"/>
        <v>-0.25435329828790432</v>
      </c>
      <c r="T97">
        <f t="shared" si="6"/>
        <v>0.10399668008577614</v>
      </c>
      <c r="U97" s="6">
        <v>0.24</v>
      </c>
      <c r="V97">
        <f t="array" ref="V97">CORREL(IFERROR(VALUE(TRIM(CLEAN($U$2:$U$1001))),0), IFERROR(VALUE(TRIM(CLEAN($P$2:$P$1001))),0))</f>
        <v>0.23135628536430677</v>
      </c>
    </row>
    <row r="98" spans="1:22" x14ac:dyDescent="0.25">
      <c r="A98">
        <v>97</v>
      </c>
      <c r="B98" s="1">
        <v>40548</v>
      </c>
      <c r="C98">
        <v>1</v>
      </c>
      <c r="D98">
        <v>0</v>
      </c>
      <c r="E98">
        <v>1</v>
      </c>
      <c r="F98">
        <v>5</v>
      </c>
      <c r="G98" t="b">
        <v>0</v>
      </c>
      <c r="H98">
        <v>3</v>
      </c>
      <c r="I98">
        <v>1</v>
      </c>
      <c r="J98">
        <v>0.22</v>
      </c>
      <c r="K98">
        <v>0.2273</v>
      </c>
      <c r="L98">
        <v>0.47</v>
      </c>
      <c r="M98">
        <v>0.16420000000000001</v>
      </c>
      <c r="N98">
        <v>0</v>
      </c>
      <c r="O98">
        <v>3</v>
      </c>
      <c r="P98">
        <v>3</v>
      </c>
      <c r="Q98" t="str">
        <f t="shared" si="7"/>
        <v>Weekday</v>
      </c>
      <c r="R98" t="str">
        <f t="shared" si="4"/>
        <v>Clear</v>
      </c>
      <c r="S98">
        <f t="shared" si="5"/>
        <v>-0.25435329828790432</v>
      </c>
      <c r="T98">
        <f t="shared" si="6"/>
        <v>0.10399668008577614</v>
      </c>
      <c r="U98" s="6">
        <v>0.22</v>
      </c>
      <c r="V98">
        <f t="array" ref="V98">CORREL(IFERROR(VALUE(TRIM(CLEAN($U$2:$U$1001))),0), IFERROR(VALUE(TRIM(CLEAN($P$2:$P$1001))),0))</f>
        <v>0.23135628536430677</v>
      </c>
    </row>
    <row r="99" spans="1:22" x14ac:dyDescent="0.25">
      <c r="A99">
        <v>98</v>
      </c>
      <c r="B99" s="1">
        <v>40548</v>
      </c>
      <c r="C99">
        <v>1</v>
      </c>
      <c r="D99">
        <v>0</v>
      </c>
      <c r="E99">
        <v>1</v>
      </c>
      <c r="F99">
        <v>6</v>
      </c>
      <c r="G99" t="b">
        <v>0</v>
      </c>
      <c r="H99">
        <v>3</v>
      </c>
      <c r="I99">
        <v>1</v>
      </c>
      <c r="J99">
        <v>0.2</v>
      </c>
      <c r="K99">
        <v>0.19700000000000001</v>
      </c>
      <c r="L99">
        <v>0.47</v>
      </c>
      <c r="M99">
        <v>0.22389999999999999</v>
      </c>
      <c r="N99">
        <v>0</v>
      </c>
      <c r="O99">
        <v>33</v>
      </c>
      <c r="P99">
        <v>33</v>
      </c>
      <c r="Q99" t="str">
        <f t="shared" si="7"/>
        <v>Weekend</v>
      </c>
      <c r="R99" t="str">
        <f t="shared" si="4"/>
        <v>Clear</v>
      </c>
      <c r="S99">
        <f t="shared" si="5"/>
        <v>-0.25435329828790432</v>
      </c>
      <c r="T99">
        <f t="shared" si="6"/>
        <v>0.10399668008577614</v>
      </c>
      <c r="U99" s="6">
        <v>0.2</v>
      </c>
      <c r="V99">
        <f t="array" ref="V99">CORREL(IFERROR(VALUE(TRIM(CLEAN($U$2:$U$1001))),0), IFERROR(VALUE(TRIM(CLEAN($P$2:$P$1001))),0))</f>
        <v>0.23135628536430677</v>
      </c>
    </row>
    <row r="100" spans="1:22" x14ac:dyDescent="0.25">
      <c r="A100">
        <v>99</v>
      </c>
      <c r="B100" s="1">
        <v>40548</v>
      </c>
      <c r="C100">
        <v>1</v>
      </c>
      <c r="D100">
        <v>0</v>
      </c>
      <c r="E100">
        <v>1</v>
      </c>
      <c r="F100">
        <v>7</v>
      </c>
      <c r="G100" t="b">
        <v>0</v>
      </c>
      <c r="H100">
        <v>3</v>
      </c>
      <c r="I100">
        <v>1</v>
      </c>
      <c r="J100">
        <v>0.18</v>
      </c>
      <c r="K100">
        <v>0.18179999999999999</v>
      </c>
      <c r="L100">
        <v>0.43</v>
      </c>
      <c r="M100">
        <v>0.19400000000000001</v>
      </c>
      <c r="N100">
        <v>1</v>
      </c>
      <c r="O100">
        <v>87</v>
      </c>
      <c r="P100">
        <v>88</v>
      </c>
      <c r="Q100" t="str">
        <f t="shared" si="7"/>
        <v>Weekend</v>
      </c>
      <c r="R100" t="str">
        <f t="shared" si="4"/>
        <v>Clear</v>
      </c>
      <c r="S100">
        <f t="shared" si="5"/>
        <v>-0.25435329828790432</v>
      </c>
      <c r="T100">
        <f t="shared" si="6"/>
        <v>0.10399668008577614</v>
      </c>
      <c r="U100" s="6">
        <v>0.18</v>
      </c>
      <c r="V100">
        <f t="array" ref="V100">CORREL(IFERROR(VALUE(TRIM(CLEAN($U$2:$U$1001))),0), IFERROR(VALUE(TRIM(CLEAN($P$2:$P$1001))),0))</f>
        <v>0.23135628536430677</v>
      </c>
    </row>
    <row r="101" spans="1:22" x14ac:dyDescent="0.25">
      <c r="A101">
        <v>100</v>
      </c>
      <c r="B101" s="1">
        <v>40548</v>
      </c>
      <c r="C101">
        <v>1</v>
      </c>
      <c r="D101">
        <v>0</v>
      </c>
      <c r="E101">
        <v>1</v>
      </c>
      <c r="F101">
        <v>8</v>
      </c>
      <c r="G101" t="b">
        <v>0</v>
      </c>
      <c r="H101">
        <v>3</v>
      </c>
      <c r="I101">
        <v>1</v>
      </c>
      <c r="J101">
        <v>0.2</v>
      </c>
      <c r="K101">
        <v>0.18179999999999999</v>
      </c>
      <c r="L101">
        <v>0.4</v>
      </c>
      <c r="M101">
        <v>0.29849999999999999</v>
      </c>
      <c r="N101">
        <v>3</v>
      </c>
      <c r="O101">
        <v>192</v>
      </c>
      <c r="P101">
        <v>195</v>
      </c>
      <c r="Q101" t="str">
        <f t="shared" si="7"/>
        <v>Weekday</v>
      </c>
      <c r="R101" t="str">
        <f t="shared" si="4"/>
        <v>Clear</v>
      </c>
      <c r="S101">
        <f t="shared" si="5"/>
        <v>-0.25435329828790432</v>
      </c>
      <c r="T101">
        <f t="shared" si="6"/>
        <v>0.10399668008577614</v>
      </c>
      <c r="U101" s="6">
        <v>0.2</v>
      </c>
      <c r="V101">
        <f t="array" ref="V101">CORREL(IFERROR(VALUE(TRIM(CLEAN($U$2:$U$1001))),0), IFERROR(VALUE(TRIM(CLEAN($P$2:$P$1001))),0))</f>
        <v>0.23135628536430677</v>
      </c>
    </row>
    <row r="102" spans="1:22" x14ac:dyDescent="0.25">
      <c r="A102">
        <v>101</v>
      </c>
      <c r="B102" s="1">
        <v>40548</v>
      </c>
      <c r="C102">
        <v>1</v>
      </c>
      <c r="D102">
        <v>0</v>
      </c>
      <c r="E102">
        <v>1</v>
      </c>
      <c r="F102">
        <v>9</v>
      </c>
      <c r="G102" t="b">
        <v>0</v>
      </c>
      <c r="H102">
        <v>3</v>
      </c>
      <c r="I102">
        <v>1</v>
      </c>
      <c r="J102">
        <v>0.22</v>
      </c>
      <c r="K102">
        <v>0.19700000000000001</v>
      </c>
      <c r="L102">
        <v>0.37</v>
      </c>
      <c r="M102">
        <v>0.32840000000000003</v>
      </c>
      <c r="N102">
        <v>6</v>
      </c>
      <c r="O102">
        <v>109</v>
      </c>
      <c r="P102">
        <v>115</v>
      </c>
      <c r="Q102" t="str">
        <f t="shared" si="7"/>
        <v>Weekday</v>
      </c>
      <c r="R102" t="str">
        <f t="shared" si="4"/>
        <v>Clear</v>
      </c>
      <c r="S102">
        <f t="shared" si="5"/>
        <v>-0.25435329828790432</v>
      </c>
      <c r="T102">
        <f t="shared" si="6"/>
        <v>0.10399668008577614</v>
      </c>
      <c r="U102" s="6">
        <v>0.22</v>
      </c>
      <c r="V102">
        <f t="array" ref="V102">CORREL(IFERROR(VALUE(TRIM(CLEAN($U$2:$U$1001))),0), IFERROR(VALUE(TRIM(CLEAN($P$2:$P$1001))),0))</f>
        <v>0.23135628536430677</v>
      </c>
    </row>
    <row r="103" spans="1:22" x14ac:dyDescent="0.25">
      <c r="A103">
        <v>102</v>
      </c>
      <c r="B103" s="1">
        <v>40548</v>
      </c>
      <c r="C103">
        <v>1</v>
      </c>
      <c r="D103">
        <v>0</v>
      </c>
      <c r="E103">
        <v>1</v>
      </c>
      <c r="F103">
        <v>10</v>
      </c>
      <c r="G103" t="b">
        <v>0</v>
      </c>
      <c r="H103">
        <v>3</v>
      </c>
      <c r="I103">
        <v>1</v>
      </c>
      <c r="J103">
        <v>0.22</v>
      </c>
      <c r="K103">
        <v>0.19700000000000001</v>
      </c>
      <c r="L103">
        <v>0.37</v>
      </c>
      <c r="M103">
        <v>0.32840000000000003</v>
      </c>
      <c r="N103">
        <v>4</v>
      </c>
      <c r="O103">
        <v>53</v>
      </c>
      <c r="P103">
        <v>57</v>
      </c>
      <c r="Q103" t="str">
        <f t="shared" si="7"/>
        <v>Weekday</v>
      </c>
      <c r="R103" t="str">
        <f t="shared" si="4"/>
        <v>Clear</v>
      </c>
      <c r="S103">
        <f t="shared" si="5"/>
        <v>-0.25435329828790432</v>
      </c>
      <c r="T103">
        <f t="shared" si="6"/>
        <v>0.10399668008577614</v>
      </c>
      <c r="U103" s="6">
        <v>0.22</v>
      </c>
      <c r="V103">
        <f t="array" ref="V103">CORREL(IFERROR(VALUE(TRIM(CLEAN($U$2:$U$1001))),0), IFERROR(VALUE(TRIM(CLEAN($P$2:$P$1001))),0))</f>
        <v>0.23135628536430677</v>
      </c>
    </row>
    <row r="104" spans="1:22" x14ac:dyDescent="0.25">
      <c r="A104">
        <v>103</v>
      </c>
      <c r="B104" s="1">
        <v>40548</v>
      </c>
      <c r="C104">
        <v>1</v>
      </c>
      <c r="D104">
        <v>0</v>
      </c>
      <c r="E104">
        <v>1</v>
      </c>
      <c r="F104">
        <v>11</v>
      </c>
      <c r="G104" t="b">
        <v>0</v>
      </c>
      <c r="H104">
        <v>3</v>
      </c>
      <c r="I104">
        <v>1</v>
      </c>
      <c r="J104">
        <v>0.26</v>
      </c>
      <c r="K104">
        <v>0.2273</v>
      </c>
      <c r="L104">
        <v>0.33</v>
      </c>
      <c r="M104">
        <v>0.32840000000000003</v>
      </c>
      <c r="N104">
        <v>12</v>
      </c>
      <c r="O104">
        <v>34</v>
      </c>
      <c r="P104">
        <v>46</v>
      </c>
      <c r="Q104" t="str">
        <f t="shared" si="7"/>
        <v>Weekday</v>
      </c>
      <c r="R104" t="str">
        <f t="shared" si="4"/>
        <v>Clear</v>
      </c>
      <c r="S104">
        <f t="shared" si="5"/>
        <v>-0.25435329828790432</v>
      </c>
      <c r="T104">
        <f t="shared" si="6"/>
        <v>0.10399668008577614</v>
      </c>
      <c r="U104" s="6">
        <v>0.26</v>
      </c>
      <c r="V104">
        <f t="array" ref="V104">CORREL(IFERROR(VALUE(TRIM(CLEAN($U$2:$U$1001))),0), IFERROR(VALUE(TRIM(CLEAN($P$2:$P$1001))),0))</f>
        <v>0.23135628536430677</v>
      </c>
    </row>
    <row r="105" spans="1:22" x14ac:dyDescent="0.25">
      <c r="A105">
        <v>104</v>
      </c>
      <c r="B105" s="1">
        <v>40548</v>
      </c>
      <c r="C105">
        <v>1</v>
      </c>
      <c r="D105">
        <v>0</v>
      </c>
      <c r="E105">
        <v>1</v>
      </c>
      <c r="F105">
        <v>12</v>
      </c>
      <c r="G105" t="b">
        <v>0</v>
      </c>
      <c r="H105">
        <v>3</v>
      </c>
      <c r="I105">
        <v>1</v>
      </c>
      <c r="J105">
        <v>0.26</v>
      </c>
      <c r="K105">
        <v>0.2273</v>
      </c>
      <c r="L105">
        <v>0.33</v>
      </c>
      <c r="M105">
        <v>0.32840000000000003</v>
      </c>
      <c r="N105">
        <v>5</v>
      </c>
      <c r="O105">
        <v>74</v>
      </c>
      <c r="P105">
        <v>79</v>
      </c>
      <c r="Q105" t="str">
        <f t="shared" si="7"/>
        <v>Weekday</v>
      </c>
      <c r="R105" t="str">
        <f t="shared" si="4"/>
        <v>Clear</v>
      </c>
      <c r="S105">
        <f t="shared" si="5"/>
        <v>-0.25435329828790432</v>
      </c>
      <c r="T105">
        <f t="shared" si="6"/>
        <v>0.10399668008577614</v>
      </c>
      <c r="U105" s="6">
        <v>0.26</v>
      </c>
      <c r="V105">
        <f t="array" ref="V105">CORREL(IFERROR(VALUE(TRIM(CLEAN($U$2:$U$1001))),0), IFERROR(VALUE(TRIM(CLEAN($P$2:$P$1001))),0))</f>
        <v>0.23135628536430677</v>
      </c>
    </row>
    <row r="106" spans="1:22" x14ac:dyDescent="0.25">
      <c r="A106">
        <v>105</v>
      </c>
      <c r="B106" s="1">
        <v>40548</v>
      </c>
      <c r="C106">
        <v>1</v>
      </c>
      <c r="D106">
        <v>0</v>
      </c>
      <c r="E106">
        <v>1</v>
      </c>
      <c r="F106">
        <v>13</v>
      </c>
      <c r="G106" t="b">
        <v>0</v>
      </c>
      <c r="H106">
        <v>3</v>
      </c>
      <c r="I106">
        <v>1</v>
      </c>
      <c r="J106">
        <v>0.28000000000000003</v>
      </c>
      <c r="K106">
        <v>0.2576</v>
      </c>
      <c r="L106">
        <v>0.3</v>
      </c>
      <c r="M106">
        <v>0.29849999999999999</v>
      </c>
      <c r="N106">
        <v>6</v>
      </c>
      <c r="O106">
        <v>65</v>
      </c>
      <c r="P106">
        <v>71</v>
      </c>
      <c r="Q106" t="str">
        <f t="shared" si="7"/>
        <v>Weekend</v>
      </c>
      <c r="R106" t="str">
        <f t="shared" si="4"/>
        <v>Clear</v>
      </c>
      <c r="S106">
        <f t="shared" si="5"/>
        <v>-0.25435329828790432</v>
      </c>
      <c r="T106">
        <f t="shared" si="6"/>
        <v>0.10399668008577614</v>
      </c>
      <c r="U106" s="6">
        <v>0.28000000000000003</v>
      </c>
      <c r="V106">
        <f t="array" ref="V106">CORREL(IFERROR(VALUE(TRIM(CLEAN($U$2:$U$1001))),0), IFERROR(VALUE(TRIM(CLEAN($P$2:$P$1001))),0))</f>
        <v>0.23135628536430677</v>
      </c>
    </row>
    <row r="107" spans="1:22" x14ac:dyDescent="0.25">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c r="Q107" t="str">
        <f t="shared" si="7"/>
        <v>Weekend</v>
      </c>
      <c r="R107" t="str">
        <f t="shared" si="4"/>
        <v>Clear</v>
      </c>
      <c r="S107">
        <f t="shared" si="5"/>
        <v>-0.25435329828790432</v>
      </c>
      <c r="T107">
        <f t="shared" si="6"/>
        <v>0.10399668008577614</v>
      </c>
      <c r="U107" s="6">
        <v>0.3</v>
      </c>
      <c r="V107">
        <f t="array" ref="V107">CORREL(IFERROR(VALUE(TRIM(CLEAN($U$2:$U$1001))),0), IFERROR(VALUE(TRIM(CLEAN($P$2:$P$1001))),0))</f>
        <v>0.23135628536430677</v>
      </c>
    </row>
    <row r="108" spans="1:22" x14ac:dyDescent="0.25">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c r="Q108" t="str">
        <f t="shared" si="7"/>
        <v>Weekday</v>
      </c>
      <c r="R108" t="str">
        <f t="shared" si="4"/>
        <v>Clear</v>
      </c>
      <c r="S108">
        <f t="shared" si="5"/>
        <v>-0.25435329828790432</v>
      </c>
      <c r="T108">
        <f t="shared" si="6"/>
        <v>0.10399668008577614</v>
      </c>
      <c r="U108" s="6">
        <v>0.3</v>
      </c>
      <c r="V108">
        <f t="array" ref="V108">CORREL(IFERROR(VALUE(TRIM(CLEAN($U$2:$U$1001))),0), IFERROR(VALUE(TRIM(CLEAN($P$2:$P$1001))),0))</f>
        <v>0.23135628536430677</v>
      </c>
    </row>
    <row r="109" spans="1:22" x14ac:dyDescent="0.25">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c r="Q109" t="str">
        <f t="shared" si="7"/>
        <v>Weekday</v>
      </c>
      <c r="R109" t="str">
        <f t="shared" si="4"/>
        <v>Clear</v>
      </c>
      <c r="S109">
        <f t="shared" si="5"/>
        <v>-0.25435329828790432</v>
      </c>
      <c r="T109">
        <f t="shared" si="6"/>
        <v>0.10399668008577614</v>
      </c>
      <c r="U109" s="6">
        <v>0.3</v>
      </c>
      <c r="V109">
        <f t="array" ref="V109">CORREL(IFERROR(VALUE(TRIM(CLEAN($U$2:$U$1001))),0), IFERROR(VALUE(TRIM(CLEAN($P$2:$P$1001))),0))</f>
        <v>0.23135628536430677</v>
      </c>
    </row>
    <row r="110" spans="1:22" x14ac:dyDescent="0.25">
      <c r="A110">
        <v>109</v>
      </c>
      <c r="B110" s="1">
        <v>40548</v>
      </c>
      <c r="C110">
        <v>1</v>
      </c>
      <c r="D110">
        <v>0</v>
      </c>
      <c r="E110">
        <v>1</v>
      </c>
      <c r="F110">
        <v>17</v>
      </c>
      <c r="G110" t="b">
        <v>0</v>
      </c>
      <c r="H110">
        <v>3</v>
      </c>
      <c r="I110">
        <v>1</v>
      </c>
      <c r="J110">
        <v>0.24</v>
      </c>
      <c r="K110">
        <v>0.2273</v>
      </c>
      <c r="L110">
        <v>0.38</v>
      </c>
      <c r="M110">
        <v>0.19400000000000001</v>
      </c>
      <c r="N110">
        <v>4</v>
      </c>
      <c r="O110">
        <v>186</v>
      </c>
      <c r="P110">
        <v>190</v>
      </c>
      <c r="Q110" t="str">
        <f t="shared" si="7"/>
        <v>Weekday</v>
      </c>
      <c r="R110" t="str">
        <f t="shared" si="4"/>
        <v>Clear</v>
      </c>
      <c r="S110">
        <f t="shared" si="5"/>
        <v>-0.25435329828790432</v>
      </c>
      <c r="T110">
        <f t="shared" si="6"/>
        <v>0.10399668008577614</v>
      </c>
      <c r="U110" s="6">
        <v>0.24</v>
      </c>
      <c r="V110">
        <f t="array" ref="V110">CORREL(IFERROR(VALUE(TRIM(CLEAN($U$2:$U$1001))),0), IFERROR(VALUE(TRIM(CLEAN($P$2:$P$1001))),0))</f>
        <v>0.23135628536430677</v>
      </c>
    </row>
    <row r="111" spans="1:22" x14ac:dyDescent="0.25">
      <c r="A111">
        <v>110</v>
      </c>
      <c r="B111" s="1">
        <v>40548</v>
      </c>
      <c r="C111">
        <v>1</v>
      </c>
      <c r="D111">
        <v>0</v>
      </c>
      <c r="E111">
        <v>1</v>
      </c>
      <c r="F111">
        <v>18</v>
      </c>
      <c r="G111" t="b">
        <v>0</v>
      </c>
      <c r="H111">
        <v>3</v>
      </c>
      <c r="I111">
        <v>1</v>
      </c>
      <c r="J111">
        <v>0.24</v>
      </c>
      <c r="K111">
        <v>0.2424</v>
      </c>
      <c r="L111">
        <v>0.38</v>
      </c>
      <c r="M111">
        <v>0.1343</v>
      </c>
      <c r="N111">
        <v>3</v>
      </c>
      <c r="O111">
        <v>166</v>
      </c>
      <c r="P111">
        <v>169</v>
      </c>
      <c r="Q111" t="str">
        <f t="shared" si="7"/>
        <v>Weekday</v>
      </c>
      <c r="R111" t="str">
        <f t="shared" si="4"/>
        <v>Clear</v>
      </c>
      <c r="S111">
        <f t="shared" si="5"/>
        <v>-0.25435329828790432</v>
      </c>
      <c r="T111">
        <f t="shared" si="6"/>
        <v>0.10399668008577614</v>
      </c>
      <c r="U111" s="6">
        <v>0.24</v>
      </c>
      <c r="V111">
        <f t="array" ref="V111">CORREL(IFERROR(VALUE(TRIM(CLEAN($U$2:$U$1001))),0), IFERROR(VALUE(TRIM(CLEAN($P$2:$P$1001))),0))</f>
        <v>0.23135628536430677</v>
      </c>
    </row>
    <row r="112" spans="1:22" x14ac:dyDescent="0.25">
      <c r="A112">
        <v>111</v>
      </c>
      <c r="B112" s="1">
        <v>40548</v>
      </c>
      <c r="C112">
        <v>1</v>
      </c>
      <c r="D112">
        <v>0</v>
      </c>
      <c r="E112">
        <v>1</v>
      </c>
      <c r="F112">
        <v>19</v>
      </c>
      <c r="G112" t="b">
        <v>0</v>
      </c>
      <c r="H112">
        <v>3</v>
      </c>
      <c r="I112">
        <v>1</v>
      </c>
      <c r="J112">
        <v>0.24</v>
      </c>
      <c r="K112">
        <v>0.2576</v>
      </c>
      <c r="L112">
        <v>0.38</v>
      </c>
      <c r="M112">
        <v>0.1045</v>
      </c>
      <c r="N112">
        <v>5</v>
      </c>
      <c r="O112">
        <v>127</v>
      </c>
      <c r="P112">
        <v>132</v>
      </c>
      <c r="Q112" t="str">
        <f t="shared" si="7"/>
        <v>Weekday</v>
      </c>
      <c r="R112" t="str">
        <f t="shared" si="4"/>
        <v>Clear</v>
      </c>
      <c r="S112">
        <f t="shared" si="5"/>
        <v>-0.25435329828790432</v>
      </c>
      <c r="T112">
        <f t="shared" si="6"/>
        <v>0.10399668008577614</v>
      </c>
      <c r="U112" s="6">
        <v>0.24</v>
      </c>
      <c r="V112">
        <f t="array" ref="V112">CORREL(IFERROR(VALUE(TRIM(CLEAN($U$2:$U$1001))),0), IFERROR(VALUE(TRIM(CLEAN($P$2:$P$1001))),0))</f>
        <v>0.23135628536430677</v>
      </c>
    </row>
    <row r="113" spans="1:22" x14ac:dyDescent="0.25">
      <c r="A113">
        <v>112</v>
      </c>
      <c r="B113" s="1">
        <v>40548</v>
      </c>
      <c r="C113">
        <v>1</v>
      </c>
      <c r="D113">
        <v>0</v>
      </c>
      <c r="E113">
        <v>1</v>
      </c>
      <c r="F113">
        <v>20</v>
      </c>
      <c r="G113" t="b">
        <v>0</v>
      </c>
      <c r="H113">
        <v>3</v>
      </c>
      <c r="I113">
        <v>1</v>
      </c>
      <c r="J113">
        <v>0.22</v>
      </c>
      <c r="K113">
        <v>0.2273</v>
      </c>
      <c r="L113">
        <v>0.47</v>
      </c>
      <c r="M113">
        <v>0.16420000000000001</v>
      </c>
      <c r="N113">
        <v>7</v>
      </c>
      <c r="O113">
        <v>82</v>
      </c>
      <c r="P113">
        <v>89</v>
      </c>
      <c r="Q113" t="str">
        <f t="shared" si="7"/>
        <v>Weekend</v>
      </c>
      <c r="R113" t="str">
        <f t="shared" si="4"/>
        <v>Clear</v>
      </c>
      <c r="S113">
        <f t="shared" si="5"/>
        <v>-0.25435329828790432</v>
      </c>
      <c r="T113">
        <f t="shared" si="6"/>
        <v>0.10399668008577614</v>
      </c>
      <c r="U113" s="6">
        <v>0.22</v>
      </c>
      <c r="V113">
        <f t="array" ref="V113">CORREL(IFERROR(VALUE(TRIM(CLEAN($U$2:$U$1001))),0), IFERROR(VALUE(TRIM(CLEAN($P$2:$P$1001))),0))</f>
        <v>0.23135628536430677</v>
      </c>
    </row>
    <row r="114" spans="1:22" x14ac:dyDescent="0.25">
      <c r="A114">
        <v>113</v>
      </c>
      <c r="B114" s="1">
        <v>40548</v>
      </c>
      <c r="C114">
        <v>1</v>
      </c>
      <c r="D114">
        <v>0</v>
      </c>
      <c r="E114">
        <v>1</v>
      </c>
      <c r="F114">
        <v>21</v>
      </c>
      <c r="G114" t="b">
        <v>0</v>
      </c>
      <c r="H114">
        <v>3</v>
      </c>
      <c r="I114">
        <v>1</v>
      </c>
      <c r="J114">
        <v>0.2</v>
      </c>
      <c r="K114">
        <v>0.19700000000000001</v>
      </c>
      <c r="L114">
        <v>0.51</v>
      </c>
      <c r="M114">
        <v>0.19400000000000001</v>
      </c>
      <c r="N114">
        <v>3</v>
      </c>
      <c r="O114">
        <v>40</v>
      </c>
      <c r="P114">
        <v>43</v>
      </c>
      <c r="Q114" t="str">
        <f t="shared" si="7"/>
        <v>Weekend</v>
      </c>
      <c r="R114" t="str">
        <f t="shared" si="4"/>
        <v>Clear</v>
      </c>
      <c r="S114">
        <f t="shared" si="5"/>
        <v>-0.25435329828790432</v>
      </c>
      <c r="T114">
        <f t="shared" si="6"/>
        <v>0.10399668008577614</v>
      </c>
      <c r="U114" s="6">
        <v>0.2</v>
      </c>
      <c r="V114">
        <f t="array" ref="V114">CORREL(IFERROR(VALUE(TRIM(CLEAN($U$2:$U$1001))),0), IFERROR(VALUE(TRIM(CLEAN($P$2:$P$1001))),0))</f>
        <v>0.23135628536430677</v>
      </c>
    </row>
    <row r="115" spans="1:22" x14ac:dyDescent="0.25">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c r="Q115" t="str">
        <f t="shared" si="7"/>
        <v>Weekday</v>
      </c>
      <c r="R115" t="str">
        <f t="shared" si="4"/>
        <v>Clear</v>
      </c>
      <c r="S115">
        <f t="shared" si="5"/>
        <v>-0.25435329828790432</v>
      </c>
      <c r="T115">
        <f t="shared" si="6"/>
        <v>0.10399668008577614</v>
      </c>
      <c r="U115" s="6">
        <v>0.18</v>
      </c>
      <c r="V115">
        <f t="array" ref="V115">CORREL(IFERROR(VALUE(TRIM(CLEAN($U$2:$U$1001))),0), IFERROR(VALUE(TRIM(CLEAN($P$2:$P$1001))),0))</f>
        <v>0.23135628536430677</v>
      </c>
    </row>
    <row r="116" spans="1:22" x14ac:dyDescent="0.25">
      <c r="A116">
        <v>115</v>
      </c>
      <c r="B116" s="1">
        <v>40548</v>
      </c>
      <c r="C116">
        <v>1</v>
      </c>
      <c r="D116">
        <v>0</v>
      </c>
      <c r="E116">
        <v>1</v>
      </c>
      <c r="F116">
        <v>23</v>
      </c>
      <c r="G116" t="b">
        <v>0</v>
      </c>
      <c r="H116">
        <v>3</v>
      </c>
      <c r="I116">
        <v>1</v>
      </c>
      <c r="J116">
        <v>0.2</v>
      </c>
      <c r="K116">
        <v>0.2576</v>
      </c>
      <c r="L116">
        <v>0.47</v>
      </c>
      <c r="M116">
        <v>0</v>
      </c>
      <c r="N116">
        <v>1</v>
      </c>
      <c r="O116">
        <v>18</v>
      </c>
      <c r="P116">
        <v>19</v>
      </c>
      <c r="Q116" t="str">
        <f t="shared" si="7"/>
        <v>Weekday</v>
      </c>
      <c r="R116" t="str">
        <f t="shared" si="4"/>
        <v>Clear</v>
      </c>
      <c r="S116">
        <f t="shared" si="5"/>
        <v>-0.25435329828790432</v>
      </c>
      <c r="T116">
        <f t="shared" si="6"/>
        <v>0.10399668008577614</v>
      </c>
      <c r="U116" s="6">
        <v>0.2</v>
      </c>
      <c r="V116">
        <f t="array" ref="V116">CORREL(IFERROR(VALUE(TRIM(CLEAN($U$2:$U$1001))),0), IFERROR(VALUE(TRIM(CLEAN($P$2:$P$1001))),0))</f>
        <v>0.23135628536430677</v>
      </c>
    </row>
    <row r="117" spans="1:22" x14ac:dyDescent="0.25">
      <c r="A117">
        <v>116</v>
      </c>
      <c r="B117" s="1">
        <v>40549</v>
      </c>
      <c r="C117">
        <v>1</v>
      </c>
      <c r="D117">
        <v>0</v>
      </c>
      <c r="E117">
        <v>1</v>
      </c>
      <c r="F117">
        <v>0</v>
      </c>
      <c r="G117" t="b">
        <v>0</v>
      </c>
      <c r="H117">
        <v>4</v>
      </c>
      <c r="I117">
        <v>1</v>
      </c>
      <c r="J117">
        <v>0.18</v>
      </c>
      <c r="K117">
        <v>0.2424</v>
      </c>
      <c r="L117">
        <v>0.55000000000000004</v>
      </c>
      <c r="M117">
        <v>0</v>
      </c>
      <c r="N117">
        <v>0</v>
      </c>
      <c r="O117">
        <v>11</v>
      </c>
      <c r="P117">
        <v>11</v>
      </c>
      <c r="Q117" t="str">
        <f t="shared" si="7"/>
        <v>Weekday</v>
      </c>
      <c r="R117" t="str">
        <f t="shared" si="4"/>
        <v>Clear</v>
      </c>
      <c r="S117">
        <f t="shared" si="5"/>
        <v>-0.25435329828790432</v>
      </c>
      <c r="T117">
        <f t="shared" si="6"/>
        <v>0.10399668008577614</v>
      </c>
      <c r="U117" s="6">
        <v>0.18</v>
      </c>
      <c r="V117">
        <f t="array" ref="V117">CORREL(IFERROR(VALUE(TRIM(CLEAN($U$2:$U$1001))),0), IFERROR(VALUE(TRIM(CLEAN($P$2:$P$1001))),0))</f>
        <v>0.23135628536430677</v>
      </c>
    </row>
    <row r="118" spans="1:22" x14ac:dyDescent="0.25">
      <c r="A118">
        <v>117</v>
      </c>
      <c r="B118" s="1">
        <v>40549</v>
      </c>
      <c r="C118">
        <v>1</v>
      </c>
      <c r="D118">
        <v>0</v>
      </c>
      <c r="E118">
        <v>1</v>
      </c>
      <c r="F118">
        <v>1</v>
      </c>
      <c r="G118" t="b">
        <v>0</v>
      </c>
      <c r="H118">
        <v>4</v>
      </c>
      <c r="I118">
        <v>1</v>
      </c>
      <c r="J118">
        <v>0.16</v>
      </c>
      <c r="K118">
        <v>0.2273</v>
      </c>
      <c r="L118">
        <v>0.64</v>
      </c>
      <c r="M118">
        <v>0</v>
      </c>
      <c r="N118">
        <v>0</v>
      </c>
      <c r="O118">
        <v>4</v>
      </c>
      <c r="P118">
        <v>4</v>
      </c>
      <c r="Q118" t="str">
        <f t="shared" si="7"/>
        <v>Weekday</v>
      </c>
      <c r="R118" t="str">
        <f t="shared" si="4"/>
        <v>Clear</v>
      </c>
      <c r="S118">
        <f t="shared" si="5"/>
        <v>-0.25435329828790432</v>
      </c>
      <c r="T118">
        <f t="shared" si="6"/>
        <v>0.10399668008577614</v>
      </c>
      <c r="U118" s="6">
        <v>0.16</v>
      </c>
      <c r="V118">
        <f t="array" ref="V118">CORREL(IFERROR(VALUE(TRIM(CLEAN($U$2:$U$1001))),0), IFERROR(VALUE(TRIM(CLEAN($P$2:$P$1001))),0))</f>
        <v>0.23135628536430677</v>
      </c>
    </row>
    <row r="119" spans="1:22" x14ac:dyDescent="0.25">
      <c r="A119">
        <v>118</v>
      </c>
      <c r="B119" s="1">
        <v>40549</v>
      </c>
      <c r="C119">
        <v>1</v>
      </c>
      <c r="D119">
        <v>0</v>
      </c>
      <c r="E119">
        <v>1</v>
      </c>
      <c r="F119">
        <v>2</v>
      </c>
      <c r="G119" t="b">
        <v>0</v>
      </c>
      <c r="H119">
        <v>4</v>
      </c>
      <c r="I119">
        <v>1</v>
      </c>
      <c r="J119">
        <v>0.16</v>
      </c>
      <c r="K119">
        <v>0.2273</v>
      </c>
      <c r="L119">
        <v>0.64</v>
      </c>
      <c r="M119">
        <v>0</v>
      </c>
      <c r="N119">
        <v>0</v>
      </c>
      <c r="O119">
        <v>2</v>
      </c>
      <c r="P119">
        <v>2</v>
      </c>
      <c r="Q119" t="str">
        <f t="shared" si="7"/>
        <v>Weekday</v>
      </c>
      <c r="R119" t="str">
        <f t="shared" si="4"/>
        <v>Clear</v>
      </c>
      <c r="S119">
        <f t="shared" si="5"/>
        <v>-0.25435329828790432</v>
      </c>
      <c r="T119">
        <f t="shared" si="6"/>
        <v>0.10399668008577614</v>
      </c>
      <c r="U119" s="6">
        <v>0.16</v>
      </c>
      <c r="V119">
        <f t="array" ref="V119">CORREL(IFERROR(VALUE(TRIM(CLEAN($U$2:$U$1001))),0), IFERROR(VALUE(TRIM(CLEAN($P$2:$P$1001))),0))</f>
        <v>0.23135628536430677</v>
      </c>
    </row>
    <row r="120" spans="1:22" x14ac:dyDescent="0.25">
      <c r="A120">
        <v>119</v>
      </c>
      <c r="B120" s="1">
        <v>40549</v>
      </c>
      <c r="C120">
        <v>1</v>
      </c>
      <c r="D120">
        <v>0</v>
      </c>
      <c r="E120">
        <v>1</v>
      </c>
      <c r="F120">
        <v>4</v>
      </c>
      <c r="G120" t="b">
        <v>0</v>
      </c>
      <c r="H120">
        <v>4</v>
      </c>
      <c r="I120">
        <v>2</v>
      </c>
      <c r="J120">
        <v>0.16</v>
      </c>
      <c r="K120">
        <v>0.19700000000000001</v>
      </c>
      <c r="L120">
        <v>0.64</v>
      </c>
      <c r="M120">
        <v>8.9599999999999999E-2</v>
      </c>
      <c r="N120">
        <v>0</v>
      </c>
      <c r="O120">
        <v>1</v>
      </c>
      <c r="P120">
        <v>1</v>
      </c>
      <c r="Q120" t="str">
        <f t="shared" si="7"/>
        <v>Weekend</v>
      </c>
      <c r="R120" t="str">
        <f t="shared" si="4"/>
        <v>Mist/Cloudy</v>
      </c>
      <c r="S120">
        <f t="shared" si="5"/>
        <v>-0.25435329828790432</v>
      </c>
      <c r="T120">
        <f t="shared" si="6"/>
        <v>0.10399668008577614</v>
      </c>
      <c r="U120" s="6">
        <v>0.16</v>
      </c>
      <c r="V120">
        <f t="array" ref="V120">CORREL(IFERROR(VALUE(TRIM(CLEAN($U$2:$U$1001))),0), IFERROR(VALUE(TRIM(CLEAN($P$2:$P$1001))),0))</f>
        <v>0.23135628536430677</v>
      </c>
    </row>
    <row r="121" spans="1:22" x14ac:dyDescent="0.25">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c r="Q121" t="str">
        <f t="shared" si="7"/>
        <v>Weekend</v>
      </c>
      <c r="R121" t="str">
        <f t="shared" si="4"/>
        <v>Mist/Cloudy</v>
      </c>
      <c r="S121">
        <f t="shared" si="5"/>
        <v>-0.25435329828790432</v>
      </c>
      <c r="T121">
        <f t="shared" si="6"/>
        <v>0.10399668008577614</v>
      </c>
      <c r="U121" s="6">
        <v>0.14000000000000001</v>
      </c>
      <c r="V121">
        <f t="array" ref="V121">CORREL(IFERROR(VALUE(TRIM(CLEAN($U$2:$U$1001))),0), IFERROR(VALUE(TRIM(CLEAN($P$2:$P$1001))),0))</f>
        <v>0.23135628536430677</v>
      </c>
    </row>
    <row r="122" spans="1:22" x14ac:dyDescent="0.25">
      <c r="A122">
        <v>121</v>
      </c>
      <c r="B122" s="1">
        <v>40549</v>
      </c>
      <c r="C122">
        <v>1</v>
      </c>
      <c r="D122">
        <v>0</v>
      </c>
      <c r="E122">
        <v>1</v>
      </c>
      <c r="F122">
        <v>6</v>
      </c>
      <c r="G122" t="b">
        <v>0</v>
      </c>
      <c r="H122">
        <v>4</v>
      </c>
      <c r="I122">
        <v>2</v>
      </c>
      <c r="J122">
        <v>0.14000000000000001</v>
      </c>
      <c r="K122">
        <v>0.16669999999999999</v>
      </c>
      <c r="L122">
        <v>0.63</v>
      </c>
      <c r="M122">
        <v>0.1045</v>
      </c>
      <c r="N122">
        <v>0</v>
      </c>
      <c r="O122">
        <v>36</v>
      </c>
      <c r="P122">
        <v>36</v>
      </c>
      <c r="Q122" t="str">
        <f t="shared" si="7"/>
        <v>Weekday</v>
      </c>
      <c r="R122" t="str">
        <f t="shared" si="4"/>
        <v>Mist/Cloudy</v>
      </c>
      <c r="S122">
        <f t="shared" si="5"/>
        <v>-0.25435329828790432</v>
      </c>
      <c r="T122">
        <f t="shared" si="6"/>
        <v>0.10399668008577614</v>
      </c>
      <c r="U122" s="6">
        <v>0.14000000000000001</v>
      </c>
      <c r="V122">
        <f t="array" ref="V122">CORREL(IFERROR(VALUE(TRIM(CLEAN($U$2:$U$1001))),0), IFERROR(VALUE(TRIM(CLEAN($P$2:$P$1001))),0))</f>
        <v>0.23135628536430677</v>
      </c>
    </row>
    <row r="123" spans="1:22" x14ac:dyDescent="0.25">
      <c r="A123">
        <v>122</v>
      </c>
      <c r="B123" s="1">
        <v>40549</v>
      </c>
      <c r="C123">
        <v>1</v>
      </c>
      <c r="D123">
        <v>0</v>
      </c>
      <c r="E123">
        <v>1</v>
      </c>
      <c r="F123">
        <v>7</v>
      </c>
      <c r="G123" t="b">
        <v>0</v>
      </c>
      <c r="H123">
        <v>4</v>
      </c>
      <c r="I123">
        <v>2</v>
      </c>
      <c r="J123">
        <v>0.16</v>
      </c>
      <c r="K123">
        <v>0.2273</v>
      </c>
      <c r="L123">
        <v>0.59</v>
      </c>
      <c r="M123">
        <v>0</v>
      </c>
      <c r="N123">
        <v>0</v>
      </c>
      <c r="O123">
        <v>95</v>
      </c>
      <c r="P123">
        <v>95</v>
      </c>
      <c r="Q123" t="str">
        <f t="shared" si="7"/>
        <v>Weekday</v>
      </c>
      <c r="R123" t="str">
        <f t="shared" si="4"/>
        <v>Mist/Cloudy</v>
      </c>
      <c r="S123">
        <f t="shared" si="5"/>
        <v>-0.25435329828790432</v>
      </c>
      <c r="T123">
        <f t="shared" si="6"/>
        <v>0.10399668008577614</v>
      </c>
      <c r="U123" s="6">
        <v>0.16</v>
      </c>
      <c r="V123">
        <f t="array" ref="V123">CORREL(IFERROR(VALUE(TRIM(CLEAN($U$2:$U$1001))),0), IFERROR(VALUE(TRIM(CLEAN($P$2:$P$1001))),0))</f>
        <v>0.23135628536430677</v>
      </c>
    </row>
    <row r="124" spans="1:22" x14ac:dyDescent="0.25">
      <c r="A124">
        <v>123</v>
      </c>
      <c r="B124" s="1">
        <v>40549</v>
      </c>
      <c r="C124">
        <v>1</v>
      </c>
      <c r="D124">
        <v>0</v>
      </c>
      <c r="E124">
        <v>1</v>
      </c>
      <c r="F124">
        <v>8</v>
      </c>
      <c r="G124" t="b">
        <v>0</v>
      </c>
      <c r="H124">
        <v>4</v>
      </c>
      <c r="I124">
        <v>1</v>
      </c>
      <c r="J124">
        <v>0.16</v>
      </c>
      <c r="K124">
        <v>0.2273</v>
      </c>
      <c r="L124">
        <v>0.59</v>
      </c>
      <c r="M124">
        <v>0</v>
      </c>
      <c r="N124">
        <v>3</v>
      </c>
      <c r="O124">
        <v>216</v>
      </c>
      <c r="P124">
        <v>219</v>
      </c>
      <c r="Q124" t="str">
        <f t="shared" si="7"/>
        <v>Weekday</v>
      </c>
      <c r="R124" t="str">
        <f t="shared" si="4"/>
        <v>Clear</v>
      </c>
      <c r="S124">
        <f t="shared" si="5"/>
        <v>-0.25435329828790432</v>
      </c>
      <c r="T124">
        <f t="shared" si="6"/>
        <v>0.10399668008577614</v>
      </c>
      <c r="U124" s="6">
        <v>0.16</v>
      </c>
      <c r="V124">
        <f t="array" ref="V124">CORREL(IFERROR(VALUE(TRIM(CLEAN($U$2:$U$1001))),0), IFERROR(VALUE(TRIM(CLEAN($P$2:$P$1001))),0))</f>
        <v>0.23135628536430677</v>
      </c>
    </row>
    <row r="125" spans="1:22" x14ac:dyDescent="0.25">
      <c r="A125">
        <v>124</v>
      </c>
      <c r="B125" s="1">
        <v>40549</v>
      </c>
      <c r="C125">
        <v>1</v>
      </c>
      <c r="D125">
        <v>0</v>
      </c>
      <c r="E125">
        <v>1</v>
      </c>
      <c r="F125">
        <v>9</v>
      </c>
      <c r="G125" t="b">
        <v>0</v>
      </c>
      <c r="H125">
        <v>4</v>
      </c>
      <c r="I125">
        <v>2</v>
      </c>
      <c r="J125">
        <v>0.18</v>
      </c>
      <c r="K125">
        <v>0.2424</v>
      </c>
      <c r="L125">
        <v>0.51</v>
      </c>
      <c r="M125">
        <v>0</v>
      </c>
      <c r="N125">
        <v>6</v>
      </c>
      <c r="O125">
        <v>116</v>
      </c>
      <c r="P125">
        <v>122</v>
      </c>
      <c r="Q125" t="str">
        <f t="shared" si="7"/>
        <v>Weekday</v>
      </c>
      <c r="R125" t="str">
        <f t="shared" si="4"/>
        <v>Mist/Cloudy</v>
      </c>
      <c r="S125">
        <f t="shared" si="5"/>
        <v>-0.25435329828790432</v>
      </c>
      <c r="T125">
        <f t="shared" si="6"/>
        <v>0.10399668008577614</v>
      </c>
      <c r="U125" s="6">
        <v>0.18</v>
      </c>
      <c r="V125">
        <f t="array" ref="V125">CORREL(IFERROR(VALUE(TRIM(CLEAN($U$2:$U$1001))),0), IFERROR(VALUE(TRIM(CLEAN($P$2:$P$1001))),0))</f>
        <v>0.23135628536430677</v>
      </c>
    </row>
    <row r="126" spans="1:22" x14ac:dyDescent="0.25">
      <c r="A126">
        <v>125</v>
      </c>
      <c r="B126" s="1">
        <v>40549</v>
      </c>
      <c r="C126">
        <v>1</v>
      </c>
      <c r="D126">
        <v>0</v>
      </c>
      <c r="E126">
        <v>1</v>
      </c>
      <c r="F126">
        <v>10</v>
      </c>
      <c r="G126" t="b">
        <v>0</v>
      </c>
      <c r="H126">
        <v>4</v>
      </c>
      <c r="I126">
        <v>1</v>
      </c>
      <c r="J126">
        <v>0.2</v>
      </c>
      <c r="K126">
        <v>0.2576</v>
      </c>
      <c r="L126">
        <v>0.47</v>
      </c>
      <c r="M126">
        <v>0</v>
      </c>
      <c r="N126">
        <v>3</v>
      </c>
      <c r="O126">
        <v>42</v>
      </c>
      <c r="P126">
        <v>45</v>
      </c>
      <c r="Q126" t="str">
        <f t="shared" si="7"/>
        <v>Weekday</v>
      </c>
      <c r="R126" t="str">
        <f t="shared" si="4"/>
        <v>Clear</v>
      </c>
      <c r="S126">
        <f t="shared" si="5"/>
        <v>-0.25435329828790432</v>
      </c>
      <c r="T126">
        <f t="shared" si="6"/>
        <v>0.10399668008577614</v>
      </c>
      <c r="U126" s="6">
        <v>0.2</v>
      </c>
      <c r="V126">
        <f t="array" ref="V126">CORREL(IFERROR(VALUE(TRIM(CLEAN($U$2:$U$1001))),0), IFERROR(VALUE(TRIM(CLEAN($P$2:$P$1001))),0))</f>
        <v>0.23135628536430677</v>
      </c>
    </row>
    <row r="127" spans="1:22" x14ac:dyDescent="0.25">
      <c r="A127">
        <v>126</v>
      </c>
      <c r="B127" s="1">
        <v>40549</v>
      </c>
      <c r="C127">
        <v>1</v>
      </c>
      <c r="D127">
        <v>0</v>
      </c>
      <c r="E127">
        <v>1</v>
      </c>
      <c r="F127">
        <v>11</v>
      </c>
      <c r="G127" t="b">
        <v>0</v>
      </c>
      <c r="H127">
        <v>4</v>
      </c>
      <c r="I127">
        <v>1</v>
      </c>
      <c r="J127">
        <v>0.22</v>
      </c>
      <c r="K127">
        <v>0.2576</v>
      </c>
      <c r="L127">
        <v>0.44</v>
      </c>
      <c r="M127">
        <v>8.9599999999999999E-2</v>
      </c>
      <c r="N127">
        <v>2</v>
      </c>
      <c r="O127">
        <v>57</v>
      </c>
      <c r="P127">
        <v>59</v>
      </c>
      <c r="Q127" t="str">
        <f t="shared" si="7"/>
        <v>Weekend</v>
      </c>
      <c r="R127" t="str">
        <f t="shared" si="4"/>
        <v>Clear</v>
      </c>
      <c r="S127">
        <f t="shared" si="5"/>
        <v>-0.25435329828790432</v>
      </c>
      <c r="T127">
        <f t="shared" si="6"/>
        <v>0.10399668008577614</v>
      </c>
      <c r="U127" s="6">
        <v>0.22</v>
      </c>
      <c r="V127">
        <f t="array" ref="V127">CORREL(IFERROR(VALUE(TRIM(CLEAN($U$2:$U$1001))),0), IFERROR(VALUE(TRIM(CLEAN($P$2:$P$1001))),0))</f>
        <v>0.23135628536430677</v>
      </c>
    </row>
    <row r="128" spans="1:22" x14ac:dyDescent="0.25">
      <c r="A128">
        <v>127</v>
      </c>
      <c r="B128" s="1">
        <v>40549</v>
      </c>
      <c r="C128">
        <v>1</v>
      </c>
      <c r="D128">
        <v>0</v>
      </c>
      <c r="E128">
        <v>1</v>
      </c>
      <c r="F128">
        <v>12</v>
      </c>
      <c r="G128" t="b">
        <v>0</v>
      </c>
      <c r="H128">
        <v>4</v>
      </c>
      <c r="I128">
        <v>1</v>
      </c>
      <c r="J128">
        <v>0.26</v>
      </c>
      <c r="K128">
        <v>0.28789999999999999</v>
      </c>
      <c r="L128">
        <v>0.35</v>
      </c>
      <c r="M128">
        <v>0</v>
      </c>
      <c r="N128">
        <v>6</v>
      </c>
      <c r="O128">
        <v>78</v>
      </c>
      <c r="P128">
        <v>84</v>
      </c>
      <c r="Q128" t="str">
        <f t="shared" si="7"/>
        <v>Weekend</v>
      </c>
      <c r="R128" t="str">
        <f t="shared" si="4"/>
        <v>Clear</v>
      </c>
      <c r="S128">
        <f t="shared" si="5"/>
        <v>-0.25435329828790432</v>
      </c>
      <c r="T128">
        <f t="shared" si="6"/>
        <v>0.10399668008577614</v>
      </c>
      <c r="U128" s="6">
        <v>0.26</v>
      </c>
      <c r="V128">
        <f t="array" ref="V128">CORREL(IFERROR(VALUE(TRIM(CLEAN($U$2:$U$1001))),0), IFERROR(VALUE(TRIM(CLEAN($P$2:$P$1001))),0))</f>
        <v>0.23135628536430677</v>
      </c>
    </row>
    <row r="129" spans="1:22" x14ac:dyDescent="0.25">
      <c r="A129">
        <v>128</v>
      </c>
      <c r="B129" s="1">
        <v>40549</v>
      </c>
      <c r="C129">
        <v>1</v>
      </c>
      <c r="D129">
        <v>0</v>
      </c>
      <c r="E129">
        <v>1</v>
      </c>
      <c r="F129">
        <v>13</v>
      </c>
      <c r="G129" t="b">
        <v>0</v>
      </c>
      <c r="H129">
        <v>4</v>
      </c>
      <c r="I129">
        <v>1</v>
      </c>
      <c r="J129">
        <v>0.26</v>
      </c>
      <c r="K129">
        <v>0.2727</v>
      </c>
      <c r="L129">
        <v>0.35</v>
      </c>
      <c r="M129">
        <v>0.1045</v>
      </c>
      <c r="N129">
        <v>12</v>
      </c>
      <c r="O129">
        <v>55</v>
      </c>
      <c r="P129">
        <v>67</v>
      </c>
      <c r="Q129" t="str">
        <f t="shared" si="7"/>
        <v>Weekday</v>
      </c>
      <c r="R129" t="str">
        <f t="shared" si="4"/>
        <v>Clear</v>
      </c>
      <c r="S129">
        <f t="shared" si="5"/>
        <v>-0.25435329828790432</v>
      </c>
      <c r="T129">
        <f t="shared" si="6"/>
        <v>0.10399668008577614</v>
      </c>
      <c r="U129" s="6">
        <v>0.26</v>
      </c>
      <c r="V129">
        <f t="array" ref="V129">CORREL(IFERROR(VALUE(TRIM(CLEAN($U$2:$U$1001))),0), IFERROR(VALUE(TRIM(CLEAN($P$2:$P$1001))),0))</f>
        <v>0.23135628536430677</v>
      </c>
    </row>
    <row r="130" spans="1:22" x14ac:dyDescent="0.25">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c r="Q130" t="str">
        <f t="shared" si="7"/>
        <v>Weekday</v>
      </c>
      <c r="R130" t="str">
        <f t="shared" ref="R130:R193" si="8">IF(I130=1, "Clear", IF(I130=2, "Mist/Cloudy", IF(I130=3, "Light Snow/Rain", "Heavy Rain")))</f>
        <v>Clear</v>
      </c>
      <c r="S130">
        <f t="shared" ref="S130:S193" si="9">CORREL($L$2:$L$1001, $P$2:$P$1001)</f>
        <v>-0.25435329828790432</v>
      </c>
      <c r="T130">
        <f t="shared" ref="T130:T193" si="10">CORREL($M$2:$M$1001, $P$2:$P$1001)</f>
        <v>0.10399668008577614</v>
      </c>
      <c r="U130" s="6">
        <v>0.28000000000000003</v>
      </c>
      <c r="V130">
        <f t="array" ref="V130">CORREL(IFERROR(VALUE(TRIM(CLEAN($U$2:$U$1001))),0), IFERROR(VALUE(TRIM(CLEAN($P$2:$P$1001))),0))</f>
        <v>0.23135628536430677</v>
      </c>
    </row>
    <row r="131" spans="1:22" x14ac:dyDescent="0.25">
      <c r="A131">
        <v>130</v>
      </c>
      <c r="B131" s="1">
        <v>40549</v>
      </c>
      <c r="C131">
        <v>1</v>
      </c>
      <c r="D131">
        <v>0</v>
      </c>
      <c r="E131">
        <v>1</v>
      </c>
      <c r="F131">
        <v>15</v>
      </c>
      <c r="G131" t="b">
        <v>0</v>
      </c>
      <c r="H131">
        <v>4</v>
      </c>
      <c r="I131">
        <v>1</v>
      </c>
      <c r="J131">
        <v>0.28000000000000003</v>
      </c>
      <c r="K131">
        <v>0.2727</v>
      </c>
      <c r="L131">
        <v>0.36</v>
      </c>
      <c r="M131">
        <v>0</v>
      </c>
      <c r="N131">
        <v>8</v>
      </c>
      <c r="O131">
        <v>54</v>
      </c>
      <c r="P131">
        <v>62</v>
      </c>
      <c r="Q131" t="str">
        <f t="shared" ref="Q131:Q194" si="11">IF(WEEKDAY(A131,2)&gt;5,"Weekend","Weekday")</f>
        <v>Weekday</v>
      </c>
      <c r="R131" t="str">
        <f t="shared" si="8"/>
        <v>Clear</v>
      </c>
      <c r="S131">
        <f t="shared" si="9"/>
        <v>-0.25435329828790432</v>
      </c>
      <c r="T131">
        <f t="shared" si="10"/>
        <v>0.10399668008577614</v>
      </c>
      <c r="U131" s="6">
        <v>0.28000000000000003</v>
      </c>
      <c r="V131">
        <f t="array" ref="V131">CORREL(IFERROR(VALUE(TRIM(CLEAN($U$2:$U$1001))),0), IFERROR(VALUE(TRIM(CLEAN($P$2:$P$1001))),0))</f>
        <v>0.23135628536430677</v>
      </c>
    </row>
    <row r="132" spans="1:22" x14ac:dyDescent="0.25">
      <c r="A132">
        <v>131</v>
      </c>
      <c r="B132" s="1">
        <v>40549</v>
      </c>
      <c r="C132">
        <v>1</v>
      </c>
      <c r="D132">
        <v>0</v>
      </c>
      <c r="E132">
        <v>1</v>
      </c>
      <c r="F132">
        <v>16</v>
      </c>
      <c r="G132" t="b">
        <v>0</v>
      </c>
      <c r="H132">
        <v>4</v>
      </c>
      <c r="I132">
        <v>1</v>
      </c>
      <c r="J132">
        <v>0.26</v>
      </c>
      <c r="K132">
        <v>0.2576</v>
      </c>
      <c r="L132">
        <v>0.38</v>
      </c>
      <c r="M132">
        <v>0.16420000000000001</v>
      </c>
      <c r="N132">
        <v>12</v>
      </c>
      <c r="O132">
        <v>74</v>
      </c>
      <c r="P132">
        <v>86</v>
      </c>
      <c r="Q132" t="str">
        <f t="shared" si="11"/>
        <v>Weekday</v>
      </c>
      <c r="R132" t="str">
        <f t="shared" si="8"/>
        <v>Clear</v>
      </c>
      <c r="S132">
        <f t="shared" si="9"/>
        <v>-0.25435329828790432</v>
      </c>
      <c r="T132">
        <f t="shared" si="10"/>
        <v>0.10399668008577614</v>
      </c>
      <c r="U132" s="6">
        <v>0.26</v>
      </c>
      <c r="V132">
        <f t="array" ref="V132">CORREL(IFERROR(VALUE(TRIM(CLEAN($U$2:$U$1001))),0), IFERROR(VALUE(TRIM(CLEAN($P$2:$P$1001))),0))</f>
        <v>0.23135628536430677</v>
      </c>
    </row>
    <row r="133" spans="1:22" x14ac:dyDescent="0.25">
      <c r="A133">
        <v>132</v>
      </c>
      <c r="B133" s="1">
        <v>40549</v>
      </c>
      <c r="C133">
        <v>1</v>
      </c>
      <c r="D133">
        <v>0</v>
      </c>
      <c r="E133">
        <v>1</v>
      </c>
      <c r="F133">
        <v>17</v>
      </c>
      <c r="G133" t="b">
        <v>0</v>
      </c>
      <c r="H133">
        <v>4</v>
      </c>
      <c r="I133">
        <v>1</v>
      </c>
      <c r="J133">
        <v>0.22</v>
      </c>
      <c r="K133">
        <v>0.2273</v>
      </c>
      <c r="L133">
        <v>0.51</v>
      </c>
      <c r="M133">
        <v>0.16420000000000001</v>
      </c>
      <c r="N133">
        <v>9</v>
      </c>
      <c r="O133">
        <v>163</v>
      </c>
      <c r="P133">
        <v>172</v>
      </c>
      <c r="Q133" t="str">
        <f t="shared" si="11"/>
        <v>Weekday</v>
      </c>
      <c r="R133" t="str">
        <f t="shared" si="8"/>
        <v>Clear</v>
      </c>
      <c r="S133">
        <f t="shared" si="9"/>
        <v>-0.25435329828790432</v>
      </c>
      <c r="T133">
        <f t="shared" si="10"/>
        <v>0.10399668008577614</v>
      </c>
      <c r="U133" s="6">
        <v>0.22</v>
      </c>
      <c r="V133">
        <f t="array" ref="V133">CORREL(IFERROR(VALUE(TRIM(CLEAN($U$2:$U$1001))),0), IFERROR(VALUE(TRIM(CLEAN($P$2:$P$1001))),0))</f>
        <v>0.23135628536430677</v>
      </c>
    </row>
    <row r="134" spans="1:22" x14ac:dyDescent="0.25">
      <c r="A134">
        <v>133</v>
      </c>
      <c r="B134" s="1">
        <v>40549</v>
      </c>
      <c r="C134">
        <v>1</v>
      </c>
      <c r="D134">
        <v>0</v>
      </c>
      <c r="E134">
        <v>1</v>
      </c>
      <c r="F134">
        <v>18</v>
      </c>
      <c r="G134" t="b">
        <v>0</v>
      </c>
      <c r="H134">
        <v>4</v>
      </c>
      <c r="I134">
        <v>1</v>
      </c>
      <c r="J134">
        <v>0.22</v>
      </c>
      <c r="K134">
        <v>0.2273</v>
      </c>
      <c r="L134">
        <v>0.51</v>
      </c>
      <c r="M134">
        <v>0.1343</v>
      </c>
      <c r="N134">
        <v>5</v>
      </c>
      <c r="O134">
        <v>158</v>
      </c>
      <c r="P134">
        <v>163</v>
      </c>
      <c r="Q134" t="str">
        <f t="shared" si="11"/>
        <v>Weekend</v>
      </c>
      <c r="R134" t="str">
        <f t="shared" si="8"/>
        <v>Clear</v>
      </c>
      <c r="S134">
        <f t="shared" si="9"/>
        <v>-0.25435329828790432</v>
      </c>
      <c r="T134">
        <f t="shared" si="10"/>
        <v>0.10399668008577614</v>
      </c>
      <c r="U134" s="6">
        <v>0.22</v>
      </c>
      <c r="V134">
        <f t="array" ref="V134">CORREL(IFERROR(VALUE(TRIM(CLEAN($U$2:$U$1001))),0), IFERROR(VALUE(TRIM(CLEAN($P$2:$P$1001))),0))</f>
        <v>0.23135628536430677</v>
      </c>
    </row>
    <row r="135" spans="1:22" x14ac:dyDescent="0.25">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c r="Q135" t="str">
        <f t="shared" si="11"/>
        <v>Weekend</v>
      </c>
      <c r="R135" t="str">
        <f t="shared" si="8"/>
        <v>Clear</v>
      </c>
      <c r="S135">
        <f t="shared" si="9"/>
        <v>-0.25435329828790432</v>
      </c>
      <c r="T135">
        <f t="shared" si="10"/>
        <v>0.10399668008577614</v>
      </c>
      <c r="U135" s="6">
        <v>0.22</v>
      </c>
      <c r="V135">
        <f t="array" ref="V135">CORREL(IFERROR(VALUE(TRIM(CLEAN($U$2:$U$1001))),0), IFERROR(VALUE(TRIM(CLEAN($P$2:$P$1001))),0))</f>
        <v>0.23135628536430677</v>
      </c>
    </row>
    <row r="136" spans="1:22" x14ac:dyDescent="0.25">
      <c r="A136">
        <v>135</v>
      </c>
      <c r="B136" s="1">
        <v>40549</v>
      </c>
      <c r="C136">
        <v>1</v>
      </c>
      <c r="D136">
        <v>0</v>
      </c>
      <c r="E136">
        <v>1</v>
      </c>
      <c r="F136">
        <v>20</v>
      </c>
      <c r="G136" t="b">
        <v>0</v>
      </c>
      <c r="H136">
        <v>4</v>
      </c>
      <c r="I136">
        <v>1</v>
      </c>
      <c r="J136">
        <v>0.2</v>
      </c>
      <c r="K136">
        <v>0.21210000000000001</v>
      </c>
      <c r="L136">
        <v>0.51</v>
      </c>
      <c r="M136">
        <v>0.16420000000000001</v>
      </c>
      <c r="N136">
        <v>3</v>
      </c>
      <c r="O136">
        <v>66</v>
      </c>
      <c r="P136">
        <v>69</v>
      </c>
      <c r="Q136" t="str">
        <f t="shared" si="11"/>
        <v>Weekday</v>
      </c>
      <c r="R136" t="str">
        <f t="shared" si="8"/>
        <v>Clear</v>
      </c>
      <c r="S136">
        <f t="shared" si="9"/>
        <v>-0.25435329828790432</v>
      </c>
      <c r="T136">
        <f t="shared" si="10"/>
        <v>0.10399668008577614</v>
      </c>
      <c r="U136" s="6">
        <v>0.2</v>
      </c>
      <c r="V136">
        <f t="array" ref="V136">CORREL(IFERROR(VALUE(TRIM(CLEAN($U$2:$U$1001))),0), IFERROR(VALUE(TRIM(CLEAN($P$2:$P$1001))),0))</f>
        <v>0.23135628536430677</v>
      </c>
    </row>
    <row r="137" spans="1:22" x14ac:dyDescent="0.25">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c r="Q137" t="str">
        <f t="shared" si="11"/>
        <v>Weekday</v>
      </c>
      <c r="R137" t="str">
        <f t="shared" si="8"/>
        <v>Mist/Cloudy</v>
      </c>
      <c r="S137">
        <f t="shared" si="9"/>
        <v>-0.25435329828790432</v>
      </c>
      <c r="T137">
        <f t="shared" si="10"/>
        <v>0.10399668008577614</v>
      </c>
      <c r="U137" s="6">
        <v>0.22</v>
      </c>
      <c r="V137">
        <f t="array" ref="V137">CORREL(IFERROR(VALUE(TRIM(CLEAN($U$2:$U$1001))),0), IFERROR(VALUE(TRIM(CLEAN($P$2:$P$1001))),0))</f>
        <v>0.23135628536430677</v>
      </c>
    </row>
    <row r="138" spans="1:22" x14ac:dyDescent="0.25">
      <c r="A138">
        <v>137</v>
      </c>
      <c r="B138" s="1">
        <v>40549</v>
      </c>
      <c r="C138">
        <v>1</v>
      </c>
      <c r="D138">
        <v>0</v>
      </c>
      <c r="E138">
        <v>1</v>
      </c>
      <c r="F138">
        <v>22</v>
      </c>
      <c r="G138" t="b">
        <v>0</v>
      </c>
      <c r="H138">
        <v>4</v>
      </c>
      <c r="I138">
        <v>2</v>
      </c>
      <c r="J138">
        <v>0.22</v>
      </c>
      <c r="K138">
        <v>0.21210000000000001</v>
      </c>
      <c r="L138">
        <v>0.51</v>
      </c>
      <c r="M138">
        <v>0.28360000000000002</v>
      </c>
      <c r="N138">
        <v>1</v>
      </c>
      <c r="O138">
        <v>51</v>
      </c>
      <c r="P138">
        <v>52</v>
      </c>
      <c r="Q138" t="str">
        <f t="shared" si="11"/>
        <v>Weekday</v>
      </c>
      <c r="R138" t="str">
        <f t="shared" si="8"/>
        <v>Mist/Cloudy</v>
      </c>
      <c r="S138">
        <f t="shared" si="9"/>
        <v>-0.25435329828790432</v>
      </c>
      <c r="T138">
        <f t="shared" si="10"/>
        <v>0.10399668008577614</v>
      </c>
      <c r="U138" s="6">
        <v>0.22</v>
      </c>
      <c r="V138">
        <f t="array" ref="V138">CORREL(IFERROR(VALUE(TRIM(CLEAN($U$2:$U$1001))),0), IFERROR(VALUE(TRIM(CLEAN($P$2:$P$1001))),0))</f>
        <v>0.23135628536430677</v>
      </c>
    </row>
    <row r="139" spans="1:22" x14ac:dyDescent="0.25">
      <c r="A139">
        <v>138</v>
      </c>
      <c r="B139" s="1">
        <v>40549</v>
      </c>
      <c r="C139">
        <v>1</v>
      </c>
      <c r="D139">
        <v>0</v>
      </c>
      <c r="E139">
        <v>1</v>
      </c>
      <c r="F139">
        <v>23</v>
      </c>
      <c r="G139" t="b">
        <v>0</v>
      </c>
      <c r="H139">
        <v>4</v>
      </c>
      <c r="I139">
        <v>2</v>
      </c>
      <c r="J139">
        <v>0.2</v>
      </c>
      <c r="K139">
        <v>0.19700000000000001</v>
      </c>
      <c r="L139">
        <v>0.59</v>
      </c>
      <c r="M139">
        <v>0.19400000000000001</v>
      </c>
      <c r="N139">
        <v>4</v>
      </c>
      <c r="O139">
        <v>19</v>
      </c>
      <c r="P139">
        <v>23</v>
      </c>
      <c r="Q139" t="str">
        <f t="shared" si="11"/>
        <v>Weekday</v>
      </c>
      <c r="R139" t="str">
        <f t="shared" si="8"/>
        <v>Mist/Cloudy</v>
      </c>
      <c r="S139">
        <f t="shared" si="9"/>
        <v>-0.25435329828790432</v>
      </c>
      <c r="T139">
        <f t="shared" si="10"/>
        <v>0.10399668008577614</v>
      </c>
      <c r="U139" s="6">
        <v>0.2</v>
      </c>
      <c r="V139">
        <f t="array" ref="V139">CORREL(IFERROR(VALUE(TRIM(CLEAN($U$2:$U$1001))),0), IFERROR(VALUE(TRIM(CLEAN($P$2:$P$1001))),0))</f>
        <v>0.23135628536430677</v>
      </c>
    </row>
    <row r="140" spans="1:22" x14ac:dyDescent="0.25">
      <c r="A140">
        <v>139</v>
      </c>
      <c r="B140" s="1">
        <v>40550</v>
      </c>
      <c r="C140">
        <v>1</v>
      </c>
      <c r="D140">
        <v>0</v>
      </c>
      <c r="E140">
        <v>1</v>
      </c>
      <c r="F140">
        <v>0</v>
      </c>
      <c r="G140" t="b">
        <v>0</v>
      </c>
      <c r="H140">
        <v>5</v>
      </c>
      <c r="I140">
        <v>2</v>
      </c>
      <c r="J140">
        <v>0.2</v>
      </c>
      <c r="K140">
        <v>0.19700000000000001</v>
      </c>
      <c r="L140">
        <v>0.64</v>
      </c>
      <c r="M140">
        <v>0.19400000000000001</v>
      </c>
      <c r="N140">
        <v>4</v>
      </c>
      <c r="O140">
        <v>13</v>
      </c>
      <c r="P140">
        <v>17</v>
      </c>
      <c r="Q140" t="str">
        <f t="shared" si="11"/>
        <v>Weekday</v>
      </c>
      <c r="R140" t="str">
        <f t="shared" si="8"/>
        <v>Mist/Cloudy</v>
      </c>
      <c r="S140">
        <f t="shared" si="9"/>
        <v>-0.25435329828790432</v>
      </c>
      <c r="T140">
        <f t="shared" si="10"/>
        <v>0.10399668008577614</v>
      </c>
      <c r="U140" s="6">
        <v>0.2</v>
      </c>
      <c r="V140">
        <f t="array" ref="V140">CORREL(IFERROR(VALUE(TRIM(CLEAN($U$2:$U$1001))),0), IFERROR(VALUE(TRIM(CLEAN($P$2:$P$1001))),0))</f>
        <v>0.23135628536430677</v>
      </c>
    </row>
    <row r="141" spans="1:22" x14ac:dyDescent="0.25">
      <c r="A141">
        <v>140</v>
      </c>
      <c r="B141" s="1">
        <v>40550</v>
      </c>
      <c r="C141">
        <v>1</v>
      </c>
      <c r="D141">
        <v>0</v>
      </c>
      <c r="E141">
        <v>1</v>
      </c>
      <c r="F141">
        <v>1</v>
      </c>
      <c r="G141" t="b">
        <v>0</v>
      </c>
      <c r="H141">
        <v>5</v>
      </c>
      <c r="I141">
        <v>2</v>
      </c>
      <c r="J141">
        <v>0.2</v>
      </c>
      <c r="K141">
        <v>0.19700000000000001</v>
      </c>
      <c r="L141">
        <v>0.69</v>
      </c>
      <c r="M141">
        <v>0.22389999999999999</v>
      </c>
      <c r="N141">
        <v>2</v>
      </c>
      <c r="O141">
        <v>5</v>
      </c>
      <c r="P141">
        <v>7</v>
      </c>
      <c r="Q141" t="str">
        <f t="shared" si="11"/>
        <v>Weekend</v>
      </c>
      <c r="R141" t="str">
        <f t="shared" si="8"/>
        <v>Mist/Cloudy</v>
      </c>
      <c r="S141">
        <f t="shared" si="9"/>
        <v>-0.25435329828790432</v>
      </c>
      <c r="T141">
        <f t="shared" si="10"/>
        <v>0.10399668008577614</v>
      </c>
      <c r="U141" s="6">
        <v>0.2</v>
      </c>
      <c r="V141">
        <f t="array" ref="V141">CORREL(IFERROR(VALUE(TRIM(CLEAN($U$2:$U$1001))),0), IFERROR(VALUE(TRIM(CLEAN($P$2:$P$1001))),0))</f>
        <v>0.23135628536430677</v>
      </c>
    </row>
    <row r="142" spans="1:22" x14ac:dyDescent="0.25">
      <c r="A142">
        <v>141</v>
      </c>
      <c r="B142" s="1">
        <v>40550</v>
      </c>
      <c r="C142">
        <v>1</v>
      </c>
      <c r="D142">
        <v>0</v>
      </c>
      <c r="E142">
        <v>1</v>
      </c>
      <c r="F142">
        <v>2</v>
      </c>
      <c r="G142" t="b">
        <v>0</v>
      </c>
      <c r="H142">
        <v>5</v>
      </c>
      <c r="I142">
        <v>2</v>
      </c>
      <c r="J142">
        <v>0.2</v>
      </c>
      <c r="K142">
        <v>0.19700000000000001</v>
      </c>
      <c r="L142">
        <v>0.69</v>
      </c>
      <c r="M142">
        <v>0.22389999999999999</v>
      </c>
      <c r="N142">
        <v>0</v>
      </c>
      <c r="O142">
        <v>1</v>
      </c>
      <c r="P142">
        <v>1</v>
      </c>
      <c r="Q142" t="str">
        <f t="shared" si="11"/>
        <v>Weekend</v>
      </c>
      <c r="R142" t="str">
        <f t="shared" si="8"/>
        <v>Mist/Cloudy</v>
      </c>
      <c r="S142">
        <f t="shared" si="9"/>
        <v>-0.25435329828790432</v>
      </c>
      <c r="T142">
        <f t="shared" si="10"/>
        <v>0.10399668008577614</v>
      </c>
      <c r="U142" s="6">
        <v>0.2</v>
      </c>
      <c r="V142">
        <f t="array" ref="V142">CORREL(IFERROR(VALUE(TRIM(CLEAN($U$2:$U$1001))),0), IFERROR(VALUE(TRIM(CLEAN($P$2:$P$1001))),0))</f>
        <v>0.23135628536430677</v>
      </c>
    </row>
    <row r="143" spans="1:22" x14ac:dyDescent="0.25">
      <c r="A143">
        <v>142</v>
      </c>
      <c r="B143" s="1">
        <v>40550</v>
      </c>
      <c r="C143">
        <v>1</v>
      </c>
      <c r="D143">
        <v>0</v>
      </c>
      <c r="E143">
        <v>1</v>
      </c>
      <c r="F143">
        <v>4</v>
      </c>
      <c r="G143" t="b">
        <v>0</v>
      </c>
      <c r="H143">
        <v>5</v>
      </c>
      <c r="I143">
        <v>2</v>
      </c>
      <c r="J143">
        <v>0.2</v>
      </c>
      <c r="K143">
        <v>0.21210000000000001</v>
      </c>
      <c r="L143">
        <v>0.69</v>
      </c>
      <c r="M143">
        <v>0.1343</v>
      </c>
      <c r="N143">
        <v>0</v>
      </c>
      <c r="O143">
        <v>1</v>
      </c>
      <c r="P143">
        <v>1</v>
      </c>
      <c r="Q143" t="str">
        <f t="shared" si="11"/>
        <v>Weekday</v>
      </c>
      <c r="R143" t="str">
        <f t="shared" si="8"/>
        <v>Mist/Cloudy</v>
      </c>
      <c r="S143">
        <f t="shared" si="9"/>
        <v>-0.25435329828790432</v>
      </c>
      <c r="T143">
        <f t="shared" si="10"/>
        <v>0.10399668008577614</v>
      </c>
      <c r="U143" s="6">
        <v>0.2</v>
      </c>
      <c r="V143">
        <f t="array" ref="V143">CORREL(IFERROR(VALUE(TRIM(CLEAN($U$2:$U$1001))),0), IFERROR(VALUE(TRIM(CLEAN($P$2:$P$1001))),0))</f>
        <v>0.23135628536430677</v>
      </c>
    </row>
    <row r="144" spans="1:22" x14ac:dyDescent="0.25">
      <c r="A144">
        <v>143</v>
      </c>
      <c r="B144" s="1">
        <v>40550</v>
      </c>
      <c r="C144">
        <v>1</v>
      </c>
      <c r="D144">
        <v>0</v>
      </c>
      <c r="E144">
        <v>1</v>
      </c>
      <c r="F144">
        <v>5</v>
      </c>
      <c r="G144" t="b">
        <v>0</v>
      </c>
      <c r="H144">
        <v>5</v>
      </c>
      <c r="I144">
        <v>3</v>
      </c>
      <c r="J144">
        <v>0.22</v>
      </c>
      <c r="K144">
        <v>0.2727</v>
      </c>
      <c r="L144">
        <v>0.55000000000000004</v>
      </c>
      <c r="M144">
        <v>0</v>
      </c>
      <c r="N144">
        <v>0</v>
      </c>
      <c r="O144">
        <v>5</v>
      </c>
      <c r="P144">
        <v>5</v>
      </c>
      <c r="Q144" t="str">
        <f t="shared" si="11"/>
        <v>Weekday</v>
      </c>
      <c r="R144" t="str">
        <f t="shared" si="8"/>
        <v>Light Snow/Rain</v>
      </c>
      <c r="S144">
        <f t="shared" si="9"/>
        <v>-0.25435329828790432</v>
      </c>
      <c r="T144">
        <f t="shared" si="10"/>
        <v>0.10399668008577614</v>
      </c>
      <c r="U144" s="6">
        <v>0.22</v>
      </c>
      <c r="V144">
        <f t="array" ref="V144">CORREL(IFERROR(VALUE(TRIM(CLEAN($U$2:$U$1001))),0), IFERROR(VALUE(TRIM(CLEAN($P$2:$P$1001))),0))</f>
        <v>0.23135628536430677</v>
      </c>
    </row>
    <row r="145" spans="1:22" x14ac:dyDescent="0.25">
      <c r="A145">
        <v>144</v>
      </c>
      <c r="B145" s="1">
        <v>40550</v>
      </c>
      <c r="C145">
        <v>1</v>
      </c>
      <c r="D145">
        <v>0</v>
      </c>
      <c r="E145">
        <v>1</v>
      </c>
      <c r="F145">
        <v>6</v>
      </c>
      <c r="G145" t="b">
        <v>0</v>
      </c>
      <c r="H145">
        <v>5</v>
      </c>
      <c r="I145">
        <v>2</v>
      </c>
      <c r="J145">
        <v>0.2</v>
      </c>
      <c r="K145">
        <v>0.2576</v>
      </c>
      <c r="L145">
        <v>0.69</v>
      </c>
      <c r="M145">
        <v>0</v>
      </c>
      <c r="N145">
        <v>8</v>
      </c>
      <c r="O145">
        <v>26</v>
      </c>
      <c r="P145">
        <v>34</v>
      </c>
      <c r="Q145" t="str">
        <f t="shared" si="11"/>
        <v>Weekday</v>
      </c>
      <c r="R145" t="str">
        <f t="shared" si="8"/>
        <v>Mist/Cloudy</v>
      </c>
      <c r="S145">
        <f t="shared" si="9"/>
        <v>-0.25435329828790432</v>
      </c>
      <c r="T145">
        <f t="shared" si="10"/>
        <v>0.10399668008577614</v>
      </c>
      <c r="U145" s="6">
        <v>0.2</v>
      </c>
      <c r="V145">
        <f t="array" ref="V145">CORREL(IFERROR(VALUE(TRIM(CLEAN($U$2:$U$1001))),0), IFERROR(VALUE(TRIM(CLEAN($P$2:$P$1001))),0))</f>
        <v>0.23135628536430677</v>
      </c>
    </row>
    <row r="146" spans="1:22" x14ac:dyDescent="0.25">
      <c r="A146">
        <v>145</v>
      </c>
      <c r="B146" s="1">
        <v>40550</v>
      </c>
      <c r="C146">
        <v>1</v>
      </c>
      <c r="D146">
        <v>0</v>
      </c>
      <c r="E146">
        <v>1</v>
      </c>
      <c r="F146">
        <v>7</v>
      </c>
      <c r="G146" t="b">
        <v>0</v>
      </c>
      <c r="H146">
        <v>5</v>
      </c>
      <c r="I146">
        <v>1</v>
      </c>
      <c r="J146">
        <v>0.2</v>
      </c>
      <c r="K146">
        <v>0.21210000000000001</v>
      </c>
      <c r="L146">
        <v>0.69</v>
      </c>
      <c r="M146">
        <v>0.1343</v>
      </c>
      <c r="N146">
        <v>8</v>
      </c>
      <c r="O146">
        <v>76</v>
      </c>
      <c r="P146">
        <v>84</v>
      </c>
      <c r="Q146" t="str">
        <f t="shared" si="11"/>
        <v>Weekday</v>
      </c>
      <c r="R146" t="str">
        <f t="shared" si="8"/>
        <v>Clear</v>
      </c>
      <c r="S146">
        <f t="shared" si="9"/>
        <v>-0.25435329828790432</v>
      </c>
      <c r="T146">
        <f t="shared" si="10"/>
        <v>0.10399668008577614</v>
      </c>
      <c r="U146" s="6">
        <v>0.2</v>
      </c>
      <c r="V146">
        <f t="array" ref="V146">CORREL(IFERROR(VALUE(TRIM(CLEAN($U$2:$U$1001))),0), IFERROR(VALUE(TRIM(CLEAN($P$2:$P$1001))),0))</f>
        <v>0.23135628536430677</v>
      </c>
    </row>
    <row r="147" spans="1:22" x14ac:dyDescent="0.25">
      <c r="A147">
        <v>146</v>
      </c>
      <c r="B147" s="1">
        <v>40550</v>
      </c>
      <c r="C147">
        <v>1</v>
      </c>
      <c r="D147">
        <v>0</v>
      </c>
      <c r="E147">
        <v>1</v>
      </c>
      <c r="F147">
        <v>8</v>
      </c>
      <c r="G147" t="b">
        <v>0</v>
      </c>
      <c r="H147">
        <v>5</v>
      </c>
      <c r="I147">
        <v>1</v>
      </c>
      <c r="J147">
        <v>0.2</v>
      </c>
      <c r="K147">
        <v>0.19700000000000001</v>
      </c>
      <c r="L147">
        <v>0.51</v>
      </c>
      <c r="M147">
        <v>0.25369999999999998</v>
      </c>
      <c r="N147">
        <v>20</v>
      </c>
      <c r="O147">
        <v>190</v>
      </c>
      <c r="P147">
        <v>210</v>
      </c>
      <c r="Q147" t="str">
        <f t="shared" si="11"/>
        <v>Weekday</v>
      </c>
      <c r="R147" t="str">
        <f t="shared" si="8"/>
        <v>Clear</v>
      </c>
      <c r="S147">
        <f t="shared" si="9"/>
        <v>-0.25435329828790432</v>
      </c>
      <c r="T147">
        <f t="shared" si="10"/>
        <v>0.10399668008577614</v>
      </c>
      <c r="U147" s="6">
        <v>0.2</v>
      </c>
      <c r="V147">
        <f t="array" ref="V147">CORREL(IFERROR(VALUE(TRIM(CLEAN($U$2:$U$1001))),0), IFERROR(VALUE(TRIM(CLEAN($P$2:$P$1001))),0))</f>
        <v>0.23135628536430677</v>
      </c>
    </row>
    <row r="148" spans="1:22" x14ac:dyDescent="0.25">
      <c r="A148">
        <v>147</v>
      </c>
      <c r="B148" s="1">
        <v>40550</v>
      </c>
      <c r="C148">
        <v>1</v>
      </c>
      <c r="D148">
        <v>0</v>
      </c>
      <c r="E148">
        <v>1</v>
      </c>
      <c r="F148">
        <v>9</v>
      </c>
      <c r="G148" t="b">
        <v>0</v>
      </c>
      <c r="H148">
        <v>5</v>
      </c>
      <c r="I148">
        <v>1</v>
      </c>
      <c r="J148">
        <v>0.2</v>
      </c>
      <c r="K148">
        <v>0.18179999999999999</v>
      </c>
      <c r="L148">
        <v>0.47</v>
      </c>
      <c r="M148">
        <v>0.29849999999999999</v>
      </c>
      <c r="N148">
        <v>9</v>
      </c>
      <c r="O148">
        <v>125</v>
      </c>
      <c r="P148">
        <v>134</v>
      </c>
      <c r="Q148" t="str">
        <f t="shared" si="11"/>
        <v>Weekend</v>
      </c>
      <c r="R148" t="str">
        <f t="shared" si="8"/>
        <v>Clear</v>
      </c>
      <c r="S148">
        <f t="shared" si="9"/>
        <v>-0.25435329828790432</v>
      </c>
      <c r="T148">
        <f t="shared" si="10"/>
        <v>0.10399668008577614</v>
      </c>
      <c r="U148" s="6">
        <v>0.2</v>
      </c>
      <c r="V148">
        <f t="array" ref="V148">CORREL(IFERROR(VALUE(TRIM(CLEAN($U$2:$U$1001))),0), IFERROR(VALUE(TRIM(CLEAN($P$2:$P$1001))),0))</f>
        <v>0.23135628536430677</v>
      </c>
    </row>
    <row r="149" spans="1:22" x14ac:dyDescent="0.25">
      <c r="A149">
        <v>148</v>
      </c>
      <c r="B149" s="1">
        <v>40550</v>
      </c>
      <c r="C149">
        <v>1</v>
      </c>
      <c r="D149">
        <v>0</v>
      </c>
      <c r="E149">
        <v>1</v>
      </c>
      <c r="F149">
        <v>10</v>
      </c>
      <c r="G149" t="b">
        <v>0</v>
      </c>
      <c r="H149">
        <v>5</v>
      </c>
      <c r="I149">
        <v>1</v>
      </c>
      <c r="J149">
        <v>0.22</v>
      </c>
      <c r="K149">
        <v>0.19700000000000001</v>
      </c>
      <c r="L149">
        <v>0.37</v>
      </c>
      <c r="M149">
        <v>0.32840000000000003</v>
      </c>
      <c r="N149">
        <v>16</v>
      </c>
      <c r="O149">
        <v>47</v>
      </c>
      <c r="P149">
        <v>63</v>
      </c>
      <c r="Q149" t="str">
        <f t="shared" si="11"/>
        <v>Weekend</v>
      </c>
      <c r="R149" t="str">
        <f t="shared" si="8"/>
        <v>Clear</v>
      </c>
      <c r="S149">
        <f t="shared" si="9"/>
        <v>-0.25435329828790432</v>
      </c>
      <c r="T149">
        <f t="shared" si="10"/>
        <v>0.10399668008577614</v>
      </c>
      <c r="U149" s="6">
        <v>0.22</v>
      </c>
      <c r="V149">
        <f t="array" ref="V149">CORREL(IFERROR(VALUE(TRIM(CLEAN($U$2:$U$1001))),0), IFERROR(VALUE(TRIM(CLEAN($P$2:$P$1001))),0))</f>
        <v>0.23135628536430677</v>
      </c>
    </row>
    <row r="150" spans="1:22" x14ac:dyDescent="0.25">
      <c r="A150">
        <v>149</v>
      </c>
      <c r="B150" s="1">
        <v>40550</v>
      </c>
      <c r="C150">
        <v>1</v>
      </c>
      <c r="D150">
        <v>0</v>
      </c>
      <c r="E150">
        <v>1</v>
      </c>
      <c r="F150">
        <v>11</v>
      </c>
      <c r="G150" t="b">
        <v>0</v>
      </c>
      <c r="H150">
        <v>5</v>
      </c>
      <c r="I150">
        <v>2</v>
      </c>
      <c r="J150">
        <v>0.2</v>
      </c>
      <c r="K150">
        <v>0.19700000000000001</v>
      </c>
      <c r="L150">
        <v>0.4</v>
      </c>
      <c r="M150">
        <v>0.22389999999999999</v>
      </c>
      <c r="N150">
        <v>19</v>
      </c>
      <c r="O150">
        <v>48</v>
      </c>
      <c r="P150">
        <v>67</v>
      </c>
      <c r="Q150" t="str">
        <f t="shared" si="11"/>
        <v>Weekday</v>
      </c>
      <c r="R150" t="str">
        <f t="shared" si="8"/>
        <v>Mist/Cloudy</v>
      </c>
      <c r="S150">
        <f t="shared" si="9"/>
        <v>-0.25435329828790432</v>
      </c>
      <c r="T150">
        <f t="shared" si="10"/>
        <v>0.10399668008577614</v>
      </c>
      <c r="U150" s="6">
        <v>0.2</v>
      </c>
      <c r="V150">
        <f t="array" ref="V150">CORREL(IFERROR(VALUE(TRIM(CLEAN($U$2:$U$1001))),0), IFERROR(VALUE(TRIM(CLEAN($P$2:$P$1001))),0))</f>
        <v>0.23135628536430677</v>
      </c>
    </row>
    <row r="151" spans="1:22" x14ac:dyDescent="0.25">
      <c r="A151">
        <v>150</v>
      </c>
      <c r="B151" s="1">
        <v>40550</v>
      </c>
      <c r="C151">
        <v>1</v>
      </c>
      <c r="D151">
        <v>0</v>
      </c>
      <c r="E151">
        <v>1</v>
      </c>
      <c r="F151">
        <v>12</v>
      </c>
      <c r="G151" t="b">
        <v>0</v>
      </c>
      <c r="H151">
        <v>5</v>
      </c>
      <c r="I151">
        <v>2</v>
      </c>
      <c r="J151">
        <v>0.2</v>
      </c>
      <c r="K151">
        <v>0.19700000000000001</v>
      </c>
      <c r="L151">
        <v>0.37</v>
      </c>
      <c r="M151">
        <v>0.25369999999999998</v>
      </c>
      <c r="N151">
        <v>9</v>
      </c>
      <c r="O151">
        <v>50</v>
      </c>
      <c r="P151">
        <v>59</v>
      </c>
      <c r="Q151" t="str">
        <f t="shared" si="11"/>
        <v>Weekday</v>
      </c>
      <c r="R151" t="str">
        <f t="shared" si="8"/>
        <v>Mist/Cloudy</v>
      </c>
      <c r="S151">
        <f t="shared" si="9"/>
        <v>-0.25435329828790432</v>
      </c>
      <c r="T151">
        <f t="shared" si="10"/>
        <v>0.10399668008577614</v>
      </c>
      <c r="U151" s="6">
        <v>0.2</v>
      </c>
      <c r="V151">
        <f t="array" ref="V151">CORREL(IFERROR(VALUE(TRIM(CLEAN($U$2:$U$1001))),0), IFERROR(VALUE(TRIM(CLEAN($P$2:$P$1001))),0))</f>
        <v>0.23135628536430677</v>
      </c>
    </row>
    <row r="152" spans="1:22" x14ac:dyDescent="0.25">
      <c r="A152">
        <v>151</v>
      </c>
      <c r="B152" s="1">
        <v>40550</v>
      </c>
      <c r="C152">
        <v>1</v>
      </c>
      <c r="D152">
        <v>0</v>
      </c>
      <c r="E152">
        <v>1</v>
      </c>
      <c r="F152">
        <v>13</v>
      </c>
      <c r="G152" t="b">
        <v>0</v>
      </c>
      <c r="H152">
        <v>5</v>
      </c>
      <c r="I152">
        <v>2</v>
      </c>
      <c r="J152">
        <v>0.2</v>
      </c>
      <c r="K152">
        <v>0.18179999999999999</v>
      </c>
      <c r="L152">
        <v>0.37</v>
      </c>
      <c r="M152">
        <v>0.28360000000000002</v>
      </c>
      <c r="N152">
        <v>9</v>
      </c>
      <c r="O152">
        <v>64</v>
      </c>
      <c r="P152">
        <v>73</v>
      </c>
      <c r="Q152" t="str">
        <f t="shared" si="11"/>
        <v>Weekday</v>
      </c>
      <c r="R152" t="str">
        <f t="shared" si="8"/>
        <v>Mist/Cloudy</v>
      </c>
      <c r="S152">
        <f t="shared" si="9"/>
        <v>-0.25435329828790432</v>
      </c>
      <c r="T152">
        <f t="shared" si="10"/>
        <v>0.10399668008577614</v>
      </c>
      <c r="U152" s="6">
        <v>0.2</v>
      </c>
      <c r="V152">
        <f t="array" ref="V152">CORREL(IFERROR(VALUE(TRIM(CLEAN($U$2:$U$1001))),0), IFERROR(VALUE(TRIM(CLEAN($P$2:$P$1001))),0))</f>
        <v>0.23135628536430677</v>
      </c>
    </row>
    <row r="153" spans="1:22" x14ac:dyDescent="0.25">
      <c r="A153">
        <v>152</v>
      </c>
      <c r="B153" s="1">
        <v>40550</v>
      </c>
      <c r="C153">
        <v>1</v>
      </c>
      <c r="D153">
        <v>0</v>
      </c>
      <c r="E153">
        <v>1</v>
      </c>
      <c r="F153">
        <v>14</v>
      </c>
      <c r="G153" t="b">
        <v>0</v>
      </c>
      <c r="H153">
        <v>5</v>
      </c>
      <c r="I153">
        <v>2</v>
      </c>
      <c r="J153">
        <v>0.2</v>
      </c>
      <c r="K153">
        <v>0.19700000000000001</v>
      </c>
      <c r="L153">
        <v>0.4</v>
      </c>
      <c r="M153">
        <v>0.25369999999999998</v>
      </c>
      <c r="N153">
        <v>7</v>
      </c>
      <c r="O153">
        <v>43</v>
      </c>
      <c r="P153">
        <v>50</v>
      </c>
      <c r="Q153" t="str">
        <f t="shared" si="11"/>
        <v>Weekday</v>
      </c>
      <c r="R153" t="str">
        <f t="shared" si="8"/>
        <v>Mist/Cloudy</v>
      </c>
      <c r="S153">
        <f t="shared" si="9"/>
        <v>-0.25435329828790432</v>
      </c>
      <c r="T153">
        <f t="shared" si="10"/>
        <v>0.10399668008577614</v>
      </c>
      <c r="U153" s="6">
        <v>0.2</v>
      </c>
      <c r="V153">
        <f t="array" ref="V153">CORREL(IFERROR(VALUE(TRIM(CLEAN($U$2:$U$1001))),0), IFERROR(VALUE(TRIM(CLEAN($P$2:$P$1001))),0))</f>
        <v>0.23135628536430677</v>
      </c>
    </row>
    <row r="154" spans="1:22" x14ac:dyDescent="0.25">
      <c r="A154">
        <v>153</v>
      </c>
      <c r="B154" s="1">
        <v>40550</v>
      </c>
      <c r="C154">
        <v>1</v>
      </c>
      <c r="D154">
        <v>0</v>
      </c>
      <c r="E154">
        <v>1</v>
      </c>
      <c r="F154">
        <v>15</v>
      </c>
      <c r="G154" t="b">
        <v>0</v>
      </c>
      <c r="H154">
        <v>5</v>
      </c>
      <c r="I154">
        <v>2</v>
      </c>
      <c r="J154">
        <v>0.2</v>
      </c>
      <c r="K154">
        <v>0.21210000000000001</v>
      </c>
      <c r="L154">
        <v>0.37</v>
      </c>
      <c r="M154">
        <v>0.16420000000000001</v>
      </c>
      <c r="N154">
        <v>9</v>
      </c>
      <c r="O154">
        <v>63</v>
      </c>
      <c r="P154">
        <v>72</v>
      </c>
      <c r="Q154" t="str">
        <f t="shared" si="11"/>
        <v>Weekday</v>
      </c>
      <c r="R154" t="str">
        <f t="shared" si="8"/>
        <v>Mist/Cloudy</v>
      </c>
      <c r="S154">
        <f t="shared" si="9"/>
        <v>-0.25435329828790432</v>
      </c>
      <c r="T154">
        <f t="shared" si="10"/>
        <v>0.10399668008577614</v>
      </c>
      <c r="U154" s="6">
        <v>0.2</v>
      </c>
      <c r="V154">
        <f t="array" ref="V154">CORREL(IFERROR(VALUE(TRIM(CLEAN($U$2:$U$1001))),0), IFERROR(VALUE(TRIM(CLEAN($P$2:$P$1001))),0))</f>
        <v>0.23135628536430677</v>
      </c>
    </row>
    <row r="155" spans="1:22" x14ac:dyDescent="0.25">
      <c r="A155">
        <v>154</v>
      </c>
      <c r="B155" s="1">
        <v>40550</v>
      </c>
      <c r="C155">
        <v>1</v>
      </c>
      <c r="D155">
        <v>0</v>
      </c>
      <c r="E155">
        <v>1</v>
      </c>
      <c r="F155">
        <v>16</v>
      </c>
      <c r="G155" t="b">
        <v>0</v>
      </c>
      <c r="H155">
        <v>5</v>
      </c>
      <c r="I155">
        <v>2</v>
      </c>
      <c r="J155">
        <v>0.2</v>
      </c>
      <c r="K155">
        <v>0.21210000000000001</v>
      </c>
      <c r="L155">
        <v>0.37</v>
      </c>
      <c r="M155">
        <v>0.16420000000000001</v>
      </c>
      <c r="N155">
        <v>5</v>
      </c>
      <c r="O155">
        <v>82</v>
      </c>
      <c r="P155">
        <v>87</v>
      </c>
      <c r="Q155" t="str">
        <f t="shared" si="11"/>
        <v>Weekend</v>
      </c>
      <c r="R155" t="str">
        <f t="shared" si="8"/>
        <v>Mist/Cloudy</v>
      </c>
      <c r="S155">
        <f t="shared" si="9"/>
        <v>-0.25435329828790432</v>
      </c>
      <c r="T155">
        <f t="shared" si="10"/>
        <v>0.10399668008577614</v>
      </c>
      <c r="U155" s="6">
        <v>0.2</v>
      </c>
      <c r="V155">
        <f t="array" ref="V155">CORREL(IFERROR(VALUE(TRIM(CLEAN($U$2:$U$1001))),0), IFERROR(VALUE(TRIM(CLEAN($P$2:$P$1001))),0))</f>
        <v>0.23135628536430677</v>
      </c>
    </row>
    <row r="156" spans="1:22" x14ac:dyDescent="0.25">
      <c r="A156">
        <v>155</v>
      </c>
      <c r="B156" s="1">
        <v>40550</v>
      </c>
      <c r="C156">
        <v>1</v>
      </c>
      <c r="D156">
        <v>0</v>
      </c>
      <c r="E156">
        <v>1</v>
      </c>
      <c r="F156">
        <v>17</v>
      </c>
      <c r="G156" t="b">
        <v>0</v>
      </c>
      <c r="H156">
        <v>5</v>
      </c>
      <c r="I156">
        <v>2</v>
      </c>
      <c r="J156">
        <v>0.2</v>
      </c>
      <c r="K156">
        <v>0.2576</v>
      </c>
      <c r="L156">
        <v>0.37</v>
      </c>
      <c r="M156">
        <v>0</v>
      </c>
      <c r="N156">
        <v>9</v>
      </c>
      <c r="O156">
        <v>178</v>
      </c>
      <c r="P156">
        <v>187</v>
      </c>
      <c r="Q156" t="str">
        <f t="shared" si="11"/>
        <v>Weekend</v>
      </c>
      <c r="R156" t="str">
        <f t="shared" si="8"/>
        <v>Mist/Cloudy</v>
      </c>
      <c r="S156">
        <f t="shared" si="9"/>
        <v>-0.25435329828790432</v>
      </c>
      <c r="T156">
        <f t="shared" si="10"/>
        <v>0.10399668008577614</v>
      </c>
      <c r="U156" s="6">
        <v>0.2</v>
      </c>
      <c r="V156">
        <f t="array" ref="V156">CORREL(IFERROR(VALUE(TRIM(CLEAN($U$2:$U$1001))),0), IFERROR(VALUE(TRIM(CLEAN($P$2:$P$1001))),0))</f>
        <v>0.23135628536430677</v>
      </c>
    </row>
    <row r="157" spans="1:22" x14ac:dyDescent="0.25">
      <c r="A157">
        <v>156</v>
      </c>
      <c r="B157" s="1">
        <v>40550</v>
      </c>
      <c r="C157">
        <v>1</v>
      </c>
      <c r="D157">
        <v>0</v>
      </c>
      <c r="E157">
        <v>1</v>
      </c>
      <c r="F157">
        <v>18</v>
      </c>
      <c r="G157" t="b">
        <v>0</v>
      </c>
      <c r="H157">
        <v>5</v>
      </c>
      <c r="I157">
        <v>1</v>
      </c>
      <c r="J157">
        <v>0.2</v>
      </c>
      <c r="K157">
        <v>0.2273</v>
      </c>
      <c r="L157">
        <v>0.4</v>
      </c>
      <c r="M157">
        <v>8.9599999999999999E-2</v>
      </c>
      <c r="N157">
        <v>7</v>
      </c>
      <c r="O157">
        <v>116</v>
      </c>
      <c r="P157">
        <v>123</v>
      </c>
      <c r="Q157" t="str">
        <f t="shared" si="11"/>
        <v>Weekday</v>
      </c>
      <c r="R157" t="str">
        <f t="shared" si="8"/>
        <v>Clear</v>
      </c>
      <c r="S157">
        <f t="shared" si="9"/>
        <v>-0.25435329828790432</v>
      </c>
      <c r="T157">
        <f t="shared" si="10"/>
        <v>0.10399668008577614</v>
      </c>
      <c r="U157" s="6">
        <v>0.2</v>
      </c>
      <c r="V157">
        <f t="array" ref="V157">CORREL(IFERROR(VALUE(TRIM(CLEAN($U$2:$U$1001))),0), IFERROR(VALUE(TRIM(CLEAN($P$2:$P$1001))),0))</f>
        <v>0.23135628536430677</v>
      </c>
    </row>
    <row r="158" spans="1:22" x14ac:dyDescent="0.25">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c r="Q158" t="str">
        <f t="shared" si="11"/>
        <v>Weekday</v>
      </c>
      <c r="R158" t="str">
        <f t="shared" si="8"/>
        <v>Clear</v>
      </c>
      <c r="S158">
        <f t="shared" si="9"/>
        <v>-0.25435329828790432</v>
      </c>
      <c r="T158">
        <f t="shared" si="10"/>
        <v>0.10399668008577614</v>
      </c>
      <c r="U158" s="6">
        <v>0.16</v>
      </c>
      <c r="V158">
        <f t="array" ref="V158">CORREL(IFERROR(VALUE(TRIM(CLEAN($U$2:$U$1001))),0), IFERROR(VALUE(TRIM(CLEAN($P$2:$P$1001))),0))</f>
        <v>0.23135628536430677</v>
      </c>
    </row>
    <row r="159" spans="1:22" x14ac:dyDescent="0.25">
      <c r="A159">
        <v>158</v>
      </c>
      <c r="B159" s="1">
        <v>40550</v>
      </c>
      <c r="C159">
        <v>1</v>
      </c>
      <c r="D159">
        <v>0</v>
      </c>
      <c r="E159">
        <v>1</v>
      </c>
      <c r="F159">
        <v>20</v>
      </c>
      <c r="G159" t="b">
        <v>0</v>
      </c>
      <c r="H159">
        <v>5</v>
      </c>
      <c r="I159">
        <v>1</v>
      </c>
      <c r="J159">
        <v>0.18</v>
      </c>
      <c r="K159">
        <v>0.21210000000000001</v>
      </c>
      <c r="L159">
        <v>0.47</v>
      </c>
      <c r="M159">
        <v>0.1045</v>
      </c>
      <c r="N159">
        <v>1</v>
      </c>
      <c r="O159">
        <v>50</v>
      </c>
      <c r="P159">
        <v>51</v>
      </c>
      <c r="Q159" t="str">
        <f t="shared" si="11"/>
        <v>Weekday</v>
      </c>
      <c r="R159" t="str">
        <f t="shared" si="8"/>
        <v>Clear</v>
      </c>
      <c r="S159">
        <f t="shared" si="9"/>
        <v>-0.25435329828790432</v>
      </c>
      <c r="T159">
        <f t="shared" si="10"/>
        <v>0.10399668008577614</v>
      </c>
      <c r="U159" s="6">
        <v>0.18</v>
      </c>
      <c r="V159">
        <f t="array" ref="V159">CORREL(IFERROR(VALUE(TRIM(CLEAN($U$2:$U$1001))),0), IFERROR(VALUE(TRIM(CLEAN($P$2:$P$1001))),0))</f>
        <v>0.23135628536430677</v>
      </c>
    </row>
    <row r="160" spans="1:22" x14ac:dyDescent="0.25">
      <c r="A160">
        <v>159</v>
      </c>
      <c r="B160" s="1">
        <v>40550</v>
      </c>
      <c r="C160">
        <v>1</v>
      </c>
      <c r="D160">
        <v>0</v>
      </c>
      <c r="E160">
        <v>1</v>
      </c>
      <c r="F160">
        <v>21</v>
      </c>
      <c r="G160" t="b">
        <v>0</v>
      </c>
      <c r="H160">
        <v>5</v>
      </c>
      <c r="I160">
        <v>1</v>
      </c>
      <c r="J160">
        <v>0.18</v>
      </c>
      <c r="K160">
        <v>0.19700000000000001</v>
      </c>
      <c r="L160">
        <v>0.47</v>
      </c>
      <c r="M160">
        <v>0.1343</v>
      </c>
      <c r="N160">
        <v>0</v>
      </c>
      <c r="O160">
        <v>39</v>
      </c>
      <c r="P160">
        <v>39</v>
      </c>
      <c r="Q160" t="str">
        <f t="shared" si="11"/>
        <v>Weekday</v>
      </c>
      <c r="R160" t="str">
        <f t="shared" si="8"/>
        <v>Clear</v>
      </c>
      <c r="S160">
        <f t="shared" si="9"/>
        <v>-0.25435329828790432</v>
      </c>
      <c r="T160">
        <f t="shared" si="10"/>
        <v>0.10399668008577614</v>
      </c>
      <c r="U160" s="6">
        <v>0.18</v>
      </c>
      <c r="V160">
        <f t="array" ref="V160">CORREL(IFERROR(VALUE(TRIM(CLEAN($U$2:$U$1001))),0), IFERROR(VALUE(TRIM(CLEAN($P$2:$P$1001))),0))</f>
        <v>0.23135628536430677</v>
      </c>
    </row>
    <row r="161" spans="1:22" x14ac:dyDescent="0.25">
      <c r="A161">
        <v>160</v>
      </c>
      <c r="B161" s="1">
        <v>40550</v>
      </c>
      <c r="C161">
        <v>1</v>
      </c>
      <c r="D161">
        <v>0</v>
      </c>
      <c r="E161">
        <v>1</v>
      </c>
      <c r="F161">
        <v>22</v>
      </c>
      <c r="G161" t="b">
        <v>0</v>
      </c>
      <c r="H161">
        <v>5</v>
      </c>
      <c r="I161">
        <v>2</v>
      </c>
      <c r="J161">
        <v>0.18</v>
      </c>
      <c r="K161">
        <v>0.19700000000000001</v>
      </c>
      <c r="L161">
        <v>0.43</v>
      </c>
      <c r="M161">
        <v>0.16420000000000001</v>
      </c>
      <c r="N161">
        <v>2</v>
      </c>
      <c r="O161">
        <v>34</v>
      </c>
      <c r="P161">
        <v>36</v>
      </c>
      <c r="Q161" t="str">
        <f t="shared" si="11"/>
        <v>Weekday</v>
      </c>
      <c r="R161" t="str">
        <f t="shared" si="8"/>
        <v>Mist/Cloudy</v>
      </c>
      <c r="S161">
        <f t="shared" si="9"/>
        <v>-0.25435329828790432</v>
      </c>
      <c r="T161">
        <f t="shared" si="10"/>
        <v>0.10399668008577614</v>
      </c>
      <c r="U161" s="6">
        <v>0.18</v>
      </c>
      <c r="V161">
        <f t="array" ref="V161">CORREL(IFERROR(VALUE(TRIM(CLEAN($U$2:$U$1001))),0), IFERROR(VALUE(TRIM(CLEAN($P$2:$P$1001))),0))</f>
        <v>0.23135628536430677</v>
      </c>
    </row>
    <row r="162" spans="1:22" x14ac:dyDescent="0.25">
      <c r="A162">
        <v>161</v>
      </c>
      <c r="B162" s="1">
        <v>40550</v>
      </c>
      <c r="C162">
        <v>1</v>
      </c>
      <c r="D162">
        <v>0</v>
      </c>
      <c r="E162">
        <v>1</v>
      </c>
      <c r="F162">
        <v>23</v>
      </c>
      <c r="G162" t="b">
        <v>0</v>
      </c>
      <c r="H162">
        <v>5</v>
      </c>
      <c r="I162">
        <v>2</v>
      </c>
      <c r="J162">
        <v>0.18</v>
      </c>
      <c r="K162">
        <v>0.19700000000000001</v>
      </c>
      <c r="L162">
        <v>0.51</v>
      </c>
      <c r="M162">
        <v>0.16420000000000001</v>
      </c>
      <c r="N162">
        <v>1</v>
      </c>
      <c r="O162">
        <v>14</v>
      </c>
      <c r="P162">
        <v>15</v>
      </c>
      <c r="Q162" t="str">
        <f t="shared" si="11"/>
        <v>Weekend</v>
      </c>
      <c r="R162" t="str">
        <f t="shared" si="8"/>
        <v>Mist/Cloudy</v>
      </c>
      <c r="S162">
        <f t="shared" si="9"/>
        <v>-0.25435329828790432</v>
      </c>
      <c r="T162">
        <f t="shared" si="10"/>
        <v>0.10399668008577614</v>
      </c>
      <c r="U162" s="6">
        <v>0.18</v>
      </c>
      <c r="V162">
        <f t="array" ref="V162">CORREL(IFERROR(VALUE(TRIM(CLEAN($U$2:$U$1001))),0), IFERROR(VALUE(TRIM(CLEAN($P$2:$P$1001))),0))</f>
        <v>0.23135628536430677</v>
      </c>
    </row>
    <row r="163" spans="1:22" x14ac:dyDescent="0.25">
      <c r="A163">
        <v>162</v>
      </c>
      <c r="B163" s="1">
        <v>40551</v>
      </c>
      <c r="C163">
        <v>1</v>
      </c>
      <c r="D163">
        <v>0</v>
      </c>
      <c r="E163">
        <v>1</v>
      </c>
      <c r="F163">
        <v>0</v>
      </c>
      <c r="G163" t="b">
        <v>0</v>
      </c>
      <c r="H163">
        <v>6</v>
      </c>
      <c r="I163">
        <v>2</v>
      </c>
      <c r="J163">
        <v>0.18</v>
      </c>
      <c r="K163">
        <v>0.19700000000000001</v>
      </c>
      <c r="L163">
        <v>0.51</v>
      </c>
      <c r="M163">
        <v>0.16420000000000001</v>
      </c>
      <c r="N163">
        <v>1</v>
      </c>
      <c r="O163">
        <v>24</v>
      </c>
      <c r="P163">
        <v>25</v>
      </c>
      <c r="Q163" t="str">
        <f t="shared" si="11"/>
        <v>Weekend</v>
      </c>
      <c r="R163" t="str">
        <f t="shared" si="8"/>
        <v>Mist/Cloudy</v>
      </c>
      <c r="S163">
        <f t="shared" si="9"/>
        <v>-0.25435329828790432</v>
      </c>
      <c r="T163">
        <f t="shared" si="10"/>
        <v>0.10399668008577614</v>
      </c>
      <c r="U163" s="6">
        <v>0.18</v>
      </c>
      <c r="V163">
        <f t="array" ref="V163">CORREL(IFERROR(VALUE(TRIM(CLEAN($U$2:$U$1001))),0), IFERROR(VALUE(TRIM(CLEAN($P$2:$P$1001))),0))</f>
        <v>0.23135628536430677</v>
      </c>
    </row>
    <row r="164" spans="1:22" x14ac:dyDescent="0.25">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c r="Q164" t="str">
        <f t="shared" si="11"/>
        <v>Weekday</v>
      </c>
      <c r="R164" t="str">
        <f t="shared" si="8"/>
        <v>Mist/Cloudy</v>
      </c>
      <c r="S164">
        <f t="shared" si="9"/>
        <v>-0.25435329828790432</v>
      </c>
      <c r="T164">
        <f t="shared" si="10"/>
        <v>0.10399668008577614</v>
      </c>
      <c r="U164" s="6">
        <v>0.18</v>
      </c>
      <c r="V164">
        <f t="array" ref="V164">CORREL(IFERROR(VALUE(TRIM(CLEAN($U$2:$U$1001))),0), IFERROR(VALUE(TRIM(CLEAN($P$2:$P$1001))),0))</f>
        <v>0.23135628536430677</v>
      </c>
    </row>
    <row r="165" spans="1:22" x14ac:dyDescent="0.25">
      <c r="A165">
        <v>164</v>
      </c>
      <c r="B165" s="1">
        <v>40551</v>
      </c>
      <c r="C165">
        <v>1</v>
      </c>
      <c r="D165">
        <v>0</v>
      </c>
      <c r="E165">
        <v>1</v>
      </c>
      <c r="F165">
        <v>2</v>
      </c>
      <c r="G165" t="b">
        <v>0</v>
      </c>
      <c r="H165">
        <v>6</v>
      </c>
      <c r="I165">
        <v>2</v>
      </c>
      <c r="J165">
        <v>0.18</v>
      </c>
      <c r="K165">
        <v>0.2424</v>
      </c>
      <c r="L165">
        <v>0.55000000000000004</v>
      </c>
      <c r="M165">
        <v>0</v>
      </c>
      <c r="N165">
        <v>3</v>
      </c>
      <c r="O165">
        <v>13</v>
      </c>
      <c r="P165">
        <v>16</v>
      </c>
      <c r="Q165" t="str">
        <f t="shared" si="11"/>
        <v>Weekday</v>
      </c>
      <c r="R165" t="str">
        <f t="shared" si="8"/>
        <v>Mist/Cloudy</v>
      </c>
      <c r="S165">
        <f t="shared" si="9"/>
        <v>-0.25435329828790432</v>
      </c>
      <c r="T165">
        <f t="shared" si="10"/>
        <v>0.10399668008577614</v>
      </c>
      <c r="U165" s="6">
        <v>0.18</v>
      </c>
      <c r="V165">
        <f t="array" ref="V165">CORREL(IFERROR(VALUE(TRIM(CLEAN($U$2:$U$1001))),0), IFERROR(VALUE(TRIM(CLEAN($P$2:$P$1001))),0))</f>
        <v>0.23135628536430677</v>
      </c>
    </row>
    <row r="166" spans="1:22" x14ac:dyDescent="0.25">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c r="Q166" t="str">
        <f t="shared" si="11"/>
        <v>Weekday</v>
      </c>
      <c r="R166" t="str">
        <f t="shared" si="8"/>
        <v>Light Snow/Rain</v>
      </c>
      <c r="S166">
        <f t="shared" si="9"/>
        <v>-0.25435329828790432</v>
      </c>
      <c r="T166">
        <f t="shared" si="10"/>
        <v>0.10399668008577614</v>
      </c>
      <c r="U166" s="6">
        <v>0.18</v>
      </c>
      <c r="V166">
        <f t="array" ref="V166">CORREL(IFERROR(VALUE(TRIM(CLEAN($U$2:$U$1001))),0), IFERROR(VALUE(TRIM(CLEAN($P$2:$P$1001))),0))</f>
        <v>0.23135628536430677</v>
      </c>
    </row>
    <row r="167" spans="1:22" x14ac:dyDescent="0.25">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c r="Q167" t="str">
        <f t="shared" si="11"/>
        <v>Weekday</v>
      </c>
      <c r="R167" t="str">
        <f t="shared" si="8"/>
        <v>Light Snow/Rain</v>
      </c>
      <c r="S167">
        <f t="shared" si="9"/>
        <v>-0.25435329828790432</v>
      </c>
      <c r="T167">
        <f t="shared" si="10"/>
        <v>0.10399668008577614</v>
      </c>
      <c r="U167" s="6">
        <v>0.18</v>
      </c>
      <c r="V167">
        <f t="array" ref="V167">CORREL(IFERROR(VALUE(TRIM(CLEAN($U$2:$U$1001))),0), IFERROR(VALUE(TRIM(CLEAN($P$2:$P$1001))),0))</f>
        <v>0.23135628536430677</v>
      </c>
    </row>
    <row r="168" spans="1:22" x14ac:dyDescent="0.25">
      <c r="A168">
        <v>167</v>
      </c>
      <c r="B168" s="1">
        <v>40551</v>
      </c>
      <c r="C168">
        <v>1</v>
      </c>
      <c r="D168">
        <v>0</v>
      </c>
      <c r="E168">
        <v>1</v>
      </c>
      <c r="F168">
        <v>5</v>
      </c>
      <c r="G168" t="b">
        <v>0</v>
      </c>
      <c r="H168">
        <v>6</v>
      </c>
      <c r="I168">
        <v>2</v>
      </c>
      <c r="J168">
        <v>0.16</v>
      </c>
      <c r="K168">
        <v>0.16669999999999999</v>
      </c>
      <c r="L168">
        <v>0.74</v>
      </c>
      <c r="M168">
        <v>0.16420000000000001</v>
      </c>
      <c r="N168">
        <v>0</v>
      </c>
      <c r="O168">
        <v>5</v>
      </c>
      <c r="P168">
        <v>5</v>
      </c>
      <c r="Q168" t="str">
        <f t="shared" si="11"/>
        <v>Weekday</v>
      </c>
      <c r="R168" t="str">
        <f t="shared" si="8"/>
        <v>Mist/Cloudy</v>
      </c>
      <c r="S168">
        <f t="shared" si="9"/>
        <v>-0.25435329828790432</v>
      </c>
      <c r="T168">
        <f t="shared" si="10"/>
        <v>0.10399668008577614</v>
      </c>
      <c r="U168" s="6">
        <v>0.16</v>
      </c>
      <c r="V168">
        <f t="array" ref="V168">CORREL(IFERROR(VALUE(TRIM(CLEAN($U$2:$U$1001))),0), IFERROR(VALUE(TRIM(CLEAN($P$2:$P$1001))),0))</f>
        <v>0.23135628536430677</v>
      </c>
    </row>
    <row r="169" spans="1:22" x14ac:dyDescent="0.25">
      <c r="A169">
        <v>168</v>
      </c>
      <c r="B169" s="1">
        <v>40551</v>
      </c>
      <c r="C169">
        <v>1</v>
      </c>
      <c r="D169">
        <v>0</v>
      </c>
      <c r="E169">
        <v>1</v>
      </c>
      <c r="F169">
        <v>6</v>
      </c>
      <c r="G169" t="b">
        <v>0</v>
      </c>
      <c r="H169">
        <v>6</v>
      </c>
      <c r="I169">
        <v>2</v>
      </c>
      <c r="J169">
        <v>0.16</v>
      </c>
      <c r="K169">
        <v>0.16669999999999999</v>
      </c>
      <c r="L169">
        <v>0.74</v>
      </c>
      <c r="M169">
        <v>0.16420000000000001</v>
      </c>
      <c r="N169">
        <v>0</v>
      </c>
      <c r="O169">
        <v>2</v>
      </c>
      <c r="P169">
        <v>2</v>
      </c>
      <c r="Q169" t="str">
        <f t="shared" si="11"/>
        <v>Weekend</v>
      </c>
      <c r="R169" t="str">
        <f t="shared" si="8"/>
        <v>Mist/Cloudy</v>
      </c>
      <c r="S169">
        <f t="shared" si="9"/>
        <v>-0.25435329828790432</v>
      </c>
      <c r="T169">
        <f t="shared" si="10"/>
        <v>0.10399668008577614</v>
      </c>
      <c r="U169" s="6">
        <v>0.16</v>
      </c>
      <c r="V169">
        <f t="array" ref="V169">CORREL(IFERROR(VALUE(TRIM(CLEAN($U$2:$U$1001))),0), IFERROR(VALUE(TRIM(CLEAN($P$2:$P$1001))),0))</f>
        <v>0.23135628536430677</v>
      </c>
    </row>
    <row r="170" spans="1:22" x14ac:dyDescent="0.25">
      <c r="A170">
        <v>169</v>
      </c>
      <c r="B170" s="1">
        <v>40551</v>
      </c>
      <c r="C170">
        <v>1</v>
      </c>
      <c r="D170">
        <v>0</v>
      </c>
      <c r="E170">
        <v>1</v>
      </c>
      <c r="F170">
        <v>7</v>
      </c>
      <c r="G170" t="b">
        <v>0</v>
      </c>
      <c r="H170">
        <v>6</v>
      </c>
      <c r="I170">
        <v>2</v>
      </c>
      <c r="J170">
        <v>0.16</v>
      </c>
      <c r="K170">
        <v>0.18179999999999999</v>
      </c>
      <c r="L170">
        <v>0.74</v>
      </c>
      <c r="M170">
        <v>0.1045</v>
      </c>
      <c r="N170">
        <v>1</v>
      </c>
      <c r="O170">
        <v>8</v>
      </c>
      <c r="P170">
        <v>9</v>
      </c>
      <c r="Q170" t="str">
        <f t="shared" si="11"/>
        <v>Weekend</v>
      </c>
      <c r="R170" t="str">
        <f t="shared" si="8"/>
        <v>Mist/Cloudy</v>
      </c>
      <c r="S170">
        <f t="shared" si="9"/>
        <v>-0.25435329828790432</v>
      </c>
      <c r="T170">
        <f t="shared" si="10"/>
        <v>0.10399668008577614</v>
      </c>
      <c r="U170" s="6">
        <v>0.16</v>
      </c>
      <c r="V170">
        <f t="array" ref="V170">CORREL(IFERROR(VALUE(TRIM(CLEAN($U$2:$U$1001))),0), IFERROR(VALUE(TRIM(CLEAN($P$2:$P$1001))),0))</f>
        <v>0.23135628536430677</v>
      </c>
    </row>
    <row r="171" spans="1:22" x14ac:dyDescent="0.25">
      <c r="A171">
        <v>170</v>
      </c>
      <c r="B171" s="1">
        <v>40551</v>
      </c>
      <c r="C171">
        <v>1</v>
      </c>
      <c r="D171">
        <v>0</v>
      </c>
      <c r="E171">
        <v>1</v>
      </c>
      <c r="F171">
        <v>8</v>
      </c>
      <c r="G171" t="b">
        <v>0</v>
      </c>
      <c r="H171">
        <v>6</v>
      </c>
      <c r="I171">
        <v>3</v>
      </c>
      <c r="J171">
        <v>0.16</v>
      </c>
      <c r="K171">
        <v>0.18179999999999999</v>
      </c>
      <c r="L171">
        <v>0.93</v>
      </c>
      <c r="M171">
        <v>0.1045</v>
      </c>
      <c r="N171">
        <v>0</v>
      </c>
      <c r="O171">
        <v>15</v>
      </c>
      <c r="P171">
        <v>15</v>
      </c>
      <c r="Q171" t="str">
        <f t="shared" si="11"/>
        <v>Weekday</v>
      </c>
      <c r="R171" t="str">
        <f t="shared" si="8"/>
        <v>Light Snow/Rain</v>
      </c>
      <c r="S171">
        <f t="shared" si="9"/>
        <v>-0.25435329828790432</v>
      </c>
      <c r="T171">
        <f t="shared" si="10"/>
        <v>0.10399668008577614</v>
      </c>
      <c r="U171" s="6">
        <v>0.16</v>
      </c>
      <c r="V171">
        <f t="array" ref="V171">CORREL(IFERROR(VALUE(TRIM(CLEAN($U$2:$U$1001))),0), IFERROR(VALUE(TRIM(CLEAN($P$2:$P$1001))),0))</f>
        <v>0.23135628536430677</v>
      </c>
    </row>
    <row r="172" spans="1:22" x14ac:dyDescent="0.25">
      <c r="A172">
        <v>171</v>
      </c>
      <c r="B172" s="1">
        <v>40551</v>
      </c>
      <c r="C172">
        <v>1</v>
      </c>
      <c r="D172">
        <v>0</v>
      </c>
      <c r="E172">
        <v>1</v>
      </c>
      <c r="F172">
        <v>9</v>
      </c>
      <c r="G172" t="b">
        <v>0</v>
      </c>
      <c r="H172">
        <v>6</v>
      </c>
      <c r="I172">
        <v>3</v>
      </c>
      <c r="J172">
        <v>0.16</v>
      </c>
      <c r="K172">
        <v>0.18179999999999999</v>
      </c>
      <c r="L172">
        <v>0.93</v>
      </c>
      <c r="M172">
        <v>0.1045</v>
      </c>
      <c r="N172">
        <v>0</v>
      </c>
      <c r="O172">
        <v>20</v>
      </c>
      <c r="P172">
        <v>20</v>
      </c>
      <c r="Q172" t="str">
        <f t="shared" si="11"/>
        <v>Weekday</v>
      </c>
      <c r="R172" t="str">
        <f t="shared" si="8"/>
        <v>Light Snow/Rain</v>
      </c>
      <c r="S172">
        <f t="shared" si="9"/>
        <v>-0.25435329828790432</v>
      </c>
      <c r="T172">
        <f t="shared" si="10"/>
        <v>0.10399668008577614</v>
      </c>
      <c r="U172" s="6">
        <v>0.16</v>
      </c>
      <c r="V172">
        <f t="array" ref="V172">CORREL(IFERROR(VALUE(TRIM(CLEAN($U$2:$U$1001))),0), IFERROR(VALUE(TRIM(CLEAN($P$2:$P$1001))),0))</f>
        <v>0.23135628536430677</v>
      </c>
    </row>
    <row r="173" spans="1:22" x14ac:dyDescent="0.25">
      <c r="A173">
        <v>172</v>
      </c>
      <c r="B173" s="1">
        <v>40551</v>
      </c>
      <c r="C173">
        <v>1</v>
      </c>
      <c r="D173">
        <v>0</v>
      </c>
      <c r="E173">
        <v>1</v>
      </c>
      <c r="F173">
        <v>10</v>
      </c>
      <c r="G173" t="b">
        <v>0</v>
      </c>
      <c r="H173">
        <v>6</v>
      </c>
      <c r="I173">
        <v>2</v>
      </c>
      <c r="J173">
        <v>0.18</v>
      </c>
      <c r="K173">
        <v>0.19700000000000001</v>
      </c>
      <c r="L173">
        <v>0.8</v>
      </c>
      <c r="M173">
        <v>0.16420000000000001</v>
      </c>
      <c r="N173">
        <v>5</v>
      </c>
      <c r="O173">
        <v>56</v>
      </c>
      <c r="P173">
        <v>61</v>
      </c>
      <c r="Q173" t="str">
        <f t="shared" si="11"/>
        <v>Weekday</v>
      </c>
      <c r="R173" t="str">
        <f t="shared" si="8"/>
        <v>Mist/Cloudy</v>
      </c>
      <c r="S173">
        <f t="shared" si="9"/>
        <v>-0.25435329828790432</v>
      </c>
      <c r="T173">
        <f t="shared" si="10"/>
        <v>0.10399668008577614</v>
      </c>
      <c r="U173" s="6">
        <v>0.18</v>
      </c>
      <c r="V173">
        <f t="array" ref="V173">CORREL(IFERROR(VALUE(TRIM(CLEAN($U$2:$U$1001))),0), IFERROR(VALUE(TRIM(CLEAN($P$2:$P$1001))),0))</f>
        <v>0.23135628536430677</v>
      </c>
    </row>
    <row r="174" spans="1:22" x14ac:dyDescent="0.25">
      <c r="A174">
        <v>173</v>
      </c>
      <c r="B174" s="1">
        <v>40551</v>
      </c>
      <c r="C174">
        <v>1</v>
      </c>
      <c r="D174">
        <v>0</v>
      </c>
      <c r="E174">
        <v>1</v>
      </c>
      <c r="F174">
        <v>11</v>
      </c>
      <c r="G174" t="b">
        <v>0</v>
      </c>
      <c r="H174">
        <v>6</v>
      </c>
      <c r="I174">
        <v>2</v>
      </c>
      <c r="J174">
        <v>0.2</v>
      </c>
      <c r="K174">
        <v>0.18179999999999999</v>
      </c>
      <c r="L174">
        <v>0.69</v>
      </c>
      <c r="M174">
        <v>0.3881</v>
      </c>
      <c r="N174">
        <v>2</v>
      </c>
      <c r="O174">
        <v>60</v>
      </c>
      <c r="P174">
        <v>62</v>
      </c>
      <c r="Q174" t="str">
        <f t="shared" si="11"/>
        <v>Weekday</v>
      </c>
      <c r="R174" t="str">
        <f t="shared" si="8"/>
        <v>Mist/Cloudy</v>
      </c>
      <c r="S174">
        <f t="shared" si="9"/>
        <v>-0.25435329828790432</v>
      </c>
      <c r="T174">
        <f t="shared" si="10"/>
        <v>0.10399668008577614</v>
      </c>
      <c r="U174" s="6">
        <v>0.2</v>
      </c>
      <c r="V174">
        <f t="array" ref="V174">CORREL(IFERROR(VALUE(TRIM(CLEAN($U$2:$U$1001))),0), IFERROR(VALUE(TRIM(CLEAN($P$2:$P$1001))),0))</f>
        <v>0.23135628536430677</v>
      </c>
    </row>
    <row r="175" spans="1:22" x14ac:dyDescent="0.25">
      <c r="A175">
        <v>174</v>
      </c>
      <c r="B175" s="1">
        <v>40551</v>
      </c>
      <c r="C175">
        <v>1</v>
      </c>
      <c r="D175">
        <v>0</v>
      </c>
      <c r="E175">
        <v>1</v>
      </c>
      <c r="F175">
        <v>12</v>
      </c>
      <c r="G175" t="b">
        <v>0</v>
      </c>
      <c r="H175">
        <v>6</v>
      </c>
      <c r="I175">
        <v>2</v>
      </c>
      <c r="J175">
        <v>0.2</v>
      </c>
      <c r="K175">
        <v>0.18179999999999999</v>
      </c>
      <c r="L175">
        <v>0.59</v>
      </c>
      <c r="M175">
        <v>0.35820000000000002</v>
      </c>
      <c r="N175">
        <v>8</v>
      </c>
      <c r="O175">
        <v>90</v>
      </c>
      <c r="P175">
        <v>98</v>
      </c>
      <c r="Q175" t="str">
        <f t="shared" si="11"/>
        <v>Weekday</v>
      </c>
      <c r="R175" t="str">
        <f t="shared" si="8"/>
        <v>Mist/Cloudy</v>
      </c>
      <c r="S175">
        <f t="shared" si="9"/>
        <v>-0.25435329828790432</v>
      </c>
      <c r="T175">
        <f t="shared" si="10"/>
        <v>0.10399668008577614</v>
      </c>
      <c r="U175" s="6">
        <v>0.2</v>
      </c>
      <c r="V175">
        <f t="array" ref="V175">CORREL(IFERROR(VALUE(TRIM(CLEAN($U$2:$U$1001))),0), IFERROR(VALUE(TRIM(CLEAN($P$2:$P$1001))),0))</f>
        <v>0.23135628536430677</v>
      </c>
    </row>
    <row r="176" spans="1:22" x14ac:dyDescent="0.25">
      <c r="A176">
        <v>175</v>
      </c>
      <c r="B176" s="1">
        <v>40551</v>
      </c>
      <c r="C176">
        <v>1</v>
      </c>
      <c r="D176">
        <v>0</v>
      </c>
      <c r="E176">
        <v>1</v>
      </c>
      <c r="F176">
        <v>13</v>
      </c>
      <c r="G176" t="b">
        <v>0</v>
      </c>
      <c r="H176">
        <v>6</v>
      </c>
      <c r="I176">
        <v>1</v>
      </c>
      <c r="J176">
        <v>0.2</v>
      </c>
      <c r="K176">
        <v>0.18179999999999999</v>
      </c>
      <c r="L176">
        <v>0.44</v>
      </c>
      <c r="M176">
        <v>0.32840000000000003</v>
      </c>
      <c r="N176">
        <v>7</v>
      </c>
      <c r="O176">
        <v>95</v>
      </c>
      <c r="P176">
        <v>102</v>
      </c>
      <c r="Q176" t="str">
        <f t="shared" si="11"/>
        <v>Weekend</v>
      </c>
      <c r="R176" t="str">
        <f t="shared" si="8"/>
        <v>Clear</v>
      </c>
      <c r="S176">
        <f t="shared" si="9"/>
        <v>-0.25435329828790432</v>
      </c>
      <c r="T176">
        <f t="shared" si="10"/>
        <v>0.10399668008577614</v>
      </c>
      <c r="U176" s="6">
        <v>0.2</v>
      </c>
      <c r="V176">
        <f t="array" ref="V176">CORREL(IFERROR(VALUE(TRIM(CLEAN($U$2:$U$1001))),0), IFERROR(VALUE(TRIM(CLEAN($P$2:$P$1001))),0))</f>
        <v>0.23135628536430677</v>
      </c>
    </row>
    <row r="177" spans="1:22" x14ac:dyDescent="0.25">
      <c r="A177">
        <v>176</v>
      </c>
      <c r="B177" s="1">
        <v>40551</v>
      </c>
      <c r="C177">
        <v>1</v>
      </c>
      <c r="D177">
        <v>0</v>
      </c>
      <c r="E177">
        <v>1</v>
      </c>
      <c r="F177">
        <v>14</v>
      </c>
      <c r="G177" t="b">
        <v>0</v>
      </c>
      <c r="H177">
        <v>6</v>
      </c>
      <c r="I177">
        <v>1</v>
      </c>
      <c r="J177">
        <v>0.2</v>
      </c>
      <c r="K177">
        <v>0.16669999999999999</v>
      </c>
      <c r="L177">
        <v>0.32</v>
      </c>
      <c r="M177">
        <v>0.49249999999999999</v>
      </c>
      <c r="N177">
        <v>12</v>
      </c>
      <c r="O177">
        <v>83</v>
      </c>
      <c r="P177">
        <v>95</v>
      </c>
      <c r="Q177" t="str">
        <f t="shared" si="11"/>
        <v>Weekend</v>
      </c>
      <c r="R177" t="str">
        <f t="shared" si="8"/>
        <v>Clear</v>
      </c>
      <c r="S177">
        <f t="shared" si="9"/>
        <v>-0.25435329828790432</v>
      </c>
      <c r="T177">
        <f t="shared" si="10"/>
        <v>0.10399668008577614</v>
      </c>
      <c r="U177" s="6">
        <v>0.2</v>
      </c>
      <c r="V177">
        <f t="array" ref="V177">CORREL(IFERROR(VALUE(TRIM(CLEAN($U$2:$U$1001))),0), IFERROR(VALUE(TRIM(CLEAN($P$2:$P$1001))),0))</f>
        <v>0.23135628536430677</v>
      </c>
    </row>
    <row r="178" spans="1:22" x14ac:dyDescent="0.25">
      <c r="A178">
        <v>177</v>
      </c>
      <c r="B178" s="1">
        <v>40551</v>
      </c>
      <c r="C178">
        <v>1</v>
      </c>
      <c r="D178">
        <v>0</v>
      </c>
      <c r="E178">
        <v>1</v>
      </c>
      <c r="F178">
        <v>15</v>
      </c>
      <c r="G178" t="b">
        <v>0</v>
      </c>
      <c r="H178">
        <v>6</v>
      </c>
      <c r="I178">
        <v>1</v>
      </c>
      <c r="J178">
        <v>0.2</v>
      </c>
      <c r="K178">
        <v>0.16669999999999999</v>
      </c>
      <c r="L178">
        <v>0.32</v>
      </c>
      <c r="M178">
        <v>0.44779999999999998</v>
      </c>
      <c r="N178">
        <v>5</v>
      </c>
      <c r="O178">
        <v>69</v>
      </c>
      <c r="P178">
        <v>74</v>
      </c>
      <c r="Q178" t="str">
        <f t="shared" si="11"/>
        <v>Weekday</v>
      </c>
      <c r="R178" t="str">
        <f t="shared" si="8"/>
        <v>Clear</v>
      </c>
      <c r="S178">
        <f t="shared" si="9"/>
        <v>-0.25435329828790432</v>
      </c>
      <c r="T178">
        <f t="shared" si="10"/>
        <v>0.10399668008577614</v>
      </c>
      <c r="U178" s="6">
        <v>0.2</v>
      </c>
      <c r="V178">
        <f t="array" ref="V178">CORREL(IFERROR(VALUE(TRIM(CLEAN($U$2:$U$1001))),0), IFERROR(VALUE(TRIM(CLEAN($P$2:$P$1001))),0))</f>
        <v>0.23135628536430677</v>
      </c>
    </row>
    <row r="179" spans="1:22" x14ac:dyDescent="0.25">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c r="Q179" t="str">
        <f t="shared" si="11"/>
        <v>Weekday</v>
      </c>
      <c r="R179" t="str">
        <f t="shared" si="8"/>
        <v>Clear</v>
      </c>
      <c r="S179">
        <f t="shared" si="9"/>
        <v>-0.25435329828790432</v>
      </c>
      <c r="T179">
        <f t="shared" si="10"/>
        <v>0.10399668008577614</v>
      </c>
      <c r="U179" s="6">
        <v>0.18</v>
      </c>
      <c r="V179">
        <f t="array" ref="V179">CORREL(IFERROR(VALUE(TRIM(CLEAN($U$2:$U$1001))),0), IFERROR(VALUE(TRIM(CLEAN($P$2:$P$1001))),0))</f>
        <v>0.23135628536430677</v>
      </c>
    </row>
    <row r="180" spans="1:22" x14ac:dyDescent="0.25">
      <c r="A180">
        <v>179</v>
      </c>
      <c r="B180" s="1">
        <v>40551</v>
      </c>
      <c r="C180">
        <v>1</v>
      </c>
      <c r="D180">
        <v>0</v>
      </c>
      <c r="E180">
        <v>1</v>
      </c>
      <c r="F180">
        <v>17</v>
      </c>
      <c r="G180" t="b">
        <v>0</v>
      </c>
      <c r="H180">
        <v>6</v>
      </c>
      <c r="I180">
        <v>1</v>
      </c>
      <c r="J180">
        <v>0.16</v>
      </c>
      <c r="K180">
        <v>0.1212</v>
      </c>
      <c r="L180">
        <v>0.37</v>
      </c>
      <c r="M180">
        <v>0.55220000000000002</v>
      </c>
      <c r="N180">
        <v>5</v>
      </c>
      <c r="O180">
        <v>64</v>
      </c>
      <c r="P180">
        <v>69</v>
      </c>
      <c r="Q180" t="str">
        <f t="shared" si="11"/>
        <v>Weekday</v>
      </c>
      <c r="R180" t="str">
        <f t="shared" si="8"/>
        <v>Clear</v>
      </c>
      <c r="S180">
        <f t="shared" si="9"/>
        <v>-0.25435329828790432</v>
      </c>
      <c r="T180">
        <f t="shared" si="10"/>
        <v>0.10399668008577614</v>
      </c>
      <c r="U180" s="6">
        <v>0.16</v>
      </c>
      <c r="V180">
        <f t="array" ref="V180">CORREL(IFERROR(VALUE(TRIM(CLEAN($U$2:$U$1001))),0), IFERROR(VALUE(TRIM(CLEAN($P$2:$P$1001))),0))</f>
        <v>0.23135628536430677</v>
      </c>
    </row>
    <row r="181" spans="1:22" x14ac:dyDescent="0.25">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c r="Q181" t="str">
        <f t="shared" si="11"/>
        <v>Weekday</v>
      </c>
      <c r="R181" t="str">
        <f t="shared" si="8"/>
        <v>Clear</v>
      </c>
      <c r="S181">
        <f t="shared" si="9"/>
        <v>-0.25435329828790432</v>
      </c>
      <c r="T181">
        <f t="shared" si="10"/>
        <v>0.10399668008577614</v>
      </c>
      <c r="U181" s="6">
        <v>0.14000000000000001</v>
      </c>
      <c r="V181">
        <f t="array" ref="V181">CORREL(IFERROR(VALUE(TRIM(CLEAN($U$2:$U$1001))),0), IFERROR(VALUE(TRIM(CLEAN($P$2:$P$1001))),0))</f>
        <v>0.23135628536430677</v>
      </c>
    </row>
    <row r="182" spans="1:22" x14ac:dyDescent="0.25">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c r="Q182" t="str">
        <f t="shared" si="11"/>
        <v>Weekday</v>
      </c>
      <c r="R182" t="str">
        <f t="shared" si="8"/>
        <v>Clear</v>
      </c>
      <c r="S182">
        <f t="shared" si="9"/>
        <v>-0.25435329828790432</v>
      </c>
      <c r="T182">
        <f t="shared" si="10"/>
        <v>0.10399668008577614</v>
      </c>
      <c r="U182" s="6">
        <v>0.14000000000000001</v>
      </c>
      <c r="V182">
        <f t="array" ref="V182">CORREL(IFERROR(VALUE(TRIM(CLEAN($U$2:$U$1001))),0), IFERROR(VALUE(TRIM(CLEAN($P$2:$P$1001))),0))</f>
        <v>0.23135628536430677</v>
      </c>
    </row>
    <row r="183" spans="1:22" x14ac:dyDescent="0.25">
      <c r="A183">
        <v>182</v>
      </c>
      <c r="B183" s="1">
        <v>40551</v>
      </c>
      <c r="C183">
        <v>1</v>
      </c>
      <c r="D183">
        <v>0</v>
      </c>
      <c r="E183">
        <v>1</v>
      </c>
      <c r="F183">
        <v>20</v>
      </c>
      <c r="G183" t="b">
        <v>0</v>
      </c>
      <c r="H183">
        <v>6</v>
      </c>
      <c r="I183">
        <v>1</v>
      </c>
      <c r="J183">
        <v>0.12</v>
      </c>
      <c r="K183">
        <v>0.1212</v>
      </c>
      <c r="L183">
        <v>0.36</v>
      </c>
      <c r="M183">
        <v>0.25369999999999998</v>
      </c>
      <c r="N183">
        <v>0</v>
      </c>
      <c r="O183">
        <v>28</v>
      </c>
      <c r="P183">
        <v>28</v>
      </c>
      <c r="Q183" t="str">
        <f t="shared" si="11"/>
        <v>Weekend</v>
      </c>
      <c r="R183" t="str">
        <f t="shared" si="8"/>
        <v>Clear</v>
      </c>
      <c r="S183">
        <f t="shared" si="9"/>
        <v>-0.25435329828790432</v>
      </c>
      <c r="T183">
        <f t="shared" si="10"/>
        <v>0.10399668008577614</v>
      </c>
      <c r="U183" s="6">
        <v>0.12</v>
      </c>
      <c r="V183">
        <f t="array" ref="V183">CORREL(IFERROR(VALUE(TRIM(CLEAN($U$2:$U$1001))),0), IFERROR(VALUE(TRIM(CLEAN($P$2:$P$1001))),0))</f>
        <v>0.23135628536430677</v>
      </c>
    </row>
    <row r="184" spans="1:22" x14ac:dyDescent="0.25">
      <c r="A184">
        <v>183</v>
      </c>
      <c r="B184" s="1">
        <v>40551</v>
      </c>
      <c r="C184">
        <v>1</v>
      </c>
      <c r="D184">
        <v>0</v>
      </c>
      <c r="E184">
        <v>1</v>
      </c>
      <c r="F184">
        <v>21</v>
      </c>
      <c r="G184" t="b">
        <v>0</v>
      </c>
      <c r="H184">
        <v>6</v>
      </c>
      <c r="I184">
        <v>1</v>
      </c>
      <c r="J184">
        <v>0.12</v>
      </c>
      <c r="K184">
        <v>0.1061</v>
      </c>
      <c r="L184">
        <v>0.39</v>
      </c>
      <c r="M184">
        <v>0.35820000000000002</v>
      </c>
      <c r="N184">
        <v>2</v>
      </c>
      <c r="O184">
        <v>35</v>
      </c>
      <c r="P184">
        <v>37</v>
      </c>
      <c r="Q184" t="str">
        <f t="shared" si="11"/>
        <v>Weekend</v>
      </c>
      <c r="R184" t="str">
        <f t="shared" si="8"/>
        <v>Clear</v>
      </c>
      <c r="S184">
        <f t="shared" si="9"/>
        <v>-0.25435329828790432</v>
      </c>
      <c r="T184">
        <f t="shared" si="10"/>
        <v>0.10399668008577614</v>
      </c>
      <c r="U184" s="6">
        <v>0.12</v>
      </c>
      <c r="V184">
        <f t="array" ref="V184">CORREL(IFERROR(VALUE(TRIM(CLEAN($U$2:$U$1001))),0), IFERROR(VALUE(TRIM(CLEAN($P$2:$P$1001))),0))</f>
        <v>0.23135628536430677</v>
      </c>
    </row>
    <row r="185" spans="1:22" x14ac:dyDescent="0.25">
      <c r="A185">
        <v>184</v>
      </c>
      <c r="B185" s="1">
        <v>40551</v>
      </c>
      <c r="C185">
        <v>1</v>
      </c>
      <c r="D185">
        <v>0</v>
      </c>
      <c r="E185">
        <v>1</v>
      </c>
      <c r="F185">
        <v>22</v>
      </c>
      <c r="G185" t="b">
        <v>0</v>
      </c>
      <c r="H185">
        <v>6</v>
      </c>
      <c r="I185">
        <v>1</v>
      </c>
      <c r="J185">
        <v>0.12</v>
      </c>
      <c r="K185">
        <v>0.1061</v>
      </c>
      <c r="L185">
        <v>0.36</v>
      </c>
      <c r="M185">
        <v>0.3881</v>
      </c>
      <c r="N185">
        <v>1</v>
      </c>
      <c r="O185">
        <v>33</v>
      </c>
      <c r="P185">
        <v>34</v>
      </c>
      <c r="Q185" t="str">
        <f t="shared" si="11"/>
        <v>Weekday</v>
      </c>
      <c r="R185" t="str">
        <f t="shared" si="8"/>
        <v>Clear</v>
      </c>
      <c r="S185">
        <f t="shared" si="9"/>
        <v>-0.25435329828790432</v>
      </c>
      <c r="T185">
        <f t="shared" si="10"/>
        <v>0.10399668008577614</v>
      </c>
      <c r="U185" s="6">
        <v>0.12</v>
      </c>
      <c r="V185">
        <f t="array" ref="V185">CORREL(IFERROR(VALUE(TRIM(CLEAN($U$2:$U$1001))),0), IFERROR(VALUE(TRIM(CLEAN($P$2:$P$1001))),0))</f>
        <v>0.23135628536430677</v>
      </c>
    </row>
    <row r="186" spans="1:22" x14ac:dyDescent="0.25">
      <c r="A186">
        <v>185</v>
      </c>
      <c r="B186" s="1">
        <v>40551</v>
      </c>
      <c r="C186">
        <v>1</v>
      </c>
      <c r="D186">
        <v>0</v>
      </c>
      <c r="E186">
        <v>1</v>
      </c>
      <c r="F186">
        <v>23</v>
      </c>
      <c r="G186" t="b">
        <v>0</v>
      </c>
      <c r="H186">
        <v>6</v>
      </c>
      <c r="I186">
        <v>1</v>
      </c>
      <c r="J186">
        <v>0.1</v>
      </c>
      <c r="K186">
        <v>6.0600000000000001E-2</v>
      </c>
      <c r="L186">
        <v>0.39</v>
      </c>
      <c r="M186">
        <v>0.44779999999999998</v>
      </c>
      <c r="N186">
        <v>0</v>
      </c>
      <c r="O186">
        <v>22</v>
      </c>
      <c r="P186">
        <v>22</v>
      </c>
      <c r="Q186" t="str">
        <f t="shared" si="11"/>
        <v>Weekday</v>
      </c>
      <c r="R186" t="str">
        <f t="shared" si="8"/>
        <v>Clear</v>
      </c>
      <c r="S186">
        <f t="shared" si="9"/>
        <v>-0.25435329828790432</v>
      </c>
      <c r="T186">
        <f t="shared" si="10"/>
        <v>0.10399668008577614</v>
      </c>
      <c r="U186" s="6">
        <v>0.1</v>
      </c>
      <c r="V186">
        <f t="array" ref="V186">CORREL(IFERROR(VALUE(TRIM(CLEAN($U$2:$U$1001))),0), IFERROR(VALUE(TRIM(CLEAN($P$2:$P$1001))),0))</f>
        <v>0.23135628536430677</v>
      </c>
    </row>
    <row r="187" spans="1:22" x14ac:dyDescent="0.25">
      <c r="A187">
        <v>186</v>
      </c>
      <c r="B187" s="1">
        <v>40552</v>
      </c>
      <c r="C187">
        <v>1</v>
      </c>
      <c r="D187">
        <v>0</v>
      </c>
      <c r="E187">
        <v>1</v>
      </c>
      <c r="F187">
        <v>0</v>
      </c>
      <c r="G187" t="b">
        <v>0</v>
      </c>
      <c r="H187">
        <v>0</v>
      </c>
      <c r="I187">
        <v>1</v>
      </c>
      <c r="J187">
        <v>0.1</v>
      </c>
      <c r="K187">
        <v>7.5800000000000006E-2</v>
      </c>
      <c r="L187">
        <v>0.42</v>
      </c>
      <c r="M187">
        <v>0.3881</v>
      </c>
      <c r="N187">
        <v>1</v>
      </c>
      <c r="O187">
        <v>24</v>
      </c>
      <c r="P187">
        <v>25</v>
      </c>
      <c r="Q187" t="str">
        <f t="shared" si="11"/>
        <v>Weekday</v>
      </c>
      <c r="R187" t="str">
        <f t="shared" si="8"/>
        <v>Clear</v>
      </c>
      <c r="S187">
        <f t="shared" si="9"/>
        <v>-0.25435329828790432</v>
      </c>
      <c r="T187">
        <f t="shared" si="10"/>
        <v>0.10399668008577614</v>
      </c>
      <c r="U187" s="6">
        <v>0.1</v>
      </c>
      <c r="V187">
        <f t="array" ref="V187">CORREL(IFERROR(VALUE(TRIM(CLEAN($U$2:$U$1001))),0), IFERROR(VALUE(TRIM(CLEAN($P$2:$P$1001))),0))</f>
        <v>0.23135628536430677</v>
      </c>
    </row>
    <row r="188" spans="1:22" x14ac:dyDescent="0.25">
      <c r="A188">
        <v>187</v>
      </c>
      <c r="B188" s="1">
        <v>40552</v>
      </c>
      <c r="C188">
        <v>1</v>
      </c>
      <c r="D188">
        <v>0</v>
      </c>
      <c r="E188">
        <v>1</v>
      </c>
      <c r="F188">
        <v>1</v>
      </c>
      <c r="G188" t="b">
        <v>0</v>
      </c>
      <c r="H188">
        <v>0</v>
      </c>
      <c r="I188">
        <v>1</v>
      </c>
      <c r="J188">
        <v>0.1</v>
      </c>
      <c r="K188">
        <v>6.0600000000000001E-2</v>
      </c>
      <c r="L188">
        <v>0.42</v>
      </c>
      <c r="M188">
        <v>0.4627</v>
      </c>
      <c r="N188">
        <v>0</v>
      </c>
      <c r="O188">
        <v>12</v>
      </c>
      <c r="P188">
        <v>12</v>
      </c>
      <c r="Q188" t="str">
        <f t="shared" si="11"/>
        <v>Weekday</v>
      </c>
      <c r="R188" t="str">
        <f t="shared" si="8"/>
        <v>Clear</v>
      </c>
      <c r="S188">
        <f t="shared" si="9"/>
        <v>-0.25435329828790432</v>
      </c>
      <c r="T188">
        <f t="shared" si="10"/>
        <v>0.10399668008577614</v>
      </c>
      <c r="U188" s="6">
        <v>0.1</v>
      </c>
      <c r="V188">
        <f t="array" ref="V188">CORREL(IFERROR(VALUE(TRIM(CLEAN($U$2:$U$1001))),0), IFERROR(VALUE(TRIM(CLEAN($P$2:$P$1001))),0))</f>
        <v>0.23135628536430677</v>
      </c>
    </row>
    <row r="189" spans="1:22" x14ac:dyDescent="0.25">
      <c r="A189">
        <v>188</v>
      </c>
      <c r="B189" s="1">
        <v>40552</v>
      </c>
      <c r="C189">
        <v>1</v>
      </c>
      <c r="D189">
        <v>0</v>
      </c>
      <c r="E189">
        <v>1</v>
      </c>
      <c r="F189">
        <v>2</v>
      </c>
      <c r="G189" t="b">
        <v>0</v>
      </c>
      <c r="H189">
        <v>0</v>
      </c>
      <c r="I189">
        <v>1</v>
      </c>
      <c r="J189">
        <v>0.1</v>
      </c>
      <c r="K189">
        <v>6.0600000000000001E-2</v>
      </c>
      <c r="L189">
        <v>0.46</v>
      </c>
      <c r="M189">
        <v>0.4627</v>
      </c>
      <c r="N189">
        <v>0</v>
      </c>
      <c r="O189">
        <v>11</v>
      </c>
      <c r="P189">
        <v>11</v>
      </c>
      <c r="Q189" t="str">
        <f t="shared" si="11"/>
        <v>Weekday</v>
      </c>
      <c r="R189" t="str">
        <f t="shared" si="8"/>
        <v>Clear</v>
      </c>
      <c r="S189">
        <f t="shared" si="9"/>
        <v>-0.25435329828790432</v>
      </c>
      <c r="T189">
        <f t="shared" si="10"/>
        <v>0.10399668008577614</v>
      </c>
      <c r="U189" s="6">
        <v>0.1</v>
      </c>
      <c r="V189">
        <f t="array" ref="V189">CORREL(IFERROR(VALUE(TRIM(CLEAN($U$2:$U$1001))),0), IFERROR(VALUE(TRIM(CLEAN($P$2:$P$1001))),0))</f>
        <v>0.23135628536430677</v>
      </c>
    </row>
    <row r="190" spans="1:22" x14ac:dyDescent="0.25">
      <c r="A190">
        <v>189</v>
      </c>
      <c r="B190" s="1">
        <v>40552</v>
      </c>
      <c r="C190">
        <v>1</v>
      </c>
      <c r="D190">
        <v>0</v>
      </c>
      <c r="E190">
        <v>1</v>
      </c>
      <c r="F190">
        <v>3</v>
      </c>
      <c r="G190" t="b">
        <v>0</v>
      </c>
      <c r="H190">
        <v>0</v>
      </c>
      <c r="I190">
        <v>1</v>
      </c>
      <c r="J190">
        <v>0.1</v>
      </c>
      <c r="K190">
        <v>7.5800000000000006E-2</v>
      </c>
      <c r="L190">
        <v>0.46</v>
      </c>
      <c r="M190">
        <v>0.41789999999999999</v>
      </c>
      <c r="N190">
        <v>0</v>
      </c>
      <c r="O190">
        <v>4</v>
      </c>
      <c r="P190">
        <v>4</v>
      </c>
      <c r="Q190" t="str">
        <f t="shared" si="11"/>
        <v>Weekend</v>
      </c>
      <c r="R190" t="str">
        <f t="shared" si="8"/>
        <v>Clear</v>
      </c>
      <c r="S190">
        <f t="shared" si="9"/>
        <v>-0.25435329828790432</v>
      </c>
      <c r="T190">
        <f t="shared" si="10"/>
        <v>0.10399668008577614</v>
      </c>
      <c r="U190" s="6">
        <v>0.1</v>
      </c>
      <c r="V190">
        <f t="array" ref="V190">CORREL(IFERROR(VALUE(TRIM(CLEAN($U$2:$U$1001))),0), IFERROR(VALUE(TRIM(CLEAN($P$2:$P$1001))),0))</f>
        <v>0.23135628536430677</v>
      </c>
    </row>
    <row r="191" spans="1:22" x14ac:dyDescent="0.25">
      <c r="A191">
        <v>190</v>
      </c>
      <c r="B191" s="1">
        <v>40552</v>
      </c>
      <c r="C191">
        <v>1</v>
      </c>
      <c r="D191">
        <v>0</v>
      </c>
      <c r="E191">
        <v>1</v>
      </c>
      <c r="F191">
        <v>4</v>
      </c>
      <c r="G191" t="b">
        <v>0</v>
      </c>
      <c r="H191">
        <v>0</v>
      </c>
      <c r="I191">
        <v>1</v>
      </c>
      <c r="J191">
        <v>0.08</v>
      </c>
      <c r="K191">
        <v>9.0899999999999995E-2</v>
      </c>
      <c r="L191">
        <v>0.53</v>
      </c>
      <c r="M191">
        <v>0.19400000000000001</v>
      </c>
      <c r="N191">
        <v>0</v>
      </c>
      <c r="O191">
        <v>1</v>
      </c>
      <c r="P191">
        <v>1</v>
      </c>
      <c r="Q191" t="str">
        <f t="shared" si="11"/>
        <v>Weekend</v>
      </c>
      <c r="R191" t="str">
        <f t="shared" si="8"/>
        <v>Clear</v>
      </c>
      <c r="S191">
        <f t="shared" si="9"/>
        <v>-0.25435329828790432</v>
      </c>
      <c r="T191">
        <f t="shared" si="10"/>
        <v>0.10399668008577614</v>
      </c>
      <c r="U191" s="6">
        <v>0.08</v>
      </c>
      <c r="V191">
        <f t="array" ref="V191">CORREL(IFERROR(VALUE(TRIM(CLEAN($U$2:$U$1001))),0), IFERROR(VALUE(TRIM(CLEAN($P$2:$P$1001))),0))</f>
        <v>0.23135628536430677</v>
      </c>
    </row>
    <row r="192" spans="1:22" x14ac:dyDescent="0.25">
      <c r="A192">
        <v>191</v>
      </c>
      <c r="B192" s="1">
        <v>40552</v>
      </c>
      <c r="C192">
        <v>1</v>
      </c>
      <c r="D192">
        <v>0</v>
      </c>
      <c r="E192">
        <v>1</v>
      </c>
      <c r="F192">
        <v>5</v>
      </c>
      <c r="G192" t="b">
        <v>0</v>
      </c>
      <c r="H192">
        <v>0</v>
      </c>
      <c r="I192">
        <v>1</v>
      </c>
      <c r="J192">
        <v>0.08</v>
      </c>
      <c r="K192">
        <v>9.0899999999999995E-2</v>
      </c>
      <c r="L192">
        <v>0.53</v>
      </c>
      <c r="M192">
        <v>0.19400000000000001</v>
      </c>
      <c r="N192">
        <v>0</v>
      </c>
      <c r="O192">
        <v>1</v>
      </c>
      <c r="P192">
        <v>1</v>
      </c>
      <c r="Q192" t="str">
        <f t="shared" si="11"/>
        <v>Weekday</v>
      </c>
      <c r="R192" t="str">
        <f t="shared" si="8"/>
        <v>Clear</v>
      </c>
      <c r="S192">
        <f t="shared" si="9"/>
        <v>-0.25435329828790432</v>
      </c>
      <c r="T192">
        <f t="shared" si="10"/>
        <v>0.10399668008577614</v>
      </c>
      <c r="U192" s="6">
        <v>0.08</v>
      </c>
      <c r="V192">
        <f t="array" ref="V192">CORREL(IFERROR(VALUE(TRIM(CLEAN($U$2:$U$1001))),0), IFERROR(VALUE(TRIM(CLEAN($P$2:$P$1001))),0))</f>
        <v>0.23135628536430677</v>
      </c>
    </row>
    <row r="193" spans="1:22" x14ac:dyDescent="0.25">
      <c r="A193">
        <v>192</v>
      </c>
      <c r="B193" s="1">
        <v>40552</v>
      </c>
      <c r="C193">
        <v>1</v>
      </c>
      <c r="D193">
        <v>0</v>
      </c>
      <c r="E193">
        <v>1</v>
      </c>
      <c r="F193">
        <v>6</v>
      </c>
      <c r="G193" t="b">
        <v>0</v>
      </c>
      <c r="H193">
        <v>0</v>
      </c>
      <c r="I193">
        <v>1</v>
      </c>
      <c r="J193">
        <v>0.1</v>
      </c>
      <c r="K193">
        <v>9.0899999999999995E-2</v>
      </c>
      <c r="L193">
        <v>0.49</v>
      </c>
      <c r="M193">
        <v>0.28360000000000002</v>
      </c>
      <c r="N193">
        <v>0</v>
      </c>
      <c r="O193">
        <v>1</v>
      </c>
      <c r="P193">
        <v>1</v>
      </c>
      <c r="Q193" t="str">
        <f t="shared" si="11"/>
        <v>Weekday</v>
      </c>
      <c r="R193" t="str">
        <f t="shared" si="8"/>
        <v>Clear</v>
      </c>
      <c r="S193">
        <f t="shared" si="9"/>
        <v>-0.25435329828790432</v>
      </c>
      <c r="T193">
        <f t="shared" si="10"/>
        <v>0.10399668008577614</v>
      </c>
      <c r="U193" s="6">
        <v>0.1</v>
      </c>
      <c r="V193">
        <f t="array" ref="V193">CORREL(IFERROR(VALUE(TRIM(CLEAN($U$2:$U$1001))),0), IFERROR(VALUE(TRIM(CLEAN($P$2:$P$1001))),0))</f>
        <v>0.23135628536430677</v>
      </c>
    </row>
    <row r="194" spans="1:22" x14ac:dyDescent="0.25">
      <c r="A194">
        <v>193</v>
      </c>
      <c r="B194" s="1">
        <v>40552</v>
      </c>
      <c r="C194">
        <v>1</v>
      </c>
      <c r="D194">
        <v>0</v>
      </c>
      <c r="E194">
        <v>1</v>
      </c>
      <c r="F194">
        <v>7</v>
      </c>
      <c r="G194" t="b">
        <v>0</v>
      </c>
      <c r="H194">
        <v>0</v>
      </c>
      <c r="I194">
        <v>1</v>
      </c>
      <c r="J194">
        <v>0.08</v>
      </c>
      <c r="K194">
        <v>9.0899999999999995E-2</v>
      </c>
      <c r="L194">
        <v>0.53</v>
      </c>
      <c r="M194">
        <v>0.19400000000000001</v>
      </c>
      <c r="N194">
        <v>1</v>
      </c>
      <c r="O194">
        <v>5</v>
      </c>
      <c r="P194">
        <v>6</v>
      </c>
      <c r="Q194" t="str">
        <f t="shared" si="11"/>
        <v>Weekday</v>
      </c>
      <c r="R194" t="str">
        <f t="shared" ref="R194:R257" si="12">IF(I194=1, "Clear", IF(I194=2, "Mist/Cloudy", IF(I194=3, "Light Snow/Rain", "Heavy Rain")))</f>
        <v>Clear</v>
      </c>
      <c r="S194">
        <f t="shared" ref="S194:S257" si="13">CORREL($L$2:$L$1001, $P$2:$P$1001)</f>
        <v>-0.25435329828790432</v>
      </c>
      <c r="T194">
        <f t="shared" ref="T194:T257" si="14">CORREL($M$2:$M$1001, $P$2:$P$1001)</f>
        <v>0.10399668008577614</v>
      </c>
      <c r="U194" s="6">
        <v>0.08</v>
      </c>
      <c r="V194">
        <f t="array" ref="V194">CORREL(IFERROR(VALUE(TRIM(CLEAN($U$2:$U$1001))),0), IFERROR(VALUE(TRIM(CLEAN($P$2:$P$1001))),0))</f>
        <v>0.23135628536430677</v>
      </c>
    </row>
    <row r="195" spans="1:22" x14ac:dyDescent="0.25">
      <c r="A195">
        <v>194</v>
      </c>
      <c r="B195" s="1">
        <v>40552</v>
      </c>
      <c r="C195">
        <v>1</v>
      </c>
      <c r="D195">
        <v>0</v>
      </c>
      <c r="E195">
        <v>1</v>
      </c>
      <c r="F195">
        <v>8</v>
      </c>
      <c r="G195" t="b">
        <v>0</v>
      </c>
      <c r="H195">
        <v>0</v>
      </c>
      <c r="I195">
        <v>1</v>
      </c>
      <c r="J195">
        <v>0.1</v>
      </c>
      <c r="K195">
        <v>9.0899999999999995E-2</v>
      </c>
      <c r="L195">
        <v>0.49</v>
      </c>
      <c r="M195">
        <v>0.28360000000000002</v>
      </c>
      <c r="N195">
        <v>0</v>
      </c>
      <c r="O195">
        <v>10</v>
      </c>
      <c r="P195">
        <v>10</v>
      </c>
      <c r="Q195" t="str">
        <f t="shared" ref="Q195:Q258" si="15">IF(WEEKDAY(A195,2)&gt;5,"Weekend","Weekday")</f>
        <v>Weekday</v>
      </c>
      <c r="R195" t="str">
        <f t="shared" si="12"/>
        <v>Clear</v>
      </c>
      <c r="S195">
        <f t="shared" si="13"/>
        <v>-0.25435329828790432</v>
      </c>
      <c r="T195">
        <f t="shared" si="14"/>
        <v>0.10399668008577614</v>
      </c>
      <c r="U195" s="6">
        <v>0.1</v>
      </c>
      <c r="V195">
        <f t="array" ref="V195">CORREL(IFERROR(VALUE(TRIM(CLEAN($U$2:$U$1001))),0), IFERROR(VALUE(TRIM(CLEAN($P$2:$P$1001))),0))</f>
        <v>0.23135628536430677</v>
      </c>
    </row>
    <row r="196" spans="1:22" x14ac:dyDescent="0.25">
      <c r="A196">
        <v>195</v>
      </c>
      <c r="B196" s="1">
        <v>40552</v>
      </c>
      <c r="C196">
        <v>1</v>
      </c>
      <c r="D196">
        <v>0</v>
      </c>
      <c r="E196">
        <v>1</v>
      </c>
      <c r="F196">
        <v>9</v>
      </c>
      <c r="G196" t="b">
        <v>0</v>
      </c>
      <c r="H196">
        <v>0</v>
      </c>
      <c r="I196">
        <v>1</v>
      </c>
      <c r="J196">
        <v>0.12</v>
      </c>
      <c r="K196">
        <v>7.5800000000000006E-2</v>
      </c>
      <c r="L196">
        <v>0.46</v>
      </c>
      <c r="M196">
        <v>0.52239999999999998</v>
      </c>
      <c r="N196">
        <v>0</v>
      </c>
      <c r="O196">
        <v>19</v>
      </c>
      <c r="P196">
        <v>19</v>
      </c>
      <c r="Q196" t="str">
        <f t="shared" si="15"/>
        <v>Weekday</v>
      </c>
      <c r="R196" t="str">
        <f t="shared" si="12"/>
        <v>Clear</v>
      </c>
      <c r="S196">
        <f t="shared" si="13"/>
        <v>-0.25435329828790432</v>
      </c>
      <c r="T196">
        <f t="shared" si="14"/>
        <v>0.10399668008577614</v>
      </c>
      <c r="U196" s="6">
        <v>0.12</v>
      </c>
      <c r="V196">
        <f t="array" ref="V196">CORREL(IFERROR(VALUE(TRIM(CLEAN($U$2:$U$1001))),0), IFERROR(VALUE(TRIM(CLEAN($P$2:$P$1001))),0))</f>
        <v>0.23135628536430677</v>
      </c>
    </row>
    <row r="197" spans="1:22" x14ac:dyDescent="0.25">
      <c r="A197">
        <v>196</v>
      </c>
      <c r="B197" s="1">
        <v>40552</v>
      </c>
      <c r="C197">
        <v>1</v>
      </c>
      <c r="D197">
        <v>0</v>
      </c>
      <c r="E197">
        <v>1</v>
      </c>
      <c r="F197">
        <v>10</v>
      </c>
      <c r="G197" t="b">
        <v>0</v>
      </c>
      <c r="H197">
        <v>0</v>
      </c>
      <c r="I197">
        <v>1</v>
      </c>
      <c r="J197">
        <v>0.14000000000000001</v>
      </c>
      <c r="K197">
        <v>0.1061</v>
      </c>
      <c r="L197">
        <v>0.43</v>
      </c>
      <c r="M197">
        <v>0.3881</v>
      </c>
      <c r="N197">
        <v>0</v>
      </c>
      <c r="O197">
        <v>49</v>
      </c>
      <c r="P197">
        <v>49</v>
      </c>
      <c r="Q197" t="str">
        <f t="shared" si="15"/>
        <v>Weekend</v>
      </c>
      <c r="R197" t="str">
        <f t="shared" si="12"/>
        <v>Clear</v>
      </c>
      <c r="S197">
        <f t="shared" si="13"/>
        <v>-0.25435329828790432</v>
      </c>
      <c r="T197">
        <f t="shared" si="14"/>
        <v>0.10399668008577614</v>
      </c>
      <c r="U197" s="6">
        <v>0.14000000000000001</v>
      </c>
      <c r="V197">
        <f t="array" ref="V197">CORREL(IFERROR(VALUE(TRIM(CLEAN($U$2:$U$1001))),0), IFERROR(VALUE(TRIM(CLEAN($P$2:$P$1001))),0))</f>
        <v>0.23135628536430677</v>
      </c>
    </row>
    <row r="198" spans="1:22" x14ac:dyDescent="0.25">
      <c r="A198">
        <v>197</v>
      </c>
      <c r="B198" s="1">
        <v>40552</v>
      </c>
      <c r="C198">
        <v>1</v>
      </c>
      <c r="D198">
        <v>0</v>
      </c>
      <c r="E198">
        <v>1</v>
      </c>
      <c r="F198">
        <v>11</v>
      </c>
      <c r="G198" t="b">
        <v>0</v>
      </c>
      <c r="H198">
        <v>0</v>
      </c>
      <c r="I198">
        <v>1</v>
      </c>
      <c r="J198">
        <v>0.16</v>
      </c>
      <c r="K198">
        <v>0.1212</v>
      </c>
      <c r="L198">
        <v>0.4</v>
      </c>
      <c r="M198">
        <v>0.52239999999999998</v>
      </c>
      <c r="N198">
        <v>2</v>
      </c>
      <c r="O198">
        <v>47</v>
      </c>
      <c r="P198">
        <v>49</v>
      </c>
      <c r="Q198" t="str">
        <f t="shared" si="15"/>
        <v>Weekend</v>
      </c>
      <c r="R198" t="str">
        <f t="shared" si="12"/>
        <v>Clear</v>
      </c>
      <c r="S198">
        <f t="shared" si="13"/>
        <v>-0.25435329828790432</v>
      </c>
      <c r="T198">
        <f t="shared" si="14"/>
        <v>0.10399668008577614</v>
      </c>
      <c r="U198" s="6">
        <v>0.16</v>
      </c>
      <c r="V198">
        <f t="array" ref="V198">CORREL(IFERROR(VALUE(TRIM(CLEAN($U$2:$U$1001))),0), IFERROR(VALUE(TRIM(CLEAN($P$2:$P$1001))),0))</f>
        <v>0.23135628536430677</v>
      </c>
    </row>
    <row r="199" spans="1:22" x14ac:dyDescent="0.25">
      <c r="A199">
        <v>198</v>
      </c>
      <c r="B199" s="1">
        <v>40552</v>
      </c>
      <c r="C199">
        <v>1</v>
      </c>
      <c r="D199">
        <v>0</v>
      </c>
      <c r="E199">
        <v>1</v>
      </c>
      <c r="F199">
        <v>12</v>
      </c>
      <c r="G199" t="b">
        <v>0</v>
      </c>
      <c r="H199">
        <v>0</v>
      </c>
      <c r="I199">
        <v>1</v>
      </c>
      <c r="J199">
        <v>0.18</v>
      </c>
      <c r="K199">
        <v>0.13639999999999999</v>
      </c>
      <c r="L199">
        <v>0.37</v>
      </c>
      <c r="M199">
        <v>0.44779999999999998</v>
      </c>
      <c r="N199">
        <v>4</v>
      </c>
      <c r="O199">
        <v>79</v>
      </c>
      <c r="P199">
        <v>83</v>
      </c>
      <c r="Q199" t="str">
        <f t="shared" si="15"/>
        <v>Weekday</v>
      </c>
      <c r="R199" t="str">
        <f t="shared" si="12"/>
        <v>Clear</v>
      </c>
      <c r="S199">
        <f t="shared" si="13"/>
        <v>-0.25435329828790432</v>
      </c>
      <c r="T199">
        <f t="shared" si="14"/>
        <v>0.10399668008577614</v>
      </c>
      <c r="U199" s="6">
        <v>0.18</v>
      </c>
      <c r="V199">
        <f t="array" ref="V199">CORREL(IFERROR(VALUE(TRIM(CLEAN($U$2:$U$1001))),0), IFERROR(VALUE(TRIM(CLEAN($P$2:$P$1001))),0))</f>
        <v>0.23135628536430677</v>
      </c>
    </row>
    <row r="200" spans="1:22" x14ac:dyDescent="0.25">
      <c r="A200">
        <v>199</v>
      </c>
      <c r="B200" s="1">
        <v>40552</v>
      </c>
      <c r="C200">
        <v>1</v>
      </c>
      <c r="D200">
        <v>0</v>
      </c>
      <c r="E200">
        <v>1</v>
      </c>
      <c r="F200">
        <v>13</v>
      </c>
      <c r="G200" t="b">
        <v>0</v>
      </c>
      <c r="H200">
        <v>0</v>
      </c>
      <c r="I200">
        <v>1</v>
      </c>
      <c r="J200">
        <v>0.2</v>
      </c>
      <c r="K200">
        <v>0.16669999999999999</v>
      </c>
      <c r="L200">
        <v>0.34</v>
      </c>
      <c r="M200">
        <v>0.44779999999999998</v>
      </c>
      <c r="N200">
        <v>6</v>
      </c>
      <c r="O200">
        <v>69</v>
      </c>
      <c r="P200">
        <v>75</v>
      </c>
      <c r="Q200" t="str">
        <f t="shared" si="15"/>
        <v>Weekday</v>
      </c>
      <c r="R200" t="str">
        <f t="shared" si="12"/>
        <v>Clear</v>
      </c>
      <c r="S200">
        <f t="shared" si="13"/>
        <v>-0.25435329828790432</v>
      </c>
      <c r="T200">
        <f t="shared" si="14"/>
        <v>0.10399668008577614</v>
      </c>
      <c r="U200" s="6">
        <v>0.2</v>
      </c>
      <c r="V200">
        <f t="array" ref="V200">CORREL(IFERROR(VALUE(TRIM(CLEAN($U$2:$U$1001))),0), IFERROR(VALUE(TRIM(CLEAN($P$2:$P$1001))),0))</f>
        <v>0.23135628536430677</v>
      </c>
    </row>
    <row r="201" spans="1:22" x14ac:dyDescent="0.25">
      <c r="A201">
        <v>200</v>
      </c>
      <c r="B201" s="1">
        <v>40552</v>
      </c>
      <c r="C201">
        <v>1</v>
      </c>
      <c r="D201">
        <v>0</v>
      </c>
      <c r="E201">
        <v>1</v>
      </c>
      <c r="F201">
        <v>14</v>
      </c>
      <c r="G201" t="b">
        <v>0</v>
      </c>
      <c r="H201">
        <v>0</v>
      </c>
      <c r="I201">
        <v>1</v>
      </c>
      <c r="J201">
        <v>0.22</v>
      </c>
      <c r="K201">
        <v>0.18179999999999999</v>
      </c>
      <c r="L201">
        <v>0.32</v>
      </c>
      <c r="M201">
        <v>0.4627</v>
      </c>
      <c r="N201">
        <v>8</v>
      </c>
      <c r="O201">
        <v>64</v>
      </c>
      <c r="P201">
        <v>72</v>
      </c>
      <c r="Q201" t="str">
        <f t="shared" si="15"/>
        <v>Weekday</v>
      </c>
      <c r="R201" t="str">
        <f t="shared" si="12"/>
        <v>Clear</v>
      </c>
      <c r="S201">
        <f t="shared" si="13"/>
        <v>-0.25435329828790432</v>
      </c>
      <c r="T201">
        <f t="shared" si="14"/>
        <v>0.10399668008577614</v>
      </c>
      <c r="U201" s="6">
        <v>0.22</v>
      </c>
      <c r="V201">
        <f t="array" ref="V201">CORREL(IFERROR(VALUE(TRIM(CLEAN($U$2:$U$1001))),0), IFERROR(VALUE(TRIM(CLEAN($P$2:$P$1001))),0))</f>
        <v>0.23135628536430677</v>
      </c>
    </row>
    <row r="202" spans="1:22" x14ac:dyDescent="0.25">
      <c r="A202">
        <v>201</v>
      </c>
      <c r="B202" s="1">
        <v>40552</v>
      </c>
      <c r="C202">
        <v>1</v>
      </c>
      <c r="D202">
        <v>0</v>
      </c>
      <c r="E202">
        <v>1</v>
      </c>
      <c r="F202">
        <v>15</v>
      </c>
      <c r="G202" t="b">
        <v>0</v>
      </c>
      <c r="H202">
        <v>0</v>
      </c>
      <c r="I202">
        <v>1</v>
      </c>
      <c r="J202">
        <v>0.22</v>
      </c>
      <c r="K202">
        <v>0.19700000000000001</v>
      </c>
      <c r="L202">
        <v>0.35</v>
      </c>
      <c r="M202">
        <v>0.35820000000000002</v>
      </c>
      <c r="N202">
        <v>5</v>
      </c>
      <c r="O202">
        <v>77</v>
      </c>
      <c r="P202">
        <v>82</v>
      </c>
      <c r="Q202" t="str">
        <f t="shared" si="15"/>
        <v>Weekday</v>
      </c>
      <c r="R202" t="str">
        <f t="shared" si="12"/>
        <v>Clear</v>
      </c>
      <c r="S202">
        <f t="shared" si="13"/>
        <v>-0.25435329828790432</v>
      </c>
      <c r="T202">
        <f t="shared" si="14"/>
        <v>0.10399668008577614</v>
      </c>
      <c r="U202" s="6">
        <v>0.22</v>
      </c>
      <c r="V202">
        <f t="array" ref="V202">CORREL(IFERROR(VALUE(TRIM(CLEAN($U$2:$U$1001))),0), IFERROR(VALUE(TRIM(CLEAN($P$2:$P$1001))),0))</f>
        <v>0.23135628536430677</v>
      </c>
    </row>
    <row r="203" spans="1:22" x14ac:dyDescent="0.25">
      <c r="A203">
        <v>202</v>
      </c>
      <c r="B203" s="1">
        <v>40552</v>
      </c>
      <c r="C203">
        <v>1</v>
      </c>
      <c r="D203">
        <v>0</v>
      </c>
      <c r="E203">
        <v>1</v>
      </c>
      <c r="F203">
        <v>16</v>
      </c>
      <c r="G203" t="b">
        <v>0</v>
      </c>
      <c r="H203">
        <v>0</v>
      </c>
      <c r="I203">
        <v>1</v>
      </c>
      <c r="J203">
        <v>0.2</v>
      </c>
      <c r="K203">
        <v>0.16669999999999999</v>
      </c>
      <c r="L203">
        <v>0.34</v>
      </c>
      <c r="M203">
        <v>0.44779999999999998</v>
      </c>
      <c r="N203">
        <v>13</v>
      </c>
      <c r="O203">
        <v>79</v>
      </c>
      <c r="P203">
        <v>92</v>
      </c>
      <c r="Q203" t="str">
        <f t="shared" si="15"/>
        <v>Weekday</v>
      </c>
      <c r="R203" t="str">
        <f t="shared" si="12"/>
        <v>Clear</v>
      </c>
      <c r="S203">
        <f t="shared" si="13"/>
        <v>-0.25435329828790432</v>
      </c>
      <c r="T203">
        <f t="shared" si="14"/>
        <v>0.10399668008577614</v>
      </c>
      <c r="U203" s="6">
        <v>0.2</v>
      </c>
      <c r="V203">
        <f t="array" ref="V203">CORREL(IFERROR(VALUE(TRIM(CLEAN($U$2:$U$1001))),0), IFERROR(VALUE(TRIM(CLEAN($P$2:$P$1001))),0))</f>
        <v>0.23135628536430677</v>
      </c>
    </row>
    <row r="204" spans="1:22" x14ac:dyDescent="0.25">
      <c r="A204">
        <v>203</v>
      </c>
      <c r="B204" s="1">
        <v>40552</v>
      </c>
      <c r="C204">
        <v>1</v>
      </c>
      <c r="D204">
        <v>0</v>
      </c>
      <c r="E204">
        <v>1</v>
      </c>
      <c r="F204">
        <v>17</v>
      </c>
      <c r="G204" t="b">
        <v>0</v>
      </c>
      <c r="H204">
        <v>0</v>
      </c>
      <c r="I204">
        <v>1</v>
      </c>
      <c r="J204">
        <v>0.18</v>
      </c>
      <c r="K204">
        <v>0.1515</v>
      </c>
      <c r="L204">
        <v>0.37</v>
      </c>
      <c r="M204">
        <v>0.3881</v>
      </c>
      <c r="N204">
        <v>3</v>
      </c>
      <c r="O204">
        <v>59</v>
      </c>
      <c r="P204">
        <v>62</v>
      </c>
      <c r="Q204" t="str">
        <f t="shared" si="15"/>
        <v>Weekend</v>
      </c>
      <c r="R204" t="str">
        <f t="shared" si="12"/>
        <v>Clear</v>
      </c>
      <c r="S204">
        <f t="shared" si="13"/>
        <v>-0.25435329828790432</v>
      </c>
      <c r="T204">
        <f t="shared" si="14"/>
        <v>0.10399668008577614</v>
      </c>
      <c r="U204" s="6">
        <v>0.18</v>
      </c>
      <c r="V204">
        <f t="array" ref="V204">CORREL(IFERROR(VALUE(TRIM(CLEAN($U$2:$U$1001))),0), IFERROR(VALUE(TRIM(CLEAN($P$2:$P$1001))),0))</f>
        <v>0.23135628536430677</v>
      </c>
    </row>
    <row r="205" spans="1:22" x14ac:dyDescent="0.25">
      <c r="A205">
        <v>204</v>
      </c>
      <c r="B205" s="1">
        <v>40552</v>
      </c>
      <c r="C205">
        <v>1</v>
      </c>
      <c r="D205">
        <v>0</v>
      </c>
      <c r="E205">
        <v>1</v>
      </c>
      <c r="F205">
        <v>18</v>
      </c>
      <c r="G205" t="b">
        <v>0</v>
      </c>
      <c r="H205">
        <v>0</v>
      </c>
      <c r="I205">
        <v>1</v>
      </c>
      <c r="J205">
        <v>0.16</v>
      </c>
      <c r="K205">
        <v>0.13639999999999999</v>
      </c>
      <c r="L205">
        <v>0.4</v>
      </c>
      <c r="M205">
        <v>0.32840000000000003</v>
      </c>
      <c r="N205">
        <v>4</v>
      </c>
      <c r="O205">
        <v>44</v>
      </c>
      <c r="P205">
        <v>48</v>
      </c>
      <c r="Q205" t="str">
        <f t="shared" si="15"/>
        <v>Weekend</v>
      </c>
      <c r="R205" t="str">
        <f t="shared" si="12"/>
        <v>Clear</v>
      </c>
      <c r="S205">
        <f t="shared" si="13"/>
        <v>-0.25435329828790432</v>
      </c>
      <c r="T205">
        <f t="shared" si="14"/>
        <v>0.10399668008577614</v>
      </c>
      <c r="U205" s="6">
        <v>0.16</v>
      </c>
      <c r="V205">
        <f t="array" ref="V205">CORREL(IFERROR(VALUE(TRIM(CLEAN($U$2:$U$1001))),0), IFERROR(VALUE(TRIM(CLEAN($P$2:$P$1001))),0))</f>
        <v>0.23135628536430677</v>
      </c>
    </row>
    <row r="206" spans="1:22" x14ac:dyDescent="0.25">
      <c r="A206">
        <v>205</v>
      </c>
      <c r="B206" s="1">
        <v>40552</v>
      </c>
      <c r="C206">
        <v>1</v>
      </c>
      <c r="D206">
        <v>0</v>
      </c>
      <c r="E206">
        <v>1</v>
      </c>
      <c r="F206">
        <v>19</v>
      </c>
      <c r="G206" t="b">
        <v>0</v>
      </c>
      <c r="H206">
        <v>0</v>
      </c>
      <c r="I206">
        <v>1</v>
      </c>
      <c r="J206">
        <v>0.16</v>
      </c>
      <c r="K206">
        <v>0.13639999999999999</v>
      </c>
      <c r="L206">
        <v>0.43</v>
      </c>
      <c r="M206">
        <v>0.32840000000000003</v>
      </c>
      <c r="N206">
        <v>1</v>
      </c>
      <c r="O206">
        <v>40</v>
      </c>
      <c r="P206">
        <v>41</v>
      </c>
      <c r="Q206" t="str">
        <f t="shared" si="15"/>
        <v>Weekday</v>
      </c>
      <c r="R206" t="str">
        <f t="shared" si="12"/>
        <v>Clear</v>
      </c>
      <c r="S206">
        <f t="shared" si="13"/>
        <v>-0.25435329828790432</v>
      </c>
      <c r="T206">
        <f t="shared" si="14"/>
        <v>0.10399668008577614</v>
      </c>
      <c r="U206" s="6">
        <v>0.16</v>
      </c>
      <c r="V206">
        <f t="array" ref="V206">CORREL(IFERROR(VALUE(TRIM(CLEAN($U$2:$U$1001))),0), IFERROR(VALUE(TRIM(CLEAN($P$2:$P$1001))),0))</f>
        <v>0.23135628536430677</v>
      </c>
    </row>
    <row r="207" spans="1:22" x14ac:dyDescent="0.25">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c r="Q207" t="str">
        <f t="shared" si="15"/>
        <v>Weekday</v>
      </c>
      <c r="R207" t="str">
        <f t="shared" si="12"/>
        <v>Clear</v>
      </c>
      <c r="S207">
        <f t="shared" si="13"/>
        <v>-0.25435329828790432</v>
      </c>
      <c r="T207">
        <f t="shared" si="14"/>
        <v>0.10399668008577614</v>
      </c>
      <c r="U207" s="6">
        <v>0.14000000000000001</v>
      </c>
      <c r="V207">
        <f t="array" ref="V207">CORREL(IFERROR(VALUE(TRIM(CLEAN($U$2:$U$1001))),0), IFERROR(VALUE(TRIM(CLEAN($P$2:$P$1001))),0))</f>
        <v>0.23135628536430677</v>
      </c>
    </row>
    <row r="208" spans="1:22" x14ac:dyDescent="0.25">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c r="Q208" t="str">
        <f t="shared" si="15"/>
        <v>Weekday</v>
      </c>
      <c r="R208" t="str">
        <f t="shared" si="12"/>
        <v>Clear</v>
      </c>
      <c r="S208">
        <f t="shared" si="13"/>
        <v>-0.25435329828790432</v>
      </c>
      <c r="T208">
        <f t="shared" si="14"/>
        <v>0.10399668008577614</v>
      </c>
      <c r="U208" s="6">
        <v>0.14000000000000001</v>
      </c>
      <c r="V208">
        <f t="array" ref="V208">CORREL(IFERROR(VALUE(TRIM(CLEAN($U$2:$U$1001))),0), IFERROR(VALUE(TRIM(CLEAN($P$2:$P$1001))),0))</f>
        <v>0.23135628536430677</v>
      </c>
    </row>
    <row r="209" spans="1:22" x14ac:dyDescent="0.25">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c r="Q209" t="str">
        <f t="shared" si="15"/>
        <v>Weekday</v>
      </c>
      <c r="R209" t="str">
        <f t="shared" si="12"/>
        <v>Clear</v>
      </c>
      <c r="S209">
        <f t="shared" si="13"/>
        <v>-0.25435329828790432</v>
      </c>
      <c r="T209">
        <f t="shared" si="14"/>
        <v>0.10399668008577614</v>
      </c>
      <c r="U209" s="6">
        <v>0.14000000000000001</v>
      </c>
      <c r="V209">
        <f t="array" ref="V209">CORREL(IFERROR(VALUE(TRIM(CLEAN($U$2:$U$1001))),0), IFERROR(VALUE(TRIM(CLEAN($P$2:$P$1001))),0))</f>
        <v>0.23135628536430677</v>
      </c>
    </row>
    <row r="210" spans="1:22" x14ac:dyDescent="0.25">
      <c r="A210">
        <v>209</v>
      </c>
      <c r="B210" s="1">
        <v>40552</v>
      </c>
      <c r="C210">
        <v>1</v>
      </c>
      <c r="D210">
        <v>0</v>
      </c>
      <c r="E210">
        <v>1</v>
      </c>
      <c r="F210">
        <v>23</v>
      </c>
      <c r="G210" t="b">
        <v>0</v>
      </c>
      <c r="H210">
        <v>0</v>
      </c>
      <c r="I210">
        <v>1</v>
      </c>
      <c r="J210">
        <v>0.12</v>
      </c>
      <c r="K210">
        <v>0.13639999999999999</v>
      </c>
      <c r="L210">
        <v>0.5</v>
      </c>
      <c r="M210">
        <v>0.19400000000000001</v>
      </c>
      <c r="N210">
        <v>0</v>
      </c>
      <c r="O210">
        <v>6</v>
      </c>
      <c r="P210">
        <v>6</v>
      </c>
      <c r="Q210" t="str">
        <f t="shared" si="15"/>
        <v>Weekday</v>
      </c>
      <c r="R210" t="str">
        <f t="shared" si="12"/>
        <v>Clear</v>
      </c>
      <c r="S210">
        <f t="shared" si="13"/>
        <v>-0.25435329828790432</v>
      </c>
      <c r="T210">
        <f t="shared" si="14"/>
        <v>0.10399668008577614</v>
      </c>
      <c r="U210" s="6">
        <v>0.12</v>
      </c>
      <c r="V210">
        <f t="array" ref="V210">CORREL(IFERROR(VALUE(TRIM(CLEAN($U$2:$U$1001))),0), IFERROR(VALUE(TRIM(CLEAN($P$2:$P$1001))),0))</f>
        <v>0.23135628536430677</v>
      </c>
    </row>
    <row r="211" spans="1:22" x14ac:dyDescent="0.25">
      <c r="A211">
        <v>210</v>
      </c>
      <c r="B211" s="1">
        <v>40553</v>
      </c>
      <c r="C211">
        <v>1</v>
      </c>
      <c r="D211">
        <v>0</v>
      </c>
      <c r="E211">
        <v>1</v>
      </c>
      <c r="F211">
        <v>0</v>
      </c>
      <c r="G211" t="b">
        <v>0</v>
      </c>
      <c r="H211">
        <v>1</v>
      </c>
      <c r="I211">
        <v>1</v>
      </c>
      <c r="J211">
        <v>0.12</v>
      </c>
      <c r="K211">
        <v>0.1212</v>
      </c>
      <c r="L211">
        <v>0.5</v>
      </c>
      <c r="M211">
        <v>0.28360000000000002</v>
      </c>
      <c r="N211">
        <v>2</v>
      </c>
      <c r="O211">
        <v>3</v>
      </c>
      <c r="P211">
        <v>5</v>
      </c>
      <c r="Q211" t="str">
        <f t="shared" si="15"/>
        <v>Weekend</v>
      </c>
      <c r="R211" t="str">
        <f t="shared" si="12"/>
        <v>Clear</v>
      </c>
      <c r="S211">
        <f t="shared" si="13"/>
        <v>-0.25435329828790432</v>
      </c>
      <c r="T211">
        <f t="shared" si="14"/>
        <v>0.10399668008577614</v>
      </c>
      <c r="U211" s="6">
        <v>0.12</v>
      </c>
      <c r="V211">
        <f t="array" ref="V211">CORREL(IFERROR(VALUE(TRIM(CLEAN($U$2:$U$1001))),0), IFERROR(VALUE(TRIM(CLEAN($P$2:$P$1001))),0))</f>
        <v>0.23135628536430677</v>
      </c>
    </row>
    <row r="212" spans="1:22" x14ac:dyDescent="0.25">
      <c r="A212">
        <v>211</v>
      </c>
      <c r="B212" s="1">
        <v>40553</v>
      </c>
      <c r="C212">
        <v>1</v>
      </c>
      <c r="D212">
        <v>0</v>
      </c>
      <c r="E212">
        <v>1</v>
      </c>
      <c r="F212">
        <v>1</v>
      </c>
      <c r="G212" t="b">
        <v>0</v>
      </c>
      <c r="H212">
        <v>1</v>
      </c>
      <c r="I212">
        <v>1</v>
      </c>
      <c r="J212">
        <v>0.12</v>
      </c>
      <c r="K212">
        <v>0.1212</v>
      </c>
      <c r="L212">
        <v>0.5</v>
      </c>
      <c r="M212">
        <v>0.28360000000000002</v>
      </c>
      <c r="N212">
        <v>1</v>
      </c>
      <c r="O212">
        <v>0</v>
      </c>
      <c r="P212">
        <v>1</v>
      </c>
      <c r="Q212" t="str">
        <f t="shared" si="15"/>
        <v>Weekend</v>
      </c>
      <c r="R212" t="str">
        <f t="shared" si="12"/>
        <v>Clear</v>
      </c>
      <c r="S212">
        <f t="shared" si="13"/>
        <v>-0.25435329828790432</v>
      </c>
      <c r="T212">
        <f t="shared" si="14"/>
        <v>0.10399668008577614</v>
      </c>
      <c r="U212" s="6">
        <v>0.12</v>
      </c>
      <c r="V212">
        <f t="array" ref="V212">CORREL(IFERROR(VALUE(TRIM(CLEAN($U$2:$U$1001))),0), IFERROR(VALUE(TRIM(CLEAN($P$2:$P$1001))),0))</f>
        <v>0.23135628536430677</v>
      </c>
    </row>
    <row r="213" spans="1:22" x14ac:dyDescent="0.25">
      <c r="A213">
        <v>212</v>
      </c>
      <c r="B213" s="1">
        <v>40553</v>
      </c>
      <c r="C213">
        <v>1</v>
      </c>
      <c r="D213">
        <v>0</v>
      </c>
      <c r="E213">
        <v>1</v>
      </c>
      <c r="F213">
        <v>2</v>
      </c>
      <c r="G213" t="b">
        <v>0</v>
      </c>
      <c r="H213">
        <v>1</v>
      </c>
      <c r="I213">
        <v>1</v>
      </c>
      <c r="J213">
        <v>0.12</v>
      </c>
      <c r="K213">
        <v>0.1212</v>
      </c>
      <c r="L213">
        <v>0.5</v>
      </c>
      <c r="M213">
        <v>0.22389999999999999</v>
      </c>
      <c r="N213">
        <v>0</v>
      </c>
      <c r="O213">
        <v>3</v>
      </c>
      <c r="P213">
        <v>3</v>
      </c>
      <c r="Q213" t="str">
        <f t="shared" si="15"/>
        <v>Weekday</v>
      </c>
      <c r="R213" t="str">
        <f t="shared" si="12"/>
        <v>Clear</v>
      </c>
      <c r="S213">
        <f t="shared" si="13"/>
        <v>-0.25435329828790432</v>
      </c>
      <c r="T213">
        <f t="shared" si="14"/>
        <v>0.10399668008577614</v>
      </c>
      <c r="U213" s="6">
        <v>0.12</v>
      </c>
      <c r="V213">
        <f t="array" ref="V213">CORREL(IFERROR(VALUE(TRIM(CLEAN($U$2:$U$1001))),0), IFERROR(VALUE(TRIM(CLEAN($P$2:$P$1001))),0))</f>
        <v>0.23135628536430677</v>
      </c>
    </row>
    <row r="214" spans="1:22" x14ac:dyDescent="0.25">
      <c r="A214">
        <v>213</v>
      </c>
      <c r="B214" s="1">
        <v>40553</v>
      </c>
      <c r="C214">
        <v>1</v>
      </c>
      <c r="D214">
        <v>0</v>
      </c>
      <c r="E214">
        <v>1</v>
      </c>
      <c r="F214">
        <v>3</v>
      </c>
      <c r="G214" t="b">
        <v>0</v>
      </c>
      <c r="H214">
        <v>1</v>
      </c>
      <c r="I214">
        <v>1</v>
      </c>
      <c r="J214">
        <v>0.12</v>
      </c>
      <c r="K214">
        <v>0.1212</v>
      </c>
      <c r="L214">
        <v>0.5</v>
      </c>
      <c r="M214">
        <v>0.22389999999999999</v>
      </c>
      <c r="N214">
        <v>0</v>
      </c>
      <c r="O214">
        <v>1</v>
      </c>
      <c r="P214">
        <v>1</v>
      </c>
      <c r="Q214" t="str">
        <f t="shared" si="15"/>
        <v>Weekday</v>
      </c>
      <c r="R214" t="str">
        <f t="shared" si="12"/>
        <v>Clear</v>
      </c>
      <c r="S214">
        <f t="shared" si="13"/>
        <v>-0.25435329828790432</v>
      </c>
      <c r="T214">
        <f t="shared" si="14"/>
        <v>0.10399668008577614</v>
      </c>
      <c r="U214" s="6">
        <v>0.12</v>
      </c>
      <c r="V214">
        <f t="array" ref="V214">CORREL(IFERROR(VALUE(TRIM(CLEAN($U$2:$U$1001))),0), IFERROR(VALUE(TRIM(CLEAN($P$2:$P$1001))),0))</f>
        <v>0.23135628536430677</v>
      </c>
    </row>
    <row r="215" spans="1:22" x14ac:dyDescent="0.25">
      <c r="A215">
        <v>214</v>
      </c>
      <c r="B215" s="1">
        <v>40553</v>
      </c>
      <c r="C215">
        <v>1</v>
      </c>
      <c r="D215">
        <v>0</v>
      </c>
      <c r="E215">
        <v>1</v>
      </c>
      <c r="F215">
        <v>4</v>
      </c>
      <c r="G215" t="b">
        <v>0</v>
      </c>
      <c r="H215">
        <v>1</v>
      </c>
      <c r="I215">
        <v>1</v>
      </c>
      <c r="J215">
        <v>0.1</v>
      </c>
      <c r="K215">
        <v>0.1212</v>
      </c>
      <c r="L215">
        <v>0.54</v>
      </c>
      <c r="M215">
        <v>0.1343</v>
      </c>
      <c r="N215">
        <v>1</v>
      </c>
      <c r="O215">
        <v>2</v>
      </c>
      <c r="P215">
        <v>3</v>
      </c>
      <c r="Q215" t="str">
        <f t="shared" si="15"/>
        <v>Weekday</v>
      </c>
      <c r="R215" t="str">
        <f t="shared" si="12"/>
        <v>Clear</v>
      </c>
      <c r="S215">
        <f t="shared" si="13"/>
        <v>-0.25435329828790432</v>
      </c>
      <c r="T215">
        <f t="shared" si="14"/>
        <v>0.10399668008577614</v>
      </c>
      <c r="U215" s="6">
        <v>0.1</v>
      </c>
      <c r="V215">
        <f t="array" ref="V215">CORREL(IFERROR(VALUE(TRIM(CLEAN($U$2:$U$1001))),0), IFERROR(VALUE(TRIM(CLEAN($P$2:$P$1001))),0))</f>
        <v>0.23135628536430677</v>
      </c>
    </row>
    <row r="216" spans="1:22" x14ac:dyDescent="0.25">
      <c r="A216">
        <v>215</v>
      </c>
      <c r="B216" s="1">
        <v>40553</v>
      </c>
      <c r="C216">
        <v>1</v>
      </c>
      <c r="D216">
        <v>0</v>
      </c>
      <c r="E216">
        <v>1</v>
      </c>
      <c r="F216">
        <v>5</v>
      </c>
      <c r="G216" t="b">
        <v>0</v>
      </c>
      <c r="H216">
        <v>1</v>
      </c>
      <c r="I216">
        <v>1</v>
      </c>
      <c r="J216">
        <v>0.1</v>
      </c>
      <c r="K216">
        <v>0.1061</v>
      </c>
      <c r="L216">
        <v>0.54</v>
      </c>
      <c r="M216">
        <v>0.25369999999999998</v>
      </c>
      <c r="N216">
        <v>0</v>
      </c>
      <c r="O216">
        <v>3</v>
      </c>
      <c r="P216">
        <v>3</v>
      </c>
      <c r="Q216" t="str">
        <f t="shared" si="15"/>
        <v>Weekday</v>
      </c>
      <c r="R216" t="str">
        <f t="shared" si="12"/>
        <v>Clear</v>
      </c>
      <c r="S216">
        <f t="shared" si="13"/>
        <v>-0.25435329828790432</v>
      </c>
      <c r="T216">
        <f t="shared" si="14"/>
        <v>0.10399668008577614</v>
      </c>
      <c r="U216" s="6">
        <v>0.1</v>
      </c>
      <c r="V216">
        <f t="array" ref="V216">CORREL(IFERROR(VALUE(TRIM(CLEAN($U$2:$U$1001))),0), IFERROR(VALUE(TRIM(CLEAN($P$2:$P$1001))),0))</f>
        <v>0.23135628536430677</v>
      </c>
    </row>
    <row r="217" spans="1:22" x14ac:dyDescent="0.25">
      <c r="A217">
        <v>216</v>
      </c>
      <c r="B217" s="1">
        <v>40553</v>
      </c>
      <c r="C217">
        <v>1</v>
      </c>
      <c r="D217">
        <v>0</v>
      </c>
      <c r="E217">
        <v>1</v>
      </c>
      <c r="F217">
        <v>6</v>
      </c>
      <c r="G217" t="b">
        <v>0</v>
      </c>
      <c r="H217">
        <v>1</v>
      </c>
      <c r="I217">
        <v>1</v>
      </c>
      <c r="J217">
        <v>0.12</v>
      </c>
      <c r="K217">
        <v>0.1212</v>
      </c>
      <c r="L217">
        <v>0.5</v>
      </c>
      <c r="M217">
        <v>0.28360000000000002</v>
      </c>
      <c r="N217">
        <v>0</v>
      </c>
      <c r="O217">
        <v>31</v>
      </c>
      <c r="P217">
        <v>31</v>
      </c>
      <c r="Q217" t="str">
        <f t="shared" si="15"/>
        <v>Weekday</v>
      </c>
      <c r="R217" t="str">
        <f t="shared" si="12"/>
        <v>Clear</v>
      </c>
      <c r="S217">
        <f t="shared" si="13"/>
        <v>-0.25435329828790432</v>
      </c>
      <c r="T217">
        <f t="shared" si="14"/>
        <v>0.10399668008577614</v>
      </c>
      <c r="U217" s="6">
        <v>0.12</v>
      </c>
      <c r="V217">
        <f t="array" ref="V217">CORREL(IFERROR(VALUE(TRIM(CLEAN($U$2:$U$1001))),0), IFERROR(VALUE(TRIM(CLEAN($P$2:$P$1001))),0))</f>
        <v>0.23135628536430677</v>
      </c>
    </row>
    <row r="218" spans="1:22" x14ac:dyDescent="0.25">
      <c r="A218">
        <v>217</v>
      </c>
      <c r="B218" s="1">
        <v>40553</v>
      </c>
      <c r="C218">
        <v>1</v>
      </c>
      <c r="D218">
        <v>0</v>
      </c>
      <c r="E218">
        <v>1</v>
      </c>
      <c r="F218">
        <v>7</v>
      </c>
      <c r="G218" t="b">
        <v>0</v>
      </c>
      <c r="H218">
        <v>1</v>
      </c>
      <c r="I218">
        <v>1</v>
      </c>
      <c r="J218">
        <v>0.12</v>
      </c>
      <c r="K218">
        <v>0.1212</v>
      </c>
      <c r="L218">
        <v>0.5</v>
      </c>
      <c r="M218">
        <v>0.22389999999999999</v>
      </c>
      <c r="N218">
        <v>2</v>
      </c>
      <c r="O218">
        <v>75</v>
      </c>
      <c r="P218">
        <v>77</v>
      </c>
      <c r="Q218" t="str">
        <f t="shared" si="15"/>
        <v>Weekend</v>
      </c>
      <c r="R218" t="str">
        <f t="shared" si="12"/>
        <v>Clear</v>
      </c>
      <c r="S218">
        <f t="shared" si="13"/>
        <v>-0.25435329828790432</v>
      </c>
      <c r="T218">
        <f t="shared" si="14"/>
        <v>0.10399668008577614</v>
      </c>
      <c r="U218" s="6">
        <v>0.12</v>
      </c>
      <c r="V218">
        <f t="array" ref="V218">CORREL(IFERROR(VALUE(TRIM(CLEAN($U$2:$U$1001))),0), IFERROR(VALUE(TRIM(CLEAN($P$2:$P$1001))),0))</f>
        <v>0.23135628536430677</v>
      </c>
    </row>
    <row r="219" spans="1:22" x14ac:dyDescent="0.25">
      <c r="A219">
        <v>218</v>
      </c>
      <c r="B219" s="1">
        <v>40553</v>
      </c>
      <c r="C219">
        <v>1</v>
      </c>
      <c r="D219">
        <v>0</v>
      </c>
      <c r="E219">
        <v>1</v>
      </c>
      <c r="F219">
        <v>8</v>
      </c>
      <c r="G219" t="b">
        <v>0</v>
      </c>
      <c r="H219">
        <v>1</v>
      </c>
      <c r="I219">
        <v>2</v>
      </c>
      <c r="J219">
        <v>0.12</v>
      </c>
      <c r="K219">
        <v>0.1212</v>
      </c>
      <c r="L219">
        <v>0.5</v>
      </c>
      <c r="M219">
        <v>0.28360000000000002</v>
      </c>
      <c r="N219">
        <v>4</v>
      </c>
      <c r="O219">
        <v>184</v>
      </c>
      <c r="P219">
        <v>188</v>
      </c>
      <c r="Q219" t="str">
        <f t="shared" si="15"/>
        <v>Weekend</v>
      </c>
      <c r="R219" t="str">
        <f t="shared" si="12"/>
        <v>Mist/Cloudy</v>
      </c>
      <c r="S219">
        <f t="shared" si="13"/>
        <v>-0.25435329828790432</v>
      </c>
      <c r="T219">
        <f t="shared" si="14"/>
        <v>0.10399668008577614</v>
      </c>
      <c r="U219" s="6">
        <v>0.12</v>
      </c>
      <c r="V219">
        <f t="array" ref="V219">CORREL(IFERROR(VALUE(TRIM(CLEAN($U$2:$U$1001))),0), IFERROR(VALUE(TRIM(CLEAN($P$2:$P$1001))),0))</f>
        <v>0.23135628536430677</v>
      </c>
    </row>
    <row r="220" spans="1:22" x14ac:dyDescent="0.25">
      <c r="A220">
        <v>219</v>
      </c>
      <c r="B220" s="1">
        <v>40553</v>
      </c>
      <c r="C220">
        <v>1</v>
      </c>
      <c r="D220">
        <v>0</v>
      </c>
      <c r="E220">
        <v>1</v>
      </c>
      <c r="F220">
        <v>9</v>
      </c>
      <c r="G220" t="b">
        <v>0</v>
      </c>
      <c r="H220">
        <v>1</v>
      </c>
      <c r="I220">
        <v>2</v>
      </c>
      <c r="J220">
        <v>0.14000000000000001</v>
      </c>
      <c r="K220">
        <v>0.1212</v>
      </c>
      <c r="L220">
        <v>0.5</v>
      </c>
      <c r="M220">
        <v>0.25369999999999998</v>
      </c>
      <c r="N220">
        <v>2</v>
      </c>
      <c r="O220">
        <v>92</v>
      </c>
      <c r="P220">
        <v>94</v>
      </c>
      <c r="Q220" t="str">
        <f t="shared" si="15"/>
        <v>Weekday</v>
      </c>
      <c r="R220" t="str">
        <f t="shared" si="12"/>
        <v>Mist/Cloudy</v>
      </c>
      <c r="S220">
        <f t="shared" si="13"/>
        <v>-0.25435329828790432</v>
      </c>
      <c r="T220">
        <f t="shared" si="14"/>
        <v>0.10399668008577614</v>
      </c>
      <c r="U220" s="6">
        <v>0.14000000000000001</v>
      </c>
      <c r="V220">
        <f t="array" ref="V220">CORREL(IFERROR(VALUE(TRIM(CLEAN($U$2:$U$1001))),0), IFERROR(VALUE(TRIM(CLEAN($P$2:$P$1001))),0))</f>
        <v>0.23135628536430677</v>
      </c>
    </row>
    <row r="221" spans="1:22" x14ac:dyDescent="0.25">
      <c r="A221">
        <v>220</v>
      </c>
      <c r="B221" s="1">
        <v>40553</v>
      </c>
      <c r="C221">
        <v>1</v>
      </c>
      <c r="D221">
        <v>0</v>
      </c>
      <c r="E221">
        <v>1</v>
      </c>
      <c r="F221">
        <v>10</v>
      </c>
      <c r="G221" t="b">
        <v>0</v>
      </c>
      <c r="H221">
        <v>1</v>
      </c>
      <c r="I221">
        <v>2</v>
      </c>
      <c r="J221">
        <v>0.14000000000000001</v>
      </c>
      <c r="K221">
        <v>0.1212</v>
      </c>
      <c r="L221">
        <v>0.5</v>
      </c>
      <c r="M221">
        <v>0.29849999999999999</v>
      </c>
      <c r="N221">
        <v>0</v>
      </c>
      <c r="O221">
        <v>31</v>
      </c>
      <c r="P221">
        <v>31</v>
      </c>
      <c r="Q221" t="str">
        <f t="shared" si="15"/>
        <v>Weekday</v>
      </c>
      <c r="R221" t="str">
        <f t="shared" si="12"/>
        <v>Mist/Cloudy</v>
      </c>
      <c r="S221">
        <f t="shared" si="13"/>
        <v>-0.25435329828790432</v>
      </c>
      <c r="T221">
        <f t="shared" si="14"/>
        <v>0.10399668008577614</v>
      </c>
      <c r="U221" s="6">
        <v>0.14000000000000001</v>
      </c>
      <c r="V221">
        <f t="array" ref="V221">CORREL(IFERROR(VALUE(TRIM(CLEAN($U$2:$U$1001))),0), IFERROR(VALUE(TRIM(CLEAN($P$2:$P$1001))),0))</f>
        <v>0.23135628536430677</v>
      </c>
    </row>
    <row r="222" spans="1:22" x14ac:dyDescent="0.25">
      <c r="A222">
        <v>221</v>
      </c>
      <c r="B222" s="1">
        <v>40553</v>
      </c>
      <c r="C222">
        <v>1</v>
      </c>
      <c r="D222">
        <v>0</v>
      </c>
      <c r="E222">
        <v>1</v>
      </c>
      <c r="F222">
        <v>11</v>
      </c>
      <c r="G222" t="b">
        <v>0</v>
      </c>
      <c r="H222">
        <v>1</v>
      </c>
      <c r="I222">
        <v>2</v>
      </c>
      <c r="J222">
        <v>0.16</v>
      </c>
      <c r="K222">
        <v>0.13639999999999999</v>
      </c>
      <c r="L222">
        <v>0.47</v>
      </c>
      <c r="M222">
        <v>0.28360000000000002</v>
      </c>
      <c r="N222">
        <v>2</v>
      </c>
      <c r="O222">
        <v>28</v>
      </c>
      <c r="P222">
        <v>30</v>
      </c>
      <c r="Q222" t="str">
        <f t="shared" si="15"/>
        <v>Weekday</v>
      </c>
      <c r="R222" t="str">
        <f t="shared" si="12"/>
        <v>Mist/Cloudy</v>
      </c>
      <c r="S222">
        <f t="shared" si="13"/>
        <v>-0.25435329828790432</v>
      </c>
      <c r="T222">
        <f t="shared" si="14"/>
        <v>0.10399668008577614</v>
      </c>
      <c r="U222" s="6">
        <v>0.16</v>
      </c>
      <c r="V222">
        <f t="array" ref="V222">CORREL(IFERROR(VALUE(TRIM(CLEAN($U$2:$U$1001))),0), IFERROR(VALUE(TRIM(CLEAN($P$2:$P$1001))),0))</f>
        <v>0.23135628536430677</v>
      </c>
    </row>
    <row r="223" spans="1:22" x14ac:dyDescent="0.25">
      <c r="A223">
        <v>222</v>
      </c>
      <c r="B223" s="1">
        <v>40553</v>
      </c>
      <c r="C223">
        <v>1</v>
      </c>
      <c r="D223">
        <v>0</v>
      </c>
      <c r="E223">
        <v>1</v>
      </c>
      <c r="F223">
        <v>12</v>
      </c>
      <c r="G223" t="b">
        <v>0</v>
      </c>
      <c r="H223">
        <v>1</v>
      </c>
      <c r="I223">
        <v>2</v>
      </c>
      <c r="J223">
        <v>0.2</v>
      </c>
      <c r="K223">
        <v>0.18179999999999999</v>
      </c>
      <c r="L223">
        <v>0.4</v>
      </c>
      <c r="M223">
        <v>0.28360000000000002</v>
      </c>
      <c r="N223">
        <v>5</v>
      </c>
      <c r="O223">
        <v>47</v>
      </c>
      <c r="P223">
        <v>52</v>
      </c>
      <c r="Q223" t="str">
        <f t="shared" si="15"/>
        <v>Weekday</v>
      </c>
      <c r="R223" t="str">
        <f t="shared" si="12"/>
        <v>Mist/Cloudy</v>
      </c>
      <c r="S223">
        <f t="shared" si="13"/>
        <v>-0.25435329828790432</v>
      </c>
      <c r="T223">
        <f t="shared" si="14"/>
        <v>0.10399668008577614</v>
      </c>
      <c r="U223" s="6">
        <v>0.2</v>
      </c>
      <c r="V223">
        <f t="array" ref="V223">CORREL(IFERROR(VALUE(TRIM(CLEAN($U$2:$U$1001))),0), IFERROR(VALUE(TRIM(CLEAN($P$2:$P$1001))),0))</f>
        <v>0.23135628536430677</v>
      </c>
    </row>
    <row r="224" spans="1:22" x14ac:dyDescent="0.25">
      <c r="A224">
        <v>223</v>
      </c>
      <c r="B224" s="1">
        <v>40553</v>
      </c>
      <c r="C224">
        <v>1</v>
      </c>
      <c r="D224">
        <v>0</v>
      </c>
      <c r="E224">
        <v>1</v>
      </c>
      <c r="F224">
        <v>13</v>
      </c>
      <c r="G224" t="b">
        <v>0</v>
      </c>
      <c r="H224">
        <v>1</v>
      </c>
      <c r="I224">
        <v>2</v>
      </c>
      <c r="J224">
        <v>0.2</v>
      </c>
      <c r="K224">
        <v>0.18179999999999999</v>
      </c>
      <c r="L224">
        <v>0.4</v>
      </c>
      <c r="M224">
        <v>0.28360000000000002</v>
      </c>
      <c r="N224">
        <v>4</v>
      </c>
      <c r="O224">
        <v>50</v>
      </c>
      <c r="P224">
        <v>54</v>
      </c>
      <c r="Q224" t="str">
        <f t="shared" si="15"/>
        <v>Weekday</v>
      </c>
      <c r="R224" t="str">
        <f t="shared" si="12"/>
        <v>Mist/Cloudy</v>
      </c>
      <c r="S224">
        <f t="shared" si="13"/>
        <v>-0.25435329828790432</v>
      </c>
      <c r="T224">
        <f t="shared" si="14"/>
        <v>0.10399668008577614</v>
      </c>
      <c r="U224" s="6">
        <v>0.2</v>
      </c>
      <c r="V224">
        <f t="array" ref="V224">CORREL(IFERROR(VALUE(TRIM(CLEAN($U$2:$U$1001))),0), IFERROR(VALUE(TRIM(CLEAN($P$2:$P$1001))),0))</f>
        <v>0.23135628536430677</v>
      </c>
    </row>
    <row r="225" spans="1:22" x14ac:dyDescent="0.25">
      <c r="A225">
        <v>224</v>
      </c>
      <c r="B225" s="1">
        <v>40553</v>
      </c>
      <c r="C225">
        <v>1</v>
      </c>
      <c r="D225">
        <v>0</v>
      </c>
      <c r="E225">
        <v>1</v>
      </c>
      <c r="F225">
        <v>14</v>
      </c>
      <c r="G225" t="b">
        <v>0</v>
      </c>
      <c r="H225">
        <v>1</v>
      </c>
      <c r="I225">
        <v>2</v>
      </c>
      <c r="J225">
        <v>0.2</v>
      </c>
      <c r="K225">
        <v>0.19700000000000001</v>
      </c>
      <c r="L225">
        <v>0.4</v>
      </c>
      <c r="M225">
        <v>0.22389999999999999</v>
      </c>
      <c r="N225">
        <v>0</v>
      </c>
      <c r="O225">
        <v>47</v>
      </c>
      <c r="P225">
        <v>47</v>
      </c>
      <c r="Q225" t="str">
        <f t="shared" si="15"/>
        <v>Weekend</v>
      </c>
      <c r="R225" t="str">
        <f t="shared" si="12"/>
        <v>Mist/Cloudy</v>
      </c>
      <c r="S225">
        <f t="shared" si="13"/>
        <v>-0.25435329828790432</v>
      </c>
      <c r="T225">
        <f t="shared" si="14"/>
        <v>0.10399668008577614</v>
      </c>
      <c r="U225" s="6">
        <v>0.2</v>
      </c>
      <c r="V225">
        <f t="array" ref="V225">CORREL(IFERROR(VALUE(TRIM(CLEAN($U$2:$U$1001))),0), IFERROR(VALUE(TRIM(CLEAN($P$2:$P$1001))),0))</f>
        <v>0.23135628536430677</v>
      </c>
    </row>
    <row r="226" spans="1:22" x14ac:dyDescent="0.25">
      <c r="A226">
        <v>225</v>
      </c>
      <c r="B226" s="1">
        <v>40553</v>
      </c>
      <c r="C226">
        <v>1</v>
      </c>
      <c r="D226">
        <v>0</v>
      </c>
      <c r="E226">
        <v>1</v>
      </c>
      <c r="F226">
        <v>15</v>
      </c>
      <c r="G226" t="b">
        <v>0</v>
      </c>
      <c r="H226">
        <v>1</v>
      </c>
      <c r="I226">
        <v>2</v>
      </c>
      <c r="J226">
        <v>0.2</v>
      </c>
      <c r="K226">
        <v>0.19700000000000001</v>
      </c>
      <c r="L226">
        <v>0.4</v>
      </c>
      <c r="M226">
        <v>0.22389999999999999</v>
      </c>
      <c r="N226">
        <v>2</v>
      </c>
      <c r="O226">
        <v>43</v>
      </c>
      <c r="P226">
        <v>45</v>
      </c>
      <c r="Q226" t="str">
        <f t="shared" si="15"/>
        <v>Weekend</v>
      </c>
      <c r="R226" t="str">
        <f t="shared" si="12"/>
        <v>Mist/Cloudy</v>
      </c>
      <c r="S226">
        <f t="shared" si="13"/>
        <v>-0.25435329828790432</v>
      </c>
      <c r="T226">
        <f t="shared" si="14"/>
        <v>0.10399668008577614</v>
      </c>
      <c r="U226" s="6">
        <v>0.2</v>
      </c>
      <c r="V226">
        <f t="array" ref="V226">CORREL(IFERROR(VALUE(TRIM(CLEAN($U$2:$U$1001))),0), IFERROR(VALUE(TRIM(CLEAN($P$2:$P$1001))),0))</f>
        <v>0.23135628536430677</v>
      </c>
    </row>
    <row r="227" spans="1:22" x14ac:dyDescent="0.25">
      <c r="A227">
        <v>226</v>
      </c>
      <c r="B227" s="1">
        <v>40553</v>
      </c>
      <c r="C227">
        <v>1</v>
      </c>
      <c r="D227">
        <v>0</v>
      </c>
      <c r="E227">
        <v>1</v>
      </c>
      <c r="F227">
        <v>16</v>
      </c>
      <c r="G227" t="b">
        <v>0</v>
      </c>
      <c r="H227">
        <v>1</v>
      </c>
      <c r="I227">
        <v>1</v>
      </c>
      <c r="J227">
        <v>0.2</v>
      </c>
      <c r="K227">
        <v>0.21210000000000001</v>
      </c>
      <c r="L227">
        <v>0.4</v>
      </c>
      <c r="M227">
        <v>0.1343</v>
      </c>
      <c r="N227">
        <v>4</v>
      </c>
      <c r="O227">
        <v>70</v>
      </c>
      <c r="P227">
        <v>74</v>
      </c>
      <c r="Q227" t="str">
        <f t="shared" si="15"/>
        <v>Weekday</v>
      </c>
      <c r="R227" t="str">
        <f t="shared" si="12"/>
        <v>Clear</v>
      </c>
      <c r="S227">
        <f t="shared" si="13"/>
        <v>-0.25435329828790432</v>
      </c>
      <c r="T227">
        <f t="shared" si="14"/>
        <v>0.10399668008577614</v>
      </c>
      <c r="U227" s="6">
        <v>0.2</v>
      </c>
      <c r="V227">
        <f t="array" ref="V227">CORREL(IFERROR(VALUE(TRIM(CLEAN($U$2:$U$1001))),0), IFERROR(VALUE(TRIM(CLEAN($P$2:$P$1001))),0))</f>
        <v>0.23135628536430677</v>
      </c>
    </row>
    <row r="228" spans="1:22" x14ac:dyDescent="0.25">
      <c r="A228">
        <v>227</v>
      </c>
      <c r="B228" s="1">
        <v>40553</v>
      </c>
      <c r="C228">
        <v>1</v>
      </c>
      <c r="D228">
        <v>0</v>
      </c>
      <c r="E228">
        <v>1</v>
      </c>
      <c r="F228">
        <v>17</v>
      </c>
      <c r="G228" t="b">
        <v>0</v>
      </c>
      <c r="H228">
        <v>1</v>
      </c>
      <c r="I228">
        <v>1</v>
      </c>
      <c r="J228">
        <v>0.2</v>
      </c>
      <c r="K228">
        <v>0.2273</v>
      </c>
      <c r="L228">
        <v>0.4</v>
      </c>
      <c r="M228">
        <v>0.1045</v>
      </c>
      <c r="N228">
        <v>4</v>
      </c>
      <c r="O228">
        <v>174</v>
      </c>
      <c r="P228">
        <v>178</v>
      </c>
      <c r="Q228" t="str">
        <f t="shared" si="15"/>
        <v>Weekday</v>
      </c>
      <c r="R228" t="str">
        <f t="shared" si="12"/>
        <v>Clear</v>
      </c>
      <c r="S228">
        <f t="shared" si="13"/>
        <v>-0.25435329828790432</v>
      </c>
      <c r="T228">
        <f t="shared" si="14"/>
        <v>0.10399668008577614</v>
      </c>
      <c r="U228" s="6">
        <v>0.2</v>
      </c>
      <c r="V228">
        <f t="array" ref="V228">CORREL(IFERROR(VALUE(TRIM(CLEAN($U$2:$U$1001))),0), IFERROR(VALUE(TRIM(CLEAN($P$2:$P$1001))),0))</f>
        <v>0.23135628536430677</v>
      </c>
    </row>
    <row r="229" spans="1:22" x14ac:dyDescent="0.25">
      <c r="A229">
        <v>228</v>
      </c>
      <c r="B229" s="1">
        <v>40553</v>
      </c>
      <c r="C229">
        <v>1</v>
      </c>
      <c r="D229">
        <v>0</v>
      </c>
      <c r="E229">
        <v>1</v>
      </c>
      <c r="F229">
        <v>18</v>
      </c>
      <c r="G229" t="b">
        <v>0</v>
      </c>
      <c r="H229">
        <v>1</v>
      </c>
      <c r="I229">
        <v>1</v>
      </c>
      <c r="J229">
        <v>0.2</v>
      </c>
      <c r="K229">
        <v>0.19700000000000001</v>
      </c>
      <c r="L229">
        <v>0.4</v>
      </c>
      <c r="M229">
        <v>0.22389999999999999</v>
      </c>
      <c r="N229">
        <v>1</v>
      </c>
      <c r="O229">
        <v>154</v>
      </c>
      <c r="P229">
        <v>155</v>
      </c>
      <c r="Q229" t="str">
        <f t="shared" si="15"/>
        <v>Weekday</v>
      </c>
      <c r="R229" t="str">
        <f t="shared" si="12"/>
        <v>Clear</v>
      </c>
      <c r="S229">
        <f t="shared" si="13"/>
        <v>-0.25435329828790432</v>
      </c>
      <c r="T229">
        <f t="shared" si="14"/>
        <v>0.10399668008577614</v>
      </c>
      <c r="U229" s="6">
        <v>0.2</v>
      </c>
      <c r="V229">
        <f t="array" ref="V229">CORREL(IFERROR(VALUE(TRIM(CLEAN($U$2:$U$1001))),0), IFERROR(VALUE(TRIM(CLEAN($P$2:$P$1001))),0))</f>
        <v>0.23135628536430677</v>
      </c>
    </row>
    <row r="230" spans="1:22" x14ac:dyDescent="0.25">
      <c r="A230">
        <v>229</v>
      </c>
      <c r="B230" s="1">
        <v>40553</v>
      </c>
      <c r="C230">
        <v>1</v>
      </c>
      <c r="D230">
        <v>0</v>
      </c>
      <c r="E230">
        <v>1</v>
      </c>
      <c r="F230">
        <v>19</v>
      </c>
      <c r="G230" t="b">
        <v>0</v>
      </c>
      <c r="H230">
        <v>1</v>
      </c>
      <c r="I230">
        <v>1</v>
      </c>
      <c r="J230">
        <v>0.16</v>
      </c>
      <c r="K230">
        <v>0.16669999999999999</v>
      </c>
      <c r="L230">
        <v>0.47</v>
      </c>
      <c r="M230">
        <v>0.16420000000000001</v>
      </c>
      <c r="N230">
        <v>3</v>
      </c>
      <c r="O230">
        <v>92</v>
      </c>
      <c r="P230">
        <v>95</v>
      </c>
      <c r="Q230" t="str">
        <f t="shared" si="15"/>
        <v>Weekday</v>
      </c>
      <c r="R230" t="str">
        <f t="shared" si="12"/>
        <v>Clear</v>
      </c>
      <c r="S230">
        <f t="shared" si="13"/>
        <v>-0.25435329828790432</v>
      </c>
      <c r="T230">
        <f t="shared" si="14"/>
        <v>0.10399668008577614</v>
      </c>
      <c r="U230" s="6">
        <v>0.16</v>
      </c>
      <c r="V230">
        <f t="array" ref="V230">CORREL(IFERROR(VALUE(TRIM(CLEAN($U$2:$U$1001))),0), IFERROR(VALUE(TRIM(CLEAN($P$2:$P$1001))),0))</f>
        <v>0.23135628536430677</v>
      </c>
    </row>
    <row r="231" spans="1:22" x14ac:dyDescent="0.25">
      <c r="A231">
        <v>230</v>
      </c>
      <c r="B231" s="1">
        <v>40553</v>
      </c>
      <c r="C231">
        <v>1</v>
      </c>
      <c r="D231">
        <v>0</v>
      </c>
      <c r="E231">
        <v>1</v>
      </c>
      <c r="F231">
        <v>20</v>
      </c>
      <c r="G231" t="b">
        <v>0</v>
      </c>
      <c r="H231">
        <v>1</v>
      </c>
      <c r="I231">
        <v>1</v>
      </c>
      <c r="J231">
        <v>0.16</v>
      </c>
      <c r="K231">
        <v>0.16669999999999999</v>
      </c>
      <c r="L231">
        <v>0.5</v>
      </c>
      <c r="M231">
        <v>0.16420000000000001</v>
      </c>
      <c r="N231">
        <v>1</v>
      </c>
      <c r="O231">
        <v>73</v>
      </c>
      <c r="P231">
        <v>74</v>
      </c>
      <c r="Q231" t="str">
        <f t="shared" si="15"/>
        <v>Weekday</v>
      </c>
      <c r="R231" t="str">
        <f t="shared" si="12"/>
        <v>Clear</v>
      </c>
      <c r="S231">
        <f t="shared" si="13"/>
        <v>-0.25435329828790432</v>
      </c>
      <c r="T231">
        <f t="shared" si="14"/>
        <v>0.10399668008577614</v>
      </c>
      <c r="U231" s="6">
        <v>0.16</v>
      </c>
      <c r="V231">
        <f t="array" ref="V231">CORREL(IFERROR(VALUE(TRIM(CLEAN($U$2:$U$1001))),0), IFERROR(VALUE(TRIM(CLEAN($P$2:$P$1001))),0))</f>
        <v>0.23135628536430677</v>
      </c>
    </row>
    <row r="232" spans="1:22" x14ac:dyDescent="0.25">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c r="Q232" t="str">
        <f t="shared" si="15"/>
        <v>Weekend</v>
      </c>
      <c r="R232" t="str">
        <f t="shared" si="12"/>
        <v>Clear</v>
      </c>
      <c r="S232">
        <f t="shared" si="13"/>
        <v>-0.25435329828790432</v>
      </c>
      <c r="T232">
        <f t="shared" si="14"/>
        <v>0.10399668008577614</v>
      </c>
      <c r="U232" s="6">
        <v>0.14000000000000001</v>
      </c>
      <c r="V232">
        <f t="array" ref="V232">CORREL(IFERROR(VALUE(TRIM(CLEAN($U$2:$U$1001))),0), IFERROR(VALUE(TRIM(CLEAN($P$2:$P$1001))),0))</f>
        <v>0.23135628536430677</v>
      </c>
    </row>
    <row r="233" spans="1:22" x14ac:dyDescent="0.25">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c r="Q233" t="str">
        <f t="shared" si="15"/>
        <v>Weekend</v>
      </c>
      <c r="R233" t="str">
        <f t="shared" si="12"/>
        <v>Clear</v>
      </c>
      <c r="S233">
        <f t="shared" si="13"/>
        <v>-0.25435329828790432</v>
      </c>
      <c r="T233">
        <f t="shared" si="14"/>
        <v>0.10399668008577614</v>
      </c>
      <c r="U233" s="6">
        <v>0.14000000000000001</v>
      </c>
      <c r="V233">
        <f t="array" ref="V233">CORREL(IFERROR(VALUE(TRIM(CLEAN($U$2:$U$1001))),0), IFERROR(VALUE(TRIM(CLEAN($P$2:$P$1001))),0))</f>
        <v>0.23135628536430677</v>
      </c>
    </row>
    <row r="234" spans="1:22" x14ac:dyDescent="0.25">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c r="Q234" t="str">
        <f t="shared" si="15"/>
        <v>Weekday</v>
      </c>
      <c r="R234" t="str">
        <f t="shared" si="12"/>
        <v>Clear</v>
      </c>
      <c r="S234">
        <f t="shared" si="13"/>
        <v>-0.25435329828790432</v>
      </c>
      <c r="T234">
        <f t="shared" si="14"/>
        <v>0.10399668008577614</v>
      </c>
      <c r="U234" s="6">
        <v>0.14000000000000001</v>
      </c>
      <c r="V234">
        <f t="array" ref="V234">CORREL(IFERROR(VALUE(TRIM(CLEAN($U$2:$U$1001))),0), IFERROR(VALUE(TRIM(CLEAN($P$2:$P$1001))),0))</f>
        <v>0.23135628536430677</v>
      </c>
    </row>
    <row r="235" spans="1:22" x14ac:dyDescent="0.25">
      <c r="A235">
        <v>234</v>
      </c>
      <c r="B235" s="1">
        <v>40554</v>
      </c>
      <c r="C235">
        <v>1</v>
      </c>
      <c r="D235">
        <v>0</v>
      </c>
      <c r="E235">
        <v>1</v>
      </c>
      <c r="F235">
        <v>0</v>
      </c>
      <c r="G235" t="b">
        <v>0</v>
      </c>
      <c r="H235">
        <v>2</v>
      </c>
      <c r="I235">
        <v>1</v>
      </c>
      <c r="J235">
        <v>0.14000000000000001</v>
      </c>
      <c r="K235">
        <v>0.16669999999999999</v>
      </c>
      <c r="L235">
        <v>0.59</v>
      </c>
      <c r="M235">
        <v>0.1045</v>
      </c>
      <c r="N235">
        <v>2</v>
      </c>
      <c r="O235">
        <v>10</v>
      </c>
      <c r="P235">
        <v>12</v>
      </c>
      <c r="Q235" t="str">
        <f t="shared" si="15"/>
        <v>Weekday</v>
      </c>
      <c r="R235" t="str">
        <f t="shared" si="12"/>
        <v>Clear</v>
      </c>
      <c r="S235">
        <f t="shared" si="13"/>
        <v>-0.25435329828790432</v>
      </c>
      <c r="T235">
        <f t="shared" si="14"/>
        <v>0.10399668008577614</v>
      </c>
      <c r="U235" s="6">
        <v>0.14000000000000001</v>
      </c>
      <c r="V235">
        <f t="array" ref="V235">CORREL(IFERROR(VALUE(TRIM(CLEAN($U$2:$U$1001))),0), IFERROR(VALUE(TRIM(CLEAN($P$2:$P$1001))),0))</f>
        <v>0.23135628536430677</v>
      </c>
    </row>
    <row r="236" spans="1:22" x14ac:dyDescent="0.25">
      <c r="A236">
        <v>235</v>
      </c>
      <c r="B236" s="1">
        <v>40554</v>
      </c>
      <c r="C236">
        <v>1</v>
      </c>
      <c r="D236">
        <v>0</v>
      </c>
      <c r="E236">
        <v>1</v>
      </c>
      <c r="F236">
        <v>1</v>
      </c>
      <c r="G236" t="b">
        <v>0</v>
      </c>
      <c r="H236">
        <v>2</v>
      </c>
      <c r="I236">
        <v>1</v>
      </c>
      <c r="J236">
        <v>0.14000000000000001</v>
      </c>
      <c r="K236">
        <v>0.1515</v>
      </c>
      <c r="L236">
        <v>0.59</v>
      </c>
      <c r="M236">
        <v>0.16420000000000001</v>
      </c>
      <c r="N236">
        <v>0</v>
      </c>
      <c r="O236">
        <v>3</v>
      </c>
      <c r="P236">
        <v>3</v>
      </c>
      <c r="Q236" t="str">
        <f t="shared" si="15"/>
        <v>Weekday</v>
      </c>
      <c r="R236" t="str">
        <f t="shared" si="12"/>
        <v>Clear</v>
      </c>
      <c r="S236">
        <f t="shared" si="13"/>
        <v>-0.25435329828790432</v>
      </c>
      <c r="T236">
        <f t="shared" si="14"/>
        <v>0.10399668008577614</v>
      </c>
      <c r="U236" s="6">
        <v>0.14000000000000001</v>
      </c>
      <c r="V236">
        <f t="array" ref="V236">CORREL(IFERROR(VALUE(TRIM(CLEAN($U$2:$U$1001))),0), IFERROR(VALUE(TRIM(CLEAN($P$2:$P$1001))),0))</f>
        <v>0.23135628536430677</v>
      </c>
    </row>
    <row r="237" spans="1:22" x14ac:dyDescent="0.25">
      <c r="A237">
        <v>236</v>
      </c>
      <c r="B237" s="1">
        <v>40554</v>
      </c>
      <c r="C237">
        <v>1</v>
      </c>
      <c r="D237">
        <v>0</v>
      </c>
      <c r="E237">
        <v>1</v>
      </c>
      <c r="F237">
        <v>2</v>
      </c>
      <c r="G237" t="b">
        <v>0</v>
      </c>
      <c r="H237">
        <v>2</v>
      </c>
      <c r="I237">
        <v>2</v>
      </c>
      <c r="J237">
        <v>0.16</v>
      </c>
      <c r="K237">
        <v>0.1515</v>
      </c>
      <c r="L237">
        <v>0.55000000000000004</v>
      </c>
      <c r="M237">
        <v>0.19400000000000001</v>
      </c>
      <c r="N237">
        <v>0</v>
      </c>
      <c r="O237">
        <v>3</v>
      </c>
      <c r="P237">
        <v>3</v>
      </c>
      <c r="Q237" t="str">
        <f t="shared" si="15"/>
        <v>Weekday</v>
      </c>
      <c r="R237" t="str">
        <f t="shared" si="12"/>
        <v>Mist/Cloudy</v>
      </c>
      <c r="S237">
        <f t="shared" si="13"/>
        <v>-0.25435329828790432</v>
      </c>
      <c r="T237">
        <f t="shared" si="14"/>
        <v>0.10399668008577614</v>
      </c>
      <c r="U237" s="6">
        <v>0.16</v>
      </c>
      <c r="V237">
        <f t="array" ref="V237">CORREL(IFERROR(VALUE(TRIM(CLEAN($U$2:$U$1001))),0), IFERROR(VALUE(TRIM(CLEAN($P$2:$P$1001))),0))</f>
        <v>0.23135628536430677</v>
      </c>
    </row>
    <row r="238" spans="1:22" x14ac:dyDescent="0.25">
      <c r="A238">
        <v>237</v>
      </c>
      <c r="B238" s="1">
        <v>40554</v>
      </c>
      <c r="C238">
        <v>1</v>
      </c>
      <c r="D238">
        <v>0</v>
      </c>
      <c r="E238">
        <v>1</v>
      </c>
      <c r="F238">
        <v>5</v>
      </c>
      <c r="G238" t="b">
        <v>0</v>
      </c>
      <c r="H238">
        <v>2</v>
      </c>
      <c r="I238">
        <v>2</v>
      </c>
      <c r="J238">
        <v>0.16</v>
      </c>
      <c r="K238">
        <v>0.18179999999999999</v>
      </c>
      <c r="L238">
        <v>0.55000000000000004</v>
      </c>
      <c r="M238">
        <v>0.1343</v>
      </c>
      <c r="N238">
        <v>0</v>
      </c>
      <c r="O238">
        <v>6</v>
      </c>
      <c r="P238">
        <v>6</v>
      </c>
      <c r="Q238" t="str">
        <f t="shared" si="15"/>
        <v>Weekday</v>
      </c>
      <c r="R238" t="str">
        <f t="shared" si="12"/>
        <v>Mist/Cloudy</v>
      </c>
      <c r="S238">
        <f t="shared" si="13"/>
        <v>-0.25435329828790432</v>
      </c>
      <c r="T238">
        <f t="shared" si="14"/>
        <v>0.10399668008577614</v>
      </c>
      <c r="U238" s="6">
        <v>0.16</v>
      </c>
      <c r="V238">
        <f t="array" ref="V238">CORREL(IFERROR(VALUE(TRIM(CLEAN($U$2:$U$1001))),0), IFERROR(VALUE(TRIM(CLEAN($P$2:$P$1001))),0))</f>
        <v>0.23135628536430677</v>
      </c>
    </row>
    <row r="239" spans="1:22" x14ac:dyDescent="0.25">
      <c r="A239">
        <v>238</v>
      </c>
      <c r="B239" s="1">
        <v>40554</v>
      </c>
      <c r="C239">
        <v>1</v>
      </c>
      <c r="D239">
        <v>0</v>
      </c>
      <c r="E239">
        <v>1</v>
      </c>
      <c r="F239">
        <v>6</v>
      </c>
      <c r="G239" t="b">
        <v>0</v>
      </c>
      <c r="H239">
        <v>2</v>
      </c>
      <c r="I239">
        <v>2</v>
      </c>
      <c r="J239">
        <v>0.16</v>
      </c>
      <c r="K239">
        <v>0.18179999999999999</v>
      </c>
      <c r="L239">
        <v>0.55000000000000004</v>
      </c>
      <c r="M239">
        <v>0.1343</v>
      </c>
      <c r="N239">
        <v>0</v>
      </c>
      <c r="O239">
        <v>27</v>
      </c>
      <c r="P239">
        <v>27</v>
      </c>
      <c r="Q239" t="str">
        <f t="shared" si="15"/>
        <v>Weekend</v>
      </c>
      <c r="R239" t="str">
        <f t="shared" si="12"/>
        <v>Mist/Cloudy</v>
      </c>
      <c r="S239">
        <f t="shared" si="13"/>
        <v>-0.25435329828790432</v>
      </c>
      <c r="T239">
        <f t="shared" si="14"/>
        <v>0.10399668008577614</v>
      </c>
      <c r="U239" s="6">
        <v>0.16</v>
      </c>
      <c r="V239">
        <f t="array" ref="V239">CORREL(IFERROR(VALUE(TRIM(CLEAN($U$2:$U$1001))),0), IFERROR(VALUE(TRIM(CLEAN($P$2:$P$1001))),0))</f>
        <v>0.23135628536430677</v>
      </c>
    </row>
    <row r="240" spans="1:22" x14ac:dyDescent="0.25">
      <c r="A240">
        <v>239</v>
      </c>
      <c r="B240" s="1">
        <v>40554</v>
      </c>
      <c r="C240">
        <v>1</v>
      </c>
      <c r="D240">
        <v>0</v>
      </c>
      <c r="E240">
        <v>1</v>
      </c>
      <c r="F240">
        <v>7</v>
      </c>
      <c r="G240" t="b">
        <v>0</v>
      </c>
      <c r="H240">
        <v>2</v>
      </c>
      <c r="I240">
        <v>2</v>
      </c>
      <c r="J240">
        <v>0.16</v>
      </c>
      <c r="K240">
        <v>0.2273</v>
      </c>
      <c r="L240">
        <v>0.55000000000000004</v>
      </c>
      <c r="M240">
        <v>0</v>
      </c>
      <c r="N240">
        <v>2</v>
      </c>
      <c r="O240">
        <v>97</v>
      </c>
      <c r="P240">
        <v>99</v>
      </c>
      <c r="Q240" t="str">
        <f t="shared" si="15"/>
        <v>Weekend</v>
      </c>
      <c r="R240" t="str">
        <f t="shared" si="12"/>
        <v>Mist/Cloudy</v>
      </c>
      <c r="S240">
        <f t="shared" si="13"/>
        <v>-0.25435329828790432</v>
      </c>
      <c r="T240">
        <f t="shared" si="14"/>
        <v>0.10399668008577614</v>
      </c>
      <c r="U240" s="6">
        <v>0.16</v>
      </c>
      <c r="V240">
        <f t="array" ref="V240">CORREL(IFERROR(VALUE(TRIM(CLEAN($U$2:$U$1001))),0), IFERROR(VALUE(TRIM(CLEAN($P$2:$P$1001))),0))</f>
        <v>0.23135628536430677</v>
      </c>
    </row>
    <row r="241" spans="1:22" x14ac:dyDescent="0.25">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c r="Q241" t="str">
        <f t="shared" si="15"/>
        <v>Weekday</v>
      </c>
      <c r="R241" t="str">
        <f t="shared" si="12"/>
        <v>Mist/Cloudy</v>
      </c>
      <c r="S241">
        <f t="shared" si="13"/>
        <v>-0.25435329828790432</v>
      </c>
      <c r="T241">
        <f t="shared" si="14"/>
        <v>0.10399668008577614</v>
      </c>
      <c r="U241" s="6">
        <v>0.18</v>
      </c>
      <c r="V241">
        <f t="array" ref="V241">CORREL(IFERROR(VALUE(TRIM(CLEAN($U$2:$U$1001))),0), IFERROR(VALUE(TRIM(CLEAN($P$2:$P$1001))),0))</f>
        <v>0.23135628536430677</v>
      </c>
    </row>
    <row r="242" spans="1:22" x14ac:dyDescent="0.25">
      <c r="A242">
        <v>241</v>
      </c>
      <c r="B242" s="1">
        <v>40554</v>
      </c>
      <c r="C242">
        <v>1</v>
      </c>
      <c r="D242">
        <v>0</v>
      </c>
      <c r="E242">
        <v>1</v>
      </c>
      <c r="F242">
        <v>9</v>
      </c>
      <c r="G242" t="b">
        <v>0</v>
      </c>
      <c r="H242">
        <v>2</v>
      </c>
      <c r="I242">
        <v>2</v>
      </c>
      <c r="J242">
        <v>0.18</v>
      </c>
      <c r="K242">
        <v>0.19700000000000001</v>
      </c>
      <c r="L242">
        <v>0.51</v>
      </c>
      <c r="M242">
        <v>0.16420000000000001</v>
      </c>
      <c r="N242">
        <v>3</v>
      </c>
      <c r="O242">
        <v>127</v>
      </c>
      <c r="P242">
        <v>130</v>
      </c>
      <c r="Q242" t="str">
        <f t="shared" si="15"/>
        <v>Weekday</v>
      </c>
      <c r="R242" t="str">
        <f t="shared" si="12"/>
        <v>Mist/Cloudy</v>
      </c>
      <c r="S242">
        <f t="shared" si="13"/>
        <v>-0.25435329828790432</v>
      </c>
      <c r="T242">
        <f t="shared" si="14"/>
        <v>0.10399668008577614</v>
      </c>
      <c r="U242" s="6">
        <v>0.18</v>
      </c>
      <c r="V242">
        <f t="array" ref="V242">CORREL(IFERROR(VALUE(TRIM(CLEAN($U$2:$U$1001))),0), IFERROR(VALUE(TRIM(CLEAN($P$2:$P$1001))),0))</f>
        <v>0.23135628536430677</v>
      </c>
    </row>
    <row r="243" spans="1:22" x14ac:dyDescent="0.25">
      <c r="A243">
        <v>242</v>
      </c>
      <c r="B243" s="1">
        <v>40554</v>
      </c>
      <c r="C243">
        <v>1</v>
      </c>
      <c r="D243">
        <v>0</v>
      </c>
      <c r="E243">
        <v>1</v>
      </c>
      <c r="F243">
        <v>10</v>
      </c>
      <c r="G243" t="b">
        <v>0</v>
      </c>
      <c r="H243">
        <v>2</v>
      </c>
      <c r="I243">
        <v>2</v>
      </c>
      <c r="J243">
        <v>0.2</v>
      </c>
      <c r="K243">
        <v>0.21210000000000001</v>
      </c>
      <c r="L243">
        <v>0.51</v>
      </c>
      <c r="M243">
        <v>0.16420000000000001</v>
      </c>
      <c r="N243">
        <v>3</v>
      </c>
      <c r="O243">
        <v>51</v>
      </c>
      <c r="P243">
        <v>54</v>
      </c>
      <c r="Q243" t="str">
        <f t="shared" si="15"/>
        <v>Weekday</v>
      </c>
      <c r="R243" t="str">
        <f t="shared" si="12"/>
        <v>Mist/Cloudy</v>
      </c>
      <c r="S243">
        <f t="shared" si="13"/>
        <v>-0.25435329828790432</v>
      </c>
      <c r="T243">
        <f t="shared" si="14"/>
        <v>0.10399668008577614</v>
      </c>
      <c r="U243" s="6">
        <v>0.2</v>
      </c>
      <c r="V243">
        <f t="array" ref="V243">CORREL(IFERROR(VALUE(TRIM(CLEAN($U$2:$U$1001))),0), IFERROR(VALUE(TRIM(CLEAN($P$2:$P$1001))),0))</f>
        <v>0.23135628536430677</v>
      </c>
    </row>
    <row r="244" spans="1:22" x14ac:dyDescent="0.25">
      <c r="A244">
        <v>243</v>
      </c>
      <c r="B244" s="1">
        <v>40554</v>
      </c>
      <c r="C244">
        <v>1</v>
      </c>
      <c r="D244">
        <v>0</v>
      </c>
      <c r="E244">
        <v>1</v>
      </c>
      <c r="F244">
        <v>11</v>
      </c>
      <c r="G244" t="b">
        <v>0</v>
      </c>
      <c r="H244">
        <v>2</v>
      </c>
      <c r="I244">
        <v>2</v>
      </c>
      <c r="J244">
        <v>0.2</v>
      </c>
      <c r="K244">
        <v>0.21210000000000001</v>
      </c>
      <c r="L244">
        <v>0.47</v>
      </c>
      <c r="M244">
        <v>0.1343</v>
      </c>
      <c r="N244">
        <v>4</v>
      </c>
      <c r="O244">
        <v>31</v>
      </c>
      <c r="P244">
        <v>35</v>
      </c>
      <c r="Q244" t="str">
        <f t="shared" si="15"/>
        <v>Weekday</v>
      </c>
      <c r="R244" t="str">
        <f t="shared" si="12"/>
        <v>Mist/Cloudy</v>
      </c>
      <c r="S244">
        <f t="shared" si="13"/>
        <v>-0.25435329828790432</v>
      </c>
      <c r="T244">
        <f t="shared" si="14"/>
        <v>0.10399668008577614</v>
      </c>
      <c r="U244" s="6">
        <v>0.2</v>
      </c>
      <c r="V244">
        <f t="array" ref="V244">CORREL(IFERROR(VALUE(TRIM(CLEAN($U$2:$U$1001))),0), IFERROR(VALUE(TRIM(CLEAN($P$2:$P$1001))),0))</f>
        <v>0.23135628536430677</v>
      </c>
    </row>
    <row r="245" spans="1:22" x14ac:dyDescent="0.25">
      <c r="A245">
        <v>244</v>
      </c>
      <c r="B245" s="1">
        <v>40554</v>
      </c>
      <c r="C245">
        <v>1</v>
      </c>
      <c r="D245">
        <v>0</v>
      </c>
      <c r="E245">
        <v>1</v>
      </c>
      <c r="F245">
        <v>12</v>
      </c>
      <c r="G245" t="b">
        <v>0</v>
      </c>
      <c r="H245">
        <v>2</v>
      </c>
      <c r="I245">
        <v>2</v>
      </c>
      <c r="J245">
        <v>0.2</v>
      </c>
      <c r="K245">
        <v>0.2273</v>
      </c>
      <c r="L245">
        <v>0.51</v>
      </c>
      <c r="M245">
        <v>0.1045</v>
      </c>
      <c r="N245">
        <v>2</v>
      </c>
      <c r="O245">
        <v>55</v>
      </c>
      <c r="P245">
        <v>57</v>
      </c>
      <c r="Q245" t="str">
        <f t="shared" si="15"/>
        <v>Weekday</v>
      </c>
      <c r="R245" t="str">
        <f t="shared" si="12"/>
        <v>Mist/Cloudy</v>
      </c>
      <c r="S245">
        <f t="shared" si="13"/>
        <v>-0.25435329828790432</v>
      </c>
      <c r="T245">
        <f t="shared" si="14"/>
        <v>0.10399668008577614</v>
      </c>
      <c r="U245" s="6">
        <v>0.2</v>
      </c>
      <c r="V245">
        <f t="array" ref="V245">CORREL(IFERROR(VALUE(TRIM(CLEAN($U$2:$U$1001))),0), IFERROR(VALUE(TRIM(CLEAN($P$2:$P$1001))),0))</f>
        <v>0.23135628536430677</v>
      </c>
    </row>
    <row r="246" spans="1:22" x14ac:dyDescent="0.25">
      <c r="A246">
        <v>245</v>
      </c>
      <c r="B246" s="1">
        <v>40554</v>
      </c>
      <c r="C246">
        <v>1</v>
      </c>
      <c r="D246">
        <v>0</v>
      </c>
      <c r="E246">
        <v>1</v>
      </c>
      <c r="F246">
        <v>13</v>
      </c>
      <c r="G246" t="b">
        <v>0</v>
      </c>
      <c r="H246">
        <v>2</v>
      </c>
      <c r="I246">
        <v>2</v>
      </c>
      <c r="J246">
        <v>0.2</v>
      </c>
      <c r="K246">
        <v>0.2273</v>
      </c>
      <c r="L246">
        <v>0.59</v>
      </c>
      <c r="M246">
        <v>8.9599999999999999E-2</v>
      </c>
      <c r="N246">
        <v>6</v>
      </c>
      <c r="O246">
        <v>46</v>
      </c>
      <c r="P246">
        <v>52</v>
      </c>
      <c r="Q246" t="str">
        <f t="shared" si="15"/>
        <v>Weekend</v>
      </c>
      <c r="R246" t="str">
        <f t="shared" si="12"/>
        <v>Mist/Cloudy</v>
      </c>
      <c r="S246">
        <f t="shared" si="13"/>
        <v>-0.25435329828790432</v>
      </c>
      <c r="T246">
        <f t="shared" si="14"/>
        <v>0.10399668008577614</v>
      </c>
      <c r="U246" s="6">
        <v>0.2</v>
      </c>
      <c r="V246">
        <f t="array" ref="V246">CORREL(IFERROR(VALUE(TRIM(CLEAN($U$2:$U$1001))),0), IFERROR(VALUE(TRIM(CLEAN($P$2:$P$1001))),0))</f>
        <v>0.23135628536430677</v>
      </c>
    </row>
    <row r="247" spans="1:22" x14ac:dyDescent="0.25">
      <c r="A247">
        <v>246</v>
      </c>
      <c r="B247" s="1">
        <v>40554</v>
      </c>
      <c r="C247">
        <v>1</v>
      </c>
      <c r="D247">
        <v>0</v>
      </c>
      <c r="E247">
        <v>1</v>
      </c>
      <c r="F247">
        <v>14</v>
      </c>
      <c r="G247" t="b">
        <v>0</v>
      </c>
      <c r="H247">
        <v>2</v>
      </c>
      <c r="I247">
        <v>2</v>
      </c>
      <c r="J247">
        <v>0.2</v>
      </c>
      <c r="K247">
        <v>0.2273</v>
      </c>
      <c r="L247">
        <v>0.59</v>
      </c>
      <c r="M247">
        <v>8.9599999999999999E-2</v>
      </c>
      <c r="N247">
        <v>3</v>
      </c>
      <c r="O247">
        <v>60</v>
      </c>
      <c r="P247">
        <v>63</v>
      </c>
      <c r="Q247" t="str">
        <f t="shared" si="15"/>
        <v>Weekend</v>
      </c>
      <c r="R247" t="str">
        <f t="shared" si="12"/>
        <v>Mist/Cloudy</v>
      </c>
      <c r="S247">
        <f t="shared" si="13"/>
        <v>-0.25435329828790432</v>
      </c>
      <c r="T247">
        <f t="shared" si="14"/>
        <v>0.10399668008577614</v>
      </c>
      <c r="U247" s="6">
        <v>0.2</v>
      </c>
      <c r="V247">
        <f t="array" ref="V247">CORREL(IFERROR(VALUE(TRIM(CLEAN($U$2:$U$1001))),0), IFERROR(VALUE(TRIM(CLEAN($P$2:$P$1001))),0))</f>
        <v>0.23135628536430677</v>
      </c>
    </row>
    <row r="248" spans="1:22" x14ac:dyDescent="0.25">
      <c r="A248">
        <v>247</v>
      </c>
      <c r="B248" s="1">
        <v>40554</v>
      </c>
      <c r="C248">
        <v>1</v>
      </c>
      <c r="D248">
        <v>0</v>
      </c>
      <c r="E248">
        <v>1</v>
      </c>
      <c r="F248">
        <v>15</v>
      </c>
      <c r="G248" t="b">
        <v>0</v>
      </c>
      <c r="H248">
        <v>2</v>
      </c>
      <c r="I248">
        <v>2</v>
      </c>
      <c r="J248">
        <v>0.16</v>
      </c>
      <c r="K248">
        <v>0.19700000000000001</v>
      </c>
      <c r="L248">
        <v>0.8</v>
      </c>
      <c r="M248">
        <v>8.9599999999999999E-2</v>
      </c>
      <c r="N248">
        <v>2</v>
      </c>
      <c r="O248">
        <v>45</v>
      </c>
      <c r="P248">
        <v>47</v>
      </c>
      <c r="Q248" t="str">
        <f t="shared" si="15"/>
        <v>Weekday</v>
      </c>
      <c r="R248" t="str">
        <f t="shared" si="12"/>
        <v>Mist/Cloudy</v>
      </c>
      <c r="S248">
        <f t="shared" si="13"/>
        <v>-0.25435329828790432</v>
      </c>
      <c r="T248">
        <f t="shared" si="14"/>
        <v>0.10399668008577614</v>
      </c>
      <c r="U248" s="6">
        <v>0.16</v>
      </c>
      <c r="V248">
        <f t="array" ref="V248">CORREL(IFERROR(VALUE(TRIM(CLEAN($U$2:$U$1001))),0), IFERROR(VALUE(TRIM(CLEAN($P$2:$P$1001))),0))</f>
        <v>0.23135628536430677</v>
      </c>
    </row>
    <row r="249" spans="1:22" x14ac:dyDescent="0.25">
      <c r="A249">
        <v>248</v>
      </c>
      <c r="B249" s="1">
        <v>40554</v>
      </c>
      <c r="C249">
        <v>1</v>
      </c>
      <c r="D249">
        <v>0</v>
      </c>
      <c r="E249">
        <v>1</v>
      </c>
      <c r="F249">
        <v>16</v>
      </c>
      <c r="G249" t="b">
        <v>0</v>
      </c>
      <c r="H249">
        <v>2</v>
      </c>
      <c r="I249">
        <v>2</v>
      </c>
      <c r="J249">
        <v>0.16</v>
      </c>
      <c r="K249">
        <v>0.1515</v>
      </c>
      <c r="L249">
        <v>0.86</v>
      </c>
      <c r="M249">
        <v>0.22389999999999999</v>
      </c>
      <c r="N249">
        <v>4</v>
      </c>
      <c r="O249">
        <v>72</v>
      </c>
      <c r="P249">
        <v>76</v>
      </c>
      <c r="Q249" t="str">
        <f t="shared" si="15"/>
        <v>Weekday</v>
      </c>
      <c r="R249" t="str">
        <f t="shared" si="12"/>
        <v>Mist/Cloudy</v>
      </c>
      <c r="S249">
        <f t="shared" si="13"/>
        <v>-0.25435329828790432</v>
      </c>
      <c r="T249">
        <f t="shared" si="14"/>
        <v>0.10399668008577614</v>
      </c>
      <c r="U249" s="6">
        <v>0.16</v>
      </c>
      <c r="V249">
        <f t="array" ref="V249">CORREL(IFERROR(VALUE(TRIM(CLEAN($U$2:$U$1001))),0), IFERROR(VALUE(TRIM(CLEAN($P$2:$P$1001))),0))</f>
        <v>0.23135628536430677</v>
      </c>
    </row>
    <row r="250" spans="1:22" x14ac:dyDescent="0.25">
      <c r="A250">
        <v>249</v>
      </c>
      <c r="B250" s="1">
        <v>40554</v>
      </c>
      <c r="C250">
        <v>1</v>
      </c>
      <c r="D250">
        <v>0</v>
      </c>
      <c r="E250">
        <v>1</v>
      </c>
      <c r="F250">
        <v>17</v>
      </c>
      <c r="G250" t="b">
        <v>0</v>
      </c>
      <c r="H250">
        <v>2</v>
      </c>
      <c r="I250">
        <v>2</v>
      </c>
      <c r="J250">
        <v>0.16</v>
      </c>
      <c r="K250">
        <v>0.1515</v>
      </c>
      <c r="L250">
        <v>0.86</v>
      </c>
      <c r="M250">
        <v>0.22389999999999999</v>
      </c>
      <c r="N250">
        <v>6</v>
      </c>
      <c r="O250">
        <v>130</v>
      </c>
      <c r="P250">
        <v>136</v>
      </c>
      <c r="Q250" t="str">
        <f t="shared" si="15"/>
        <v>Weekday</v>
      </c>
      <c r="R250" t="str">
        <f t="shared" si="12"/>
        <v>Mist/Cloudy</v>
      </c>
      <c r="S250">
        <f t="shared" si="13"/>
        <v>-0.25435329828790432</v>
      </c>
      <c r="T250">
        <f t="shared" si="14"/>
        <v>0.10399668008577614</v>
      </c>
      <c r="U250" s="6">
        <v>0.16</v>
      </c>
      <c r="V250">
        <f t="array" ref="V250">CORREL(IFERROR(VALUE(TRIM(CLEAN($U$2:$U$1001))),0), IFERROR(VALUE(TRIM(CLEAN($P$2:$P$1001))),0))</f>
        <v>0.23135628536430677</v>
      </c>
    </row>
    <row r="251" spans="1:22" x14ac:dyDescent="0.25">
      <c r="A251">
        <v>250</v>
      </c>
      <c r="B251" s="1">
        <v>40554</v>
      </c>
      <c r="C251">
        <v>1</v>
      </c>
      <c r="D251">
        <v>0</v>
      </c>
      <c r="E251">
        <v>1</v>
      </c>
      <c r="F251">
        <v>18</v>
      </c>
      <c r="G251" t="b">
        <v>0</v>
      </c>
      <c r="H251">
        <v>2</v>
      </c>
      <c r="I251">
        <v>3</v>
      </c>
      <c r="J251">
        <v>0.16</v>
      </c>
      <c r="K251">
        <v>0.18179999999999999</v>
      </c>
      <c r="L251">
        <v>0.93</v>
      </c>
      <c r="M251">
        <v>0.1045</v>
      </c>
      <c r="N251">
        <v>1</v>
      </c>
      <c r="O251">
        <v>94</v>
      </c>
      <c r="P251">
        <v>95</v>
      </c>
      <c r="Q251" t="str">
        <f t="shared" si="15"/>
        <v>Weekday</v>
      </c>
      <c r="R251" t="str">
        <f t="shared" si="12"/>
        <v>Light Snow/Rain</v>
      </c>
      <c r="S251">
        <f t="shared" si="13"/>
        <v>-0.25435329828790432</v>
      </c>
      <c r="T251">
        <f t="shared" si="14"/>
        <v>0.10399668008577614</v>
      </c>
      <c r="U251" s="6">
        <v>0.16</v>
      </c>
      <c r="V251">
        <f t="array" ref="V251">CORREL(IFERROR(VALUE(TRIM(CLEAN($U$2:$U$1001))),0), IFERROR(VALUE(TRIM(CLEAN($P$2:$P$1001))),0))</f>
        <v>0.23135628536430677</v>
      </c>
    </row>
    <row r="252" spans="1:22" x14ac:dyDescent="0.25">
      <c r="A252">
        <v>251</v>
      </c>
      <c r="B252" s="1">
        <v>40554</v>
      </c>
      <c r="C252">
        <v>1</v>
      </c>
      <c r="D252">
        <v>0</v>
      </c>
      <c r="E252">
        <v>1</v>
      </c>
      <c r="F252">
        <v>19</v>
      </c>
      <c r="G252" t="b">
        <v>0</v>
      </c>
      <c r="H252">
        <v>2</v>
      </c>
      <c r="I252">
        <v>3</v>
      </c>
      <c r="J252">
        <v>0.16</v>
      </c>
      <c r="K252">
        <v>0.2273</v>
      </c>
      <c r="L252">
        <v>0.93</v>
      </c>
      <c r="M252">
        <v>0</v>
      </c>
      <c r="N252">
        <v>0</v>
      </c>
      <c r="O252">
        <v>51</v>
      </c>
      <c r="P252">
        <v>51</v>
      </c>
      <c r="Q252" t="str">
        <f t="shared" si="15"/>
        <v>Weekday</v>
      </c>
      <c r="R252" t="str">
        <f t="shared" si="12"/>
        <v>Light Snow/Rain</v>
      </c>
      <c r="S252">
        <f t="shared" si="13"/>
        <v>-0.25435329828790432</v>
      </c>
      <c r="T252">
        <f t="shared" si="14"/>
        <v>0.10399668008577614</v>
      </c>
      <c r="U252" s="6">
        <v>0.16</v>
      </c>
      <c r="V252">
        <f t="array" ref="V252">CORREL(IFERROR(VALUE(TRIM(CLEAN($U$2:$U$1001))),0), IFERROR(VALUE(TRIM(CLEAN($P$2:$P$1001))),0))</f>
        <v>0.23135628536430677</v>
      </c>
    </row>
    <row r="253" spans="1:22" x14ac:dyDescent="0.25">
      <c r="A253">
        <v>252</v>
      </c>
      <c r="B253" s="1">
        <v>40554</v>
      </c>
      <c r="C253">
        <v>1</v>
      </c>
      <c r="D253">
        <v>0</v>
      </c>
      <c r="E253">
        <v>1</v>
      </c>
      <c r="F253">
        <v>20</v>
      </c>
      <c r="G253" t="b">
        <v>0</v>
      </c>
      <c r="H253">
        <v>2</v>
      </c>
      <c r="I253">
        <v>3</v>
      </c>
      <c r="J253">
        <v>0.16</v>
      </c>
      <c r="K253">
        <v>0.1515</v>
      </c>
      <c r="L253">
        <v>0.93</v>
      </c>
      <c r="M253">
        <v>0.19400000000000001</v>
      </c>
      <c r="N253">
        <v>0</v>
      </c>
      <c r="O253">
        <v>32</v>
      </c>
      <c r="P253">
        <v>32</v>
      </c>
      <c r="Q253" t="str">
        <f t="shared" si="15"/>
        <v>Weekend</v>
      </c>
      <c r="R253" t="str">
        <f t="shared" si="12"/>
        <v>Light Snow/Rain</v>
      </c>
      <c r="S253">
        <f t="shared" si="13"/>
        <v>-0.25435329828790432</v>
      </c>
      <c r="T253">
        <f t="shared" si="14"/>
        <v>0.10399668008577614</v>
      </c>
      <c r="U253" s="6">
        <v>0.16</v>
      </c>
      <c r="V253">
        <f t="array" ref="V253">CORREL(IFERROR(VALUE(TRIM(CLEAN($U$2:$U$1001))),0), IFERROR(VALUE(TRIM(CLEAN($P$2:$P$1001))),0))</f>
        <v>0.23135628536430677</v>
      </c>
    </row>
    <row r="254" spans="1:22" x14ac:dyDescent="0.25">
      <c r="A254">
        <v>253</v>
      </c>
      <c r="B254" s="1">
        <v>40554</v>
      </c>
      <c r="C254">
        <v>1</v>
      </c>
      <c r="D254">
        <v>0</v>
      </c>
      <c r="E254">
        <v>1</v>
      </c>
      <c r="F254">
        <v>21</v>
      </c>
      <c r="G254" t="b">
        <v>0</v>
      </c>
      <c r="H254">
        <v>2</v>
      </c>
      <c r="I254">
        <v>3</v>
      </c>
      <c r="J254">
        <v>0.16</v>
      </c>
      <c r="K254">
        <v>0.19700000000000001</v>
      </c>
      <c r="L254">
        <v>0.86</v>
      </c>
      <c r="M254">
        <v>8.9599999999999999E-2</v>
      </c>
      <c r="N254">
        <v>0</v>
      </c>
      <c r="O254">
        <v>20</v>
      </c>
      <c r="P254">
        <v>20</v>
      </c>
      <c r="Q254" t="str">
        <f t="shared" si="15"/>
        <v>Weekend</v>
      </c>
      <c r="R254" t="str">
        <f t="shared" si="12"/>
        <v>Light Snow/Rain</v>
      </c>
      <c r="S254">
        <f t="shared" si="13"/>
        <v>-0.25435329828790432</v>
      </c>
      <c r="T254">
        <f t="shared" si="14"/>
        <v>0.10399668008577614</v>
      </c>
      <c r="U254" s="6">
        <v>0.16</v>
      </c>
      <c r="V254">
        <f t="array" ref="V254">CORREL(IFERROR(VALUE(TRIM(CLEAN($U$2:$U$1001))),0), IFERROR(VALUE(TRIM(CLEAN($P$2:$P$1001))),0))</f>
        <v>0.23135628536430677</v>
      </c>
    </row>
    <row r="255" spans="1:22" x14ac:dyDescent="0.25">
      <c r="A255">
        <v>254</v>
      </c>
      <c r="B255" s="1">
        <v>40554</v>
      </c>
      <c r="C255">
        <v>1</v>
      </c>
      <c r="D255">
        <v>0</v>
      </c>
      <c r="E255">
        <v>1</v>
      </c>
      <c r="F255">
        <v>22</v>
      </c>
      <c r="G255" t="b">
        <v>0</v>
      </c>
      <c r="H255">
        <v>2</v>
      </c>
      <c r="I255">
        <v>3</v>
      </c>
      <c r="J255">
        <v>0.16</v>
      </c>
      <c r="K255">
        <v>0.18179999999999999</v>
      </c>
      <c r="L255">
        <v>0.93</v>
      </c>
      <c r="M255">
        <v>0.1045</v>
      </c>
      <c r="N255">
        <v>1</v>
      </c>
      <c r="O255">
        <v>28</v>
      </c>
      <c r="P255">
        <v>29</v>
      </c>
      <c r="Q255" t="str">
        <f t="shared" si="15"/>
        <v>Weekday</v>
      </c>
      <c r="R255" t="str">
        <f t="shared" si="12"/>
        <v>Light Snow/Rain</v>
      </c>
      <c r="S255">
        <f t="shared" si="13"/>
        <v>-0.25435329828790432</v>
      </c>
      <c r="T255">
        <f t="shared" si="14"/>
        <v>0.10399668008577614</v>
      </c>
      <c r="U255" s="6">
        <v>0.16</v>
      </c>
      <c r="V255">
        <f t="array" ref="V255">CORREL(IFERROR(VALUE(TRIM(CLEAN($U$2:$U$1001))),0), IFERROR(VALUE(TRIM(CLEAN($P$2:$P$1001))),0))</f>
        <v>0.23135628536430677</v>
      </c>
    </row>
    <row r="256" spans="1:22" x14ac:dyDescent="0.25">
      <c r="A256">
        <v>255</v>
      </c>
      <c r="B256" s="1">
        <v>40554</v>
      </c>
      <c r="C256">
        <v>1</v>
      </c>
      <c r="D256">
        <v>0</v>
      </c>
      <c r="E256">
        <v>1</v>
      </c>
      <c r="F256">
        <v>23</v>
      </c>
      <c r="G256" t="b">
        <v>0</v>
      </c>
      <c r="H256">
        <v>2</v>
      </c>
      <c r="I256">
        <v>3</v>
      </c>
      <c r="J256">
        <v>0.16</v>
      </c>
      <c r="K256">
        <v>0.19700000000000001</v>
      </c>
      <c r="L256">
        <v>0.93</v>
      </c>
      <c r="M256">
        <v>8.9599999999999999E-2</v>
      </c>
      <c r="N256">
        <v>1</v>
      </c>
      <c r="O256">
        <v>18</v>
      </c>
      <c r="P256">
        <v>19</v>
      </c>
      <c r="Q256" t="str">
        <f t="shared" si="15"/>
        <v>Weekday</v>
      </c>
      <c r="R256" t="str">
        <f t="shared" si="12"/>
        <v>Light Snow/Rain</v>
      </c>
      <c r="S256">
        <f t="shared" si="13"/>
        <v>-0.25435329828790432</v>
      </c>
      <c r="T256">
        <f t="shared" si="14"/>
        <v>0.10399668008577614</v>
      </c>
      <c r="U256" s="6">
        <v>0.16</v>
      </c>
      <c r="V256">
        <f t="array" ref="V256">CORREL(IFERROR(VALUE(TRIM(CLEAN($U$2:$U$1001))),0), IFERROR(VALUE(TRIM(CLEAN($P$2:$P$1001))),0))</f>
        <v>0.23135628536430677</v>
      </c>
    </row>
    <row r="257" spans="1:22" x14ac:dyDescent="0.25">
      <c r="A257">
        <v>256</v>
      </c>
      <c r="B257" s="1">
        <v>40555</v>
      </c>
      <c r="C257">
        <v>1</v>
      </c>
      <c r="D257">
        <v>0</v>
      </c>
      <c r="E257">
        <v>1</v>
      </c>
      <c r="F257">
        <v>0</v>
      </c>
      <c r="G257" t="b">
        <v>0</v>
      </c>
      <c r="H257">
        <v>3</v>
      </c>
      <c r="I257">
        <v>2</v>
      </c>
      <c r="J257">
        <v>0.16</v>
      </c>
      <c r="K257">
        <v>0.19700000000000001</v>
      </c>
      <c r="L257">
        <v>0.86</v>
      </c>
      <c r="M257">
        <v>8.9599999999999999E-2</v>
      </c>
      <c r="N257">
        <v>0</v>
      </c>
      <c r="O257">
        <v>7</v>
      </c>
      <c r="P257">
        <v>7</v>
      </c>
      <c r="Q257" t="str">
        <f t="shared" si="15"/>
        <v>Weekday</v>
      </c>
      <c r="R257" t="str">
        <f t="shared" si="12"/>
        <v>Mist/Cloudy</v>
      </c>
      <c r="S257">
        <f t="shared" si="13"/>
        <v>-0.25435329828790432</v>
      </c>
      <c r="T257">
        <f t="shared" si="14"/>
        <v>0.10399668008577614</v>
      </c>
      <c r="U257" s="6">
        <v>0.16</v>
      </c>
      <c r="V257">
        <f t="array" ref="V257">CORREL(IFERROR(VALUE(TRIM(CLEAN($U$2:$U$1001))),0), IFERROR(VALUE(TRIM(CLEAN($P$2:$P$1001))),0))</f>
        <v>0.23135628536430677</v>
      </c>
    </row>
    <row r="258" spans="1:22" x14ac:dyDescent="0.25">
      <c r="A258">
        <v>257</v>
      </c>
      <c r="B258" s="1">
        <v>40555</v>
      </c>
      <c r="C258">
        <v>1</v>
      </c>
      <c r="D258">
        <v>0</v>
      </c>
      <c r="E258">
        <v>1</v>
      </c>
      <c r="F258">
        <v>1</v>
      </c>
      <c r="G258" t="b">
        <v>0</v>
      </c>
      <c r="H258">
        <v>3</v>
      </c>
      <c r="I258">
        <v>2</v>
      </c>
      <c r="J258">
        <v>0.16</v>
      </c>
      <c r="K258">
        <v>0.18179999999999999</v>
      </c>
      <c r="L258">
        <v>0.86</v>
      </c>
      <c r="M258">
        <v>0.1045</v>
      </c>
      <c r="N258">
        <v>0</v>
      </c>
      <c r="O258">
        <v>6</v>
      </c>
      <c r="P258">
        <v>6</v>
      </c>
      <c r="Q258" t="str">
        <f t="shared" si="15"/>
        <v>Weekday</v>
      </c>
      <c r="R258" t="str">
        <f t="shared" ref="R258:R321" si="16">IF(I258=1, "Clear", IF(I258=2, "Mist/Cloudy", IF(I258=3, "Light Snow/Rain", "Heavy Rain")))</f>
        <v>Mist/Cloudy</v>
      </c>
      <c r="S258">
        <f t="shared" ref="S258:S321" si="17">CORREL($L$2:$L$1001, $P$2:$P$1001)</f>
        <v>-0.25435329828790432</v>
      </c>
      <c r="T258">
        <f t="shared" ref="T258:T321" si="18">CORREL($M$2:$M$1001, $P$2:$P$1001)</f>
        <v>0.10399668008577614</v>
      </c>
      <c r="U258" s="6">
        <v>0.16</v>
      </c>
      <c r="V258">
        <f t="array" ref="V258">CORREL(IFERROR(VALUE(TRIM(CLEAN($U$2:$U$1001))),0), IFERROR(VALUE(TRIM(CLEAN($P$2:$P$1001))),0))</f>
        <v>0.23135628536430677</v>
      </c>
    </row>
    <row r="259" spans="1:22" x14ac:dyDescent="0.25">
      <c r="A259">
        <v>258</v>
      </c>
      <c r="B259" s="1">
        <v>40555</v>
      </c>
      <c r="C259">
        <v>1</v>
      </c>
      <c r="D259">
        <v>0</v>
      </c>
      <c r="E259">
        <v>1</v>
      </c>
      <c r="F259">
        <v>2</v>
      </c>
      <c r="G259" t="b">
        <v>0</v>
      </c>
      <c r="H259">
        <v>3</v>
      </c>
      <c r="I259">
        <v>1</v>
      </c>
      <c r="J259">
        <v>0.14000000000000001</v>
      </c>
      <c r="K259">
        <v>0.1515</v>
      </c>
      <c r="L259">
        <v>0.86</v>
      </c>
      <c r="M259">
        <v>0.1343</v>
      </c>
      <c r="N259">
        <v>0</v>
      </c>
      <c r="O259">
        <v>1</v>
      </c>
      <c r="P259">
        <v>1</v>
      </c>
      <c r="Q259" t="str">
        <f t="shared" ref="Q259:Q322" si="19">IF(WEEKDAY(A259,2)&gt;5,"Weekend","Weekday")</f>
        <v>Weekday</v>
      </c>
      <c r="R259" t="str">
        <f t="shared" si="16"/>
        <v>Clear</v>
      </c>
      <c r="S259">
        <f t="shared" si="17"/>
        <v>-0.25435329828790432</v>
      </c>
      <c r="T259">
        <f t="shared" si="18"/>
        <v>0.10399668008577614</v>
      </c>
      <c r="U259" s="6">
        <v>0.14000000000000001</v>
      </c>
      <c r="V259">
        <f t="array" ref="V259">CORREL(IFERROR(VALUE(TRIM(CLEAN($U$2:$U$1001))),0), IFERROR(VALUE(TRIM(CLEAN($P$2:$P$1001))),0))</f>
        <v>0.23135628536430677</v>
      </c>
    </row>
    <row r="260" spans="1:22" x14ac:dyDescent="0.25">
      <c r="A260">
        <v>259</v>
      </c>
      <c r="B260" s="1">
        <v>40555</v>
      </c>
      <c r="C260">
        <v>1</v>
      </c>
      <c r="D260">
        <v>0</v>
      </c>
      <c r="E260">
        <v>1</v>
      </c>
      <c r="F260">
        <v>5</v>
      </c>
      <c r="G260" t="b">
        <v>0</v>
      </c>
      <c r="H260">
        <v>3</v>
      </c>
      <c r="I260">
        <v>1</v>
      </c>
      <c r="J260">
        <v>0.14000000000000001</v>
      </c>
      <c r="K260">
        <v>0.1515</v>
      </c>
      <c r="L260">
        <v>0.86</v>
      </c>
      <c r="M260">
        <v>0.16420000000000001</v>
      </c>
      <c r="N260">
        <v>0</v>
      </c>
      <c r="O260">
        <v>5</v>
      </c>
      <c r="P260">
        <v>5</v>
      </c>
      <c r="Q260" t="str">
        <f t="shared" si="19"/>
        <v>Weekend</v>
      </c>
      <c r="R260" t="str">
        <f t="shared" si="16"/>
        <v>Clear</v>
      </c>
      <c r="S260">
        <f t="shared" si="17"/>
        <v>-0.25435329828790432</v>
      </c>
      <c r="T260">
        <f t="shared" si="18"/>
        <v>0.10399668008577614</v>
      </c>
      <c r="U260" s="6">
        <v>0.14000000000000001</v>
      </c>
      <c r="V260">
        <f t="array" ref="V260">CORREL(IFERROR(VALUE(TRIM(CLEAN($U$2:$U$1001))),0), IFERROR(VALUE(TRIM(CLEAN($P$2:$P$1001))),0))</f>
        <v>0.23135628536430677</v>
      </c>
    </row>
    <row r="261" spans="1:22" x14ac:dyDescent="0.25">
      <c r="A261">
        <v>260</v>
      </c>
      <c r="B261" s="1">
        <v>40555</v>
      </c>
      <c r="C261">
        <v>1</v>
      </c>
      <c r="D261">
        <v>0</v>
      </c>
      <c r="E261">
        <v>1</v>
      </c>
      <c r="F261">
        <v>6</v>
      </c>
      <c r="G261" t="b">
        <v>0</v>
      </c>
      <c r="H261">
        <v>3</v>
      </c>
      <c r="I261">
        <v>1</v>
      </c>
      <c r="J261">
        <v>0.12</v>
      </c>
      <c r="K261">
        <v>0.1515</v>
      </c>
      <c r="L261">
        <v>0.93</v>
      </c>
      <c r="M261">
        <v>0.1343</v>
      </c>
      <c r="N261">
        <v>0</v>
      </c>
      <c r="O261">
        <v>16</v>
      </c>
      <c r="P261">
        <v>16</v>
      </c>
      <c r="Q261" t="str">
        <f t="shared" si="19"/>
        <v>Weekend</v>
      </c>
      <c r="R261" t="str">
        <f t="shared" si="16"/>
        <v>Clear</v>
      </c>
      <c r="S261">
        <f t="shared" si="17"/>
        <v>-0.25435329828790432</v>
      </c>
      <c r="T261">
        <f t="shared" si="18"/>
        <v>0.10399668008577614</v>
      </c>
      <c r="U261" s="6">
        <v>0.12</v>
      </c>
      <c r="V261">
        <f t="array" ref="V261">CORREL(IFERROR(VALUE(TRIM(CLEAN($U$2:$U$1001))),0), IFERROR(VALUE(TRIM(CLEAN($P$2:$P$1001))),0))</f>
        <v>0.23135628536430677</v>
      </c>
    </row>
    <row r="262" spans="1:22" x14ac:dyDescent="0.25">
      <c r="A262">
        <v>261</v>
      </c>
      <c r="B262" s="1">
        <v>40555</v>
      </c>
      <c r="C262">
        <v>1</v>
      </c>
      <c r="D262">
        <v>0</v>
      </c>
      <c r="E262">
        <v>1</v>
      </c>
      <c r="F262">
        <v>7</v>
      </c>
      <c r="G262" t="b">
        <v>0</v>
      </c>
      <c r="H262">
        <v>3</v>
      </c>
      <c r="I262">
        <v>1</v>
      </c>
      <c r="J262">
        <v>0.14000000000000001</v>
      </c>
      <c r="K262">
        <v>0.1515</v>
      </c>
      <c r="L262">
        <v>0.69</v>
      </c>
      <c r="M262">
        <v>0.1343</v>
      </c>
      <c r="N262">
        <v>0</v>
      </c>
      <c r="O262">
        <v>54</v>
      </c>
      <c r="P262">
        <v>54</v>
      </c>
      <c r="Q262" t="str">
        <f t="shared" si="19"/>
        <v>Weekday</v>
      </c>
      <c r="R262" t="str">
        <f t="shared" si="16"/>
        <v>Clear</v>
      </c>
      <c r="S262">
        <f t="shared" si="17"/>
        <v>-0.25435329828790432</v>
      </c>
      <c r="T262">
        <f t="shared" si="18"/>
        <v>0.10399668008577614</v>
      </c>
      <c r="U262" s="6">
        <v>0.14000000000000001</v>
      </c>
      <c r="V262">
        <f t="array" ref="V262">CORREL(IFERROR(VALUE(TRIM(CLEAN($U$2:$U$1001))),0), IFERROR(VALUE(TRIM(CLEAN($P$2:$P$1001))),0))</f>
        <v>0.23135628536430677</v>
      </c>
    </row>
    <row r="263" spans="1:22" x14ac:dyDescent="0.25">
      <c r="A263">
        <v>262</v>
      </c>
      <c r="B263" s="1">
        <v>40555</v>
      </c>
      <c r="C263">
        <v>1</v>
      </c>
      <c r="D263">
        <v>0</v>
      </c>
      <c r="E263">
        <v>1</v>
      </c>
      <c r="F263">
        <v>8</v>
      </c>
      <c r="G263" t="b">
        <v>0</v>
      </c>
      <c r="H263">
        <v>3</v>
      </c>
      <c r="I263">
        <v>1</v>
      </c>
      <c r="J263">
        <v>0.16</v>
      </c>
      <c r="K263">
        <v>0.16669999999999999</v>
      </c>
      <c r="L263">
        <v>0.59</v>
      </c>
      <c r="M263">
        <v>0.16420000000000001</v>
      </c>
      <c r="N263">
        <v>3</v>
      </c>
      <c r="O263">
        <v>125</v>
      </c>
      <c r="P263">
        <v>128</v>
      </c>
      <c r="Q263" t="str">
        <f t="shared" si="19"/>
        <v>Weekday</v>
      </c>
      <c r="R263" t="str">
        <f t="shared" si="16"/>
        <v>Clear</v>
      </c>
      <c r="S263">
        <f t="shared" si="17"/>
        <v>-0.25435329828790432</v>
      </c>
      <c r="T263">
        <f t="shared" si="18"/>
        <v>0.10399668008577614</v>
      </c>
      <c r="U263" s="6">
        <v>0.16</v>
      </c>
      <c r="V263">
        <f t="array" ref="V263">CORREL(IFERROR(VALUE(TRIM(CLEAN($U$2:$U$1001))),0), IFERROR(VALUE(TRIM(CLEAN($P$2:$P$1001))),0))</f>
        <v>0.23135628536430677</v>
      </c>
    </row>
    <row r="264" spans="1:22" x14ac:dyDescent="0.25">
      <c r="A264">
        <v>263</v>
      </c>
      <c r="B264" s="1">
        <v>40555</v>
      </c>
      <c r="C264">
        <v>1</v>
      </c>
      <c r="D264">
        <v>0</v>
      </c>
      <c r="E264">
        <v>1</v>
      </c>
      <c r="F264">
        <v>9</v>
      </c>
      <c r="G264" t="b">
        <v>0</v>
      </c>
      <c r="H264">
        <v>3</v>
      </c>
      <c r="I264">
        <v>1</v>
      </c>
      <c r="J264">
        <v>0.16</v>
      </c>
      <c r="K264">
        <v>0.13639999999999999</v>
      </c>
      <c r="L264">
        <v>0.59</v>
      </c>
      <c r="M264">
        <v>0.32840000000000003</v>
      </c>
      <c r="N264">
        <v>3</v>
      </c>
      <c r="O264">
        <v>78</v>
      </c>
      <c r="P264">
        <v>81</v>
      </c>
      <c r="Q264" t="str">
        <f t="shared" si="19"/>
        <v>Weekday</v>
      </c>
      <c r="R264" t="str">
        <f t="shared" si="16"/>
        <v>Clear</v>
      </c>
      <c r="S264">
        <f t="shared" si="17"/>
        <v>-0.25435329828790432</v>
      </c>
      <c r="T264">
        <f t="shared" si="18"/>
        <v>0.10399668008577614</v>
      </c>
      <c r="U264" s="6">
        <v>0.16</v>
      </c>
      <c r="V264">
        <f t="array" ref="V264">CORREL(IFERROR(VALUE(TRIM(CLEAN($U$2:$U$1001))),0), IFERROR(VALUE(TRIM(CLEAN($P$2:$P$1001))),0))</f>
        <v>0.23135628536430677</v>
      </c>
    </row>
    <row r="265" spans="1:22" x14ac:dyDescent="0.25">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c r="Q265" t="str">
        <f t="shared" si="19"/>
        <v>Weekday</v>
      </c>
      <c r="R265" t="str">
        <f t="shared" si="16"/>
        <v>Clear</v>
      </c>
      <c r="S265">
        <f t="shared" si="17"/>
        <v>-0.25435329828790432</v>
      </c>
      <c r="T265">
        <f t="shared" si="18"/>
        <v>0.10399668008577614</v>
      </c>
      <c r="U265" s="6">
        <v>0.18</v>
      </c>
      <c r="V265">
        <f t="array" ref="V265">CORREL(IFERROR(VALUE(TRIM(CLEAN($U$2:$U$1001))),0), IFERROR(VALUE(TRIM(CLEAN($P$2:$P$1001))),0))</f>
        <v>0.23135628536430677</v>
      </c>
    </row>
    <row r="266" spans="1:22" x14ac:dyDescent="0.25">
      <c r="A266">
        <v>265</v>
      </c>
      <c r="B266" s="1">
        <v>40555</v>
      </c>
      <c r="C266">
        <v>1</v>
      </c>
      <c r="D266">
        <v>0</v>
      </c>
      <c r="E266">
        <v>1</v>
      </c>
      <c r="F266">
        <v>11</v>
      </c>
      <c r="G266" t="b">
        <v>0</v>
      </c>
      <c r="H266">
        <v>3</v>
      </c>
      <c r="I266">
        <v>1</v>
      </c>
      <c r="J266">
        <v>0.2</v>
      </c>
      <c r="K266">
        <v>0.18179999999999999</v>
      </c>
      <c r="L266">
        <v>0.51</v>
      </c>
      <c r="M266">
        <v>0.3881</v>
      </c>
      <c r="N266">
        <v>3</v>
      </c>
      <c r="O266">
        <v>32</v>
      </c>
      <c r="P266">
        <v>35</v>
      </c>
      <c r="Q266" t="str">
        <f t="shared" si="19"/>
        <v>Weekday</v>
      </c>
      <c r="R266" t="str">
        <f t="shared" si="16"/>
        <v>Clear</v>
      </c>
      <c r="S266">
        <f t="shared" si="17"/>
        <v>-0.25435329828790432</v>
      </c>
      <c r="T266">
        <f t="shared" si="18"/>
        <v>0.10399668008577614</v>
      </c>
      <c r="U266" s="6">
        <v>0.2</v>
      </c>
      <c r="V266">
        <f t="array" ref="V266">CORREL(IFERROR(VALUE(TRIM(CLEAN($U$2:$U$1001))),0), IFERROR(VALUE(TRIM(CLEAN($P$2:$P$1001))),0))</f>
        <v>0.23135628536430677</v>
      </c>
    </row>
    <row r="267" spans="1:22" x14ac:dyDescent="0.25">
      <c r="A267">
        <v>266</v>
      </c>
      <c r="B267" s="1">
        <v>40555</v>
      </c>
      <c r="C267">
        <v>1</v>
      </c>
      <c r="D267">
        <v>0</v>
      </c>
      <c r="E267">
        <v>1</v>
      </c>
      <c r="F267">
        <v>12</v>
      </c>
      <c r="G267" t="b">
        <v>0</v>
      </c>
      <c r="H267">
        <v>3</v>
      </c>
      <c r="I267">
        <v>1</v>
      </c>
      <c r="J267">
        <v>0.2</v>
      </c>
      <c r="K267">
        <v>0.1515</v>
      </c>
      <c r="L267">
        <v>0.47</v>
      </c>
      <c r="M267">
        <v>0.58209999999999995</v>
      </c>
      <c r="N267">
        <v>3</v>
      </c>
      <c r="O267">
        <v>52</v>
      </c>
      <c r="P267">
        <v>55</v>
      </c>
      <c r="Q267" t="str">
        <f t="shared" si="19"/>
        <v>Weekend</v>
      </c>
      <c r="R267" t="str">
        <f t="shared" si="16"/>
        <v>Clear</v>
      </c>
      <c r="S267">
        <f t="shared" si="17"/>
        <v>-0.25435329828790432</v>
      </c>
      <c r="T267">
        <f t="shared" si="18"/>
        <v>0.10399668008577614</v>
      </c>
      <c r="U267" s="6">
        <v>0.2</v>
      </c>
      <c r="V267">
        <f t="array" ref="V267">CORREL(IFERROR(VALUE(TRIM(CLEAN($U$2:$U$1001))),0), IFERROR(VALUE(TRIM(CLEAN($P$2:$P$1001))),0))</f>
        <v>0.23135628536430677</v>
      </c>
    </row>
    <row r="268" spans="1:22" x14ac:dyDescent="0.25">
      <c r="A268">
        <v>267</v>
      </c>
      <c r="B268" s="1">
        <v>40555</v>
      </c>
      <c r="C268">
        <v>1</v>
      </c>
      <c r="D268">
        <v>0</v>
      </c>
      <c r="E268">
        <v>1</v>
      </c>
      <c r="F268">
        <v>13</v>
      </c>
      <c r="G268" t="b">
        <v>0</v>
      </c>
      <c r="H268">
        <v>3</v>
      </c>
      <c r="I268">
        <v>1</v>
      </c>
      <c r="J268">
        <v>0.22</v>
      </c>
      <c r="K268">
        <v>0.19700000000000001</v>
      </c>
      <c r="L268">
        <v>0.44</v>
      </c>
      <c r="M268">
        <v>0.35820000000000002</v>
      </c>
      <c r="N268">
        <v>0</v>
      </c>
      <c r="O268">
        <v>49</v>
      </c>
      <c r="P268">
        <v>49</v>
      </c>
      <c r="Q268" t="str">
        <f t="shared" si="19"/>
        <v>Weekend</v>
      </c>
      <c r="R268" t="str">
        <f t="shared" si="16"/>
        <v>Clear</v>
      </c>
      <c r="S268">
        <f t="shared" si="17"/>
        <v>-0.25435329828790432</v>
      </c>
      <c r="T268">
        <f t="shared" si="18"/>
        <v>0.10399668008577614</v>
      </c>
      <c r="U268" s="6">
        <v>0.22</v>
      </c>
      <c r="V268">
        <f t="array" ref="V268">CORREL(IFERROR(VALUE(TRIM(CLEAN($U$2:$U$1001))),0), IFERROR(VALUE(TRIM(CLEAN($P$2:$P$1001))),0))</f>
        <v>0.23135628536430677</v>
      </c>
    </row>
    <row r="269" spans="1:22" x14ac:dyDescent="0.25">
      <c r="A269">
        <v>268</v>
      </c>
      <c r="B269" s="1">
        <v>40555</v>
      </c>
      <c r="C269">
        <v>1</v>
      </c>
      <c r="D269">
        <v>0</v>
      </c>
      <c r="E269">
        <v>1</v>
      </c>
      <c r="F269">
        <v>14</v>
      </c>
      <c r="G269" t="b">
        <v>0</v>
      </c>
      <c r="H269">
        <v>3</v>
      </c>
      <c r="I269">
        <v>1</v>
      </c>
      <c r="J269">
        <v>0.2</v>
      </c>
      <c r="K269">
        <v>0.18179999999999999</v>
      </c>
      <c r="L269">
        <v>0.47</v>
      </c>
      <c r="M269">
        <v>0.32840000000000003</v>
      </c>
      <c r="N269">
        <v>0</v>
      </c>
      <c r="O269">
        <v>44</v>
      </c>
      <c r="P269">
        <v>44</v>
      </c>
      <c r="Q269" t="str">
        <f t="shared" si="19"/>
        <v>Weekday</v>
      </c>
      <c r="R269" t="str">
        <f t="shared" si="16"/>
        <v>Clear</v>
      </c>
      <c r="S269">
        <f t="shared" si="17"/>
        <v>-0.25435329828790432</v>
      </c>
      <c r="T269">
        <f t="shared" si="18"/>
        <v>0.10399668008577614</v>
      </c>
      <c r="U269" s="6">
        <v>0.2</v>
      </c>
      <c r="V269">
        <f t="array" ref="V269">CORREL(IFERROR(VALUE(TRIM(CLEAN($U$2:$U$1001))),0), IFERROR(VALUE(TRIM(CLEAN($P$2:$P$1001))),0))</f>
        <v>0.23135628536430677</v>
      </c>
    </row>
    <row r="270" spans="1:22" x14ac:dyDescent="0.25">
      <c r="A270">
        <v>269</v>
      </c>
      <c r="B270" s="1">
        <v>40555</v>
      </c>
      <c r="C270">
        <v>1</v>
      </c>
      <c r="D270">
        <v>0</v>
      </c>
      <c r="E270">
        <v>1</v>
      </c>
      <c r="F270">
        <v>15</v>
      </c>
      <c r="G270" t="b">
        <v>0</v>
      </c>
      <c r="H270">
        <v>3</v>
      </c>
      <c r="I270">
        <v>1</v>
      </c>
      <c r="J270">
        <v>0.2</v>
      </c>
      <c r="K270">
        <v>0.16669999999999999</v>
      </c>
      <c r="L270">
        <v>0.47</v>
      </c>
      <c r="M270">
        <v>0.41789999999999999</v>
      </c>
      <c r="N270">
        <v>1</v>
      </c>
      <c r="O270">
        <v>48</v>
      </c>
      <c r="P270">
        <v>49</v>
      </c>
      <c r="Q270" t="str">
        <f t="shared" si="19"/>
        <v>Weekday</v>
      </c>
      <c r="R270" t="str">
        <f t="shared" si="16"/>
        <v>Clear</v>
      </c>
      <c r="S270">
        <f t="shared" si="17"/>
        <v>-0.25435329828790432</v>
      </c>
      <c r="T270">
        <f t="shared" si="18"/>
        <v>0.10399668008577614</v>
      </c>
      <c r="U270" s="6">
        <v>0.2</v>
      </c>
      <c r="V270">
        <f t="array" ref="V270">CORREL(IFERROR(VALUE(TRIM(CLEAN($U$2:$U$1001))),0), IFERROR(VALUE(TRIM(CLEAN($P$2:$P$1001))),0))</f>
        <v>0.23135628536430677</v>
      </c>
    </row>
    <row r="271" spans="1:22" x14ac:dyDescent="0.25">
      <c r="A271">
        <v>270</v>
      </c>
      <c r="B271" s="1">
        <v>40555</v>
      </c>
      <c r="C271">
        <v>1</v>
      </c>
      <c r="D271">
        <v>0</v>
      </c>
      <c r="E271">
        <v>1</v>
      </c>
      <c r="F271">
        <v>16</v>
      </c>
      <c r="G271" t="b">
        <v>0</v>
      </c>
      <c r="H271">
        <v>3</v>
      </c>
      <c r="I271">
        <v>1</v>
      </c>
      <c r="J271">
        <v>0.22</v>
      </c>
      <c r="K271">
        <v>0.19700000000000001</v>
      </c>
      <c r="L271">
        <v>0.44</v>
      </c>
      <c r="M271">
        <v>0.32840000000000003</v>
      </c>
      <c r="N271">
        <v>5</v>
      </c>
      <c r="O271">
        <v>63</v>
      </c>
      <c r="P271">
        <v>68</v>
      </c>
      <c r="Q271" t="str">
        <f t="shared" si="19"/>
        <v>Weekday</v>
      </c>
      <c r="R271" t="str">
        <f t="shared" si="16"/>
        <v>Clear</v>
      </c>
      <c r="S271">
        <f t="shared" si="17"/>
        <v>-0.25435329828790432</v>
      </c>
      <c r="T271">
        <f t="shared" si="18"/>
        <v>0.10399668008577614</v>
      </c>
      <c r="U271" s="6">
        <v>0.22</v>
      </c>
      <c r="V271">
        <f t="array" ref="V271">CORREL(IFERROR(VALUE(TRIM(CLEAN($U$2:$U$1001))),0), IFERROR(VALUE(TRIM(CLEAN($P$2:$P$1001))),0))</f>
        <v>0.23135628536430677</v>
      </c>
    </row>
    <row r="272" spans="1:22" x14ac:dyDescent="0.25">
      <c r="A272">
        <v>271</v>
      </c>
      <c r="B272" s="1">
        <v>40555</v>
      </c>
      <c r="C272">
        <v>1</v>
      </c>
      <c r="D272">
        <v>0</v>
      </c>
      <c r="E272">
        <v>1</v>
      </c>
      <c r="F272">
        <v>17</v>
      </c>
      <c r="G272" t="b">
        <v>0</v>
      </c>
      <c r="H272">
        <v>3</v>
      </c>
      <c r="I272">
        <v>1</v>
      </c>
      <c r="J272">
        <v>0.2</v>
      </c>
      <c r="K272">
        <v>0.18179999999999999</v>
      </c>
      <c r="L272">
        <v>0.47</v>
      </c>
      <c r="M272">
        <v>0.35820000000000002</v>
      </c>
      <c r="N272">
        <v>0</v>
      </c>
      <c r="O272">
        <v>139</v>
      </c>
      <c r="P272">
        <v>139</v>
      </c>
      <c r="Q272" t="str">
        <f t="shared" si="19"/>
        <v>Weekday</v>
      </c>
      <c r="R272" t="str">
        <f t="shared" si="16"/>
        <v>Clear</v>
      </c>
      <c r="S272">
        <f t="shared" si="17"/>
        <v>-0.25435329828790432</v>
      </c>
      <c r="T272">
        <f t="shared" si="18"/>
        <v>0.10399668008577614</v>
      </c>
      <c r="U272" s="6">
        <v>0.2</v>
      </c>
      <c r="V272">
        <f t="array" ref="V272">CORREL(IFERROR(VALUE(TRIM(CLEAN($U$2:$U$1001))),0), IFERROR(VALUE(TRIM(CLEAN($P$2:$P$1001))),0))</f>
        <v>0.23135628536430677</v>
      </c>
    </row>
    <row r="273" spans="1:22" x14ac:dyDescent="0.25">
      <c r="A273">
        <v>272</v>
      </c>
      <c r="B273" s="1">
        <v>40555</v>
      </c>
      <c r="C273">
        <v>1</v>
      </c>
      <c r="D273">
        <v>0</v>
      </c>
      <c r="E273">
        <v>1</v>
      </c>
      <c r="F273">
        <v>18</v>
      </c>
      <c r="G273" t="b">
        <v>0</v>
      </c>
      <c r="H273">
        <v>3</v>
      </c>
      <c r="I273">
        <v>1</v>
      </c>
      <c r="J273">
        <v>0.2</v>
      </c>
      <c r="K273">
        <v>0.1515</v>
      </c>
      <c r="L273">
        <v>0.47</v>
      </c>
      <c r="M273">
        <v>0.52239999999999998</v>
      </c>
      <c r="N273">
        <v>2</v>
      </c>
      <c r="O273">
        <v>135</v>
      </c>
      <c r="P273">
        <v>137</v>
      </c>
      <c r="Q273" t="str">
        <f t="shared" si="19"/>
        <v>Weekday</v>
      </c>
      <c r="R273" t="str">
        <f t="shared" si="16"/>
        <v>Clear</v>
      </c>
      <c r="S273">
        <f t="shared" si="17"/>
        <v>-0.25435329828790432</v>
      </c>
      <c r="T273">
        <f t="shared" si="18"/>
        <v>0.10399668008577614</v>
      </c>
      <c r="U273" s="6">
        <v>0.2</v>
      </c>
      <c r="V273">
        <f t="array" ref="V273">CORREL(IFERROR(VALUE(TRIM(CLEAN($U$2:$U$1001))),0), IFERROR(VALUE(TRIM(CLEAN($P$2:$P$1001))),0))</f>
        <v>0.23135628536430677</v>
      </c>
    </row>
    <row r="274" spans="1:22" x14ac:dyDescent="0.25">
      <c r="A274">
        <v>273</v>
      </c>
      <c r="B274" s="1">
        <v>40555</v>
      </c>
      <c r="C274">
        <v>1</v>
      </c>
      <c r="D274">
        <v>0</v>
      </c>
      <c r="E274">
        <v>1</v>
      </c>
      <c r="F274">
        <v>19</v>
      </c>
      <c r="G274" t="b">
        <v>0</v>
      </c>
      <c r="H274">
        <v>3</v>
      </c>
      <c r="I274">
        <v>1</v>
      </c>
      <c r="J274">
        <v>0.18</v>
      </c>
      <c r="K274">
        <v>0.1515</v>
      </c>
      <c r="L274">
        <v>0.47</v>
      </c>
      <c r="M274">
        <v>0.41789999999999999</v>
      </c>
      <c r="N274">
        <v>1</v>
      </c>
      <c r="O274">
        <v>82</v>
      </c>
      <c r="P274">
        <v>83</v>
      </c>
      <c r="Q274" t="str">
        <f t="shared" si="19"/>
        <v>Weekend</v>
      </c>
      <c r="R274" t="str">
        <f t="shared" si="16"/>
        <v>Clear</v>
      </c>
      <c r="S274">
        <f t="shared" si="17"/>
        <v>-0.25435329828790432</v>
      </c>
      <c r="T274">
        <f t="shared" si="18"/>
        <v>0.10399668008577614</v>
      </c>
      <c r="U274" s="6">
        <v>0.18</v>
      </c>
      <c r="V274">
        <f t="array" ref="V274">CORREL(IFERROR(VALUE(TRIM(CLEAN($U$2:$U$1001))),0), IFERROR(VALUE(TRIM(CLEAN($P$2:$P$1001))),0))</f>
        <v>0.23135628536430677</v>
      </c>
    </row>
    <row r="275" spans="1:22" x14ac:dyDescent="0.25">
      <c r="A275">
        <v>274</v>
      </c>
      <c r="B275" s="1">
        <v>40555</v>
      </c>
      <c r="C275">
        <v>1</v>
      </c>
      <c r="D275">
        <v>0</v>
      </c>
      <c r="E275">
        <v>1</v>
      </c>
      <c r="F275">
        <v>20</v>
      </c>
      <c r="G275" t="b">
        <v>0</v>
      </c>
      <c r="H275">
        <v>3</v>
      </c>
      <c r="I275">
        <v>1</v>
      </c>
      <c r="J275">
        <v>0.16</v>
      </c>
      <c r="K275">
        <v>0.13639999999999999</v>
      </c>
      <c r="L275">
        <v>0.5</v>
      </c>
      <c r="M275">
        <v>0.32840000000000003</v>
      </c>
      <c r="N275">
        <v>2</v>
      </c>
      <c r="O275">
        <v>54</v>
      </c>
      <c r="P275">
        <v>56</v>
      </c>
      <c r="Q275" t="str">
        <f t="shared" si="19"/>
        <v>Weekend</v>
      </c>
      <c r="R275" t="str">
        <f t="shared" si="16"/>
        <v>Clear</v>
      </c>
      <c r="S275">
        <f t="shared" si="17"/>
        <v>-0.25435329828790432</v>
      </c>
      <c r="T275">
        <f t="shared" si="18"/>
        <v>0.10399668008577614</v>
      </c>
      <c r="U275" s="6">
        <v>0.16</v>
      </c>
      <c r="V275">
        <f t="array" ref="V275">CORREL(IFERROR(VALUE(TRIM(CLEAN($U$2:$U$1001))),0), IFERROR(VALUE(TRIM(CLEAN($P$2:$P$1001))),0))</f>
        <v>0.23135628536430677</v>
      </c>
    </row>
    <row r="276" spans="1:22" x14ac:dyDescent="0.25">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c r="Q276" t="str">
        <f t="shared" si="19"/>
        <v>Weekday</v>
      </c>
      <c r="R276" t="str">
        <f t="shared" si="16"/>
        <v>Clear</v>
      </c>
      <c r="S276">
        <f t="shared" si="17"/>
        <v>-0.25435329828790432</v>
      </c>
      <c r="T276">
        <f t="shared" si="18"/>
        <v>0.10399668008577614</v>
      </c>
      <c r="U276" s="6">
        <v>0.16</v>
      </c>
      <c r="V276">
        <f t="array" ref="V276">CORREL(IFERROR(VALUE(TRIM(CLEAN($U$2:$U$1001))),0), IFERROR(VALUE(TRIM(CLEAN($P$2:$P$1001))),0))</f>
        <v>0.23135628536430677</v>
      </c>
    </row>
    <row r="277" spans="1:22" x14ac:dyDescent="0.25">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c r="Q277" t="str">
        <f t="shared" si="19"/>
        <v>Weekday</v>
      </c>
      <c r="R277" t="str">
        <f t="shared" si="16"/>
        <v>Clear</v>
      </c>
      <c r="S277">
        <f t="shared" si="17"/>
        <v>-0.25435329828790432</v>
      </c>
      <c r="T277">
        <f t="shared" si="18"/>
        <v>0.10399668008577614</v>
      </c>
      <c r="U277" s="6">
        <v>0.16</v>
      </c>
      <c r="V277">
        <f t="array" ref="V277">CORREL(IFERROR(VALUE(TRIM(CLEAN($U$2:$U$1001))),0), IFERROR(VALUE(TRIM(CLEAN($P$2:$P$1001))),0))</f>
        <v>0.23135628536430677</v>
      </c>
    </row>
    <row r="278" spans="1:22" x14ac:dyDescent="0.25">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c r="Q278" t="str">
        <f t="shared" si="19"/>
        <v>Weekday</v>
      </c>
      <c r="R278" t="str">
        <f t="shared" si="16"/>
        <v>Clear</v>
      </c>
      <c r="S278">
        <f t="shared" si="17"/>
        <v>-0.25435329828790432</v>
      </c>
      <c r="T278">
        <f t="shared" si="18"/>
        <v>0.10399668008577614</v>
      </c>
      <c r="U278" s="6">
        <v>0.14000000000000001</v>
      </c>
      <c r="V278">
        <f t="array" ref="V278">CORREL(IFERROR(VALUE(TRIM(CLEAN($U$2:$U$1001))),0), IFERROR(VALUE(TRIM(CLEAN($P$2:$P$1001))),0))</f>
        <v>0.23135628536430677</v>
      </c>
    </row>
    <row r="279" spans="1:22" x14ac:dyDescent="0.25">
      <c r="A279">
        <v>278</v>
      </c>
      <c r="B279" s="1">
        <v>40556</v>
      </c>
      <c r="C279">
        <v>1</v>
      </c>
      <c r="D279">
        <v>0</v>
      </c>
      <c r="E279">
        <v>1</v>
      </c>
      <c r="F279">
        <v>0</v>
      </c>
      <c r="G279" t="b">
        <v>0</v>
      </c>
      <c r="H279">
        <v>4</v>
      </c>
      <c r="I279">
        <v>1</v>
      </c>
      <c r="J279">
        <v>0.14000000000000001</v>
      </c>
      <c r="K279">
        <v>0.1212</v>
      </c>
      <c r="L279">
        <v>0.59</v>
      </c>
      <c r="M279">
        <v>0.28360000000000002</v>
      </c>
      <c r="N279">
        <v>1</v>
      </c>
      <c r="O279">
        <v>6</v>
      </c>
      <c r="P279">
        <v>7</v>
      </c>
      <c r="Q279" t="str">
        <f t="shared" si="19"/>
        <v>Weekday</v>
      </c>
      <c r="R279" t="str">
        <f t="shared" si="16"/>
        <v>Clear</v>
      </c>
      <c r="S279">
        <f t="shared" si="17"/>
        <v>-0.25435329828790432</v>
      </c>
      <c r="T279">
        <f t="shared" si="18"/>
        <v>0.10399668008577614</v>
      </c>
      <c r="U279" s="6">
        <v>0.14000000000000001</v>
      </c>
      <c r="V279">
        <f t="array" ref="V279">CORREL(IFERROR(VALUE(TRIM(CLEAN($U$2:$U$1001))),0), IFERROR(VALUE(TRIM(CLEAN($P$2:$P$1001))),0))</f>
        <v>0.23135628536430677</v>
      </c>
    </row>
    <row r="280" spans="1:22" x14ac:dyDescent="0.25">
      <c r="A280">
        <v>279</v>
      </c>
      <c r="B280" s="1">
        <v>40556</v>
      </c>
      <c r="C280">
        <v>1</v>
      </c>
      <c r="D280">
        <v>0</v>
      </c>
      <c r="E280">
        <v>1</v>
      </c>
      <c r="F280">
        <v>1</v>
      </c>
      <c r="G280" t="b">
        <v>0</v>
      </c>
      <c r="H280">
        <v>4</v>
      </c>
      <c r="I280">
        <v>1</v>
      </c>
      <c r="J280">
        <v>0.14000000000000001</v>
      </c>
      <c r="K280">
        <v>0.1212</v>
      </c>
      <c r="L280">
        <v>0.5</v>
      </c>
      <c r="M280">
        <v>0.28360000000000002</v>
      </c>
      <c r="N280">
        <v>0</v>
      </c>
      <c r="O280">
        <v>2</v>
      </c>
      <c r="P280">
        <v>2</v>
      </c>
      <c r="Q280" t="str">
        <f t="shared" si="19"/>
        <v>Weekday</v>
      </c>
      <c r="R280" t="str">
        <f t="shared" si="16"/>
        <v>Clear</v>
      </c>
      <c r="S280">
        <f t="shared" si="17"/>
        <v>-0.25435329828790432</v>
      </c>
      <c r="T280">
        <f t="shared" si="18"/>
        <v>0.10399668008577614</v>
      </c>
      <c r="U280" s="6">
        <v>0.14000000000000001</v>
      </c>
      <c r="V280">
        <f t="array" ref="V280">CORREL(IFERROR(VALUE(TRIM(CLEAN($U$2:$U$1001))),0), IFERROR(VALUE(TRIM(CLEAN($P$2:$P$1001))),0))</f>
        <v>0.23135628536430677</v>
      </c>
    </row>
    <row r="281" spans="1:22" x14ac:dyDescent="0.25">
      <c r="A281">
        <v>280</v>
      </c>
      <c r="B281" s="1">
        <v>40556</v>
      </c>
      <c r="C281">
        <v>1</v>
      </c>
      <c r="D281">
        <v>0</v>
      </c>
      <c r="E281">
        <v>1</v>
      </c>
      <c r="F281">
        <v>2</v>
      </c>
      <c r="G281" t="b">
        <v>0</v>
      </c>
      <c r="H281">
        <v>4</v>
      </c>
      <c r="I281">
        <v>1</v>
      </c>
      <c r="J281">
        <v>0.14000000000000001</v>
      </c>
      <c r="K281">
        <v>0.1212</v>
      </c>
      <c r="L281">
        <v>0.5</v>
      </c>
      <c r="M281">
        <v>0.35820000000000002</v>
      </c>
      <c r="N281">
        <v>0</v>
      </c>
      <c r="O281">
        <v>2</v>
      </c>
      <c r="P281">
        <v>2</v>
      </c>
      <c r="Q281" t="str">
        <f t="shared" si="19"/>
        <v>Weekend</v>
      </c>
      <c r="R281" t="str">
        <f t="shared" si="16"/>
        <v>Clear</v>
      </c>
      <c r="S281">
        <f t="shared" si="17"/>
        <v>-0.25435329828790432</v>
      </c>
      <c r="T281">
        <f t="shared" si="18"/>
        <v>0.10399668008577614</v>
      </c>
      <c r="U281" s="6">
        <v>0.14000000000000001</v>
      </c>
      <c r="V281">
        <f t="array" ref="V281">CORREL(IFERROR(VALUE(TRIM(CLEAN($U$2:$U$1001))),0), IFERROR(VALUE(TRIM(CLEAN($P$2:$P$1001))),0))</f>
        <v>0.23135628536430677</v>
      </c>
    </row>
    <row r="282" spans="1:22" x14ac:dyDescent="0.25">
      <c r="A282">
        <v>281</v>
      </c>
      <c r="B282" s="1">
        <v>40556</v>
      </c>
      <c r="C282">
        <v>1</v>
      </c>
      <c r="D282">
        <v>0</v>
      </c>
      <c r="E282">
        <v>1</v>
      </c>
      <c r="F282">
        <v>3</v>
      </c>
      <c r="G282" t="b">
        <v>0</v>
      </c>
      <c r="H282">
        <v>4</v>
      </c>
      <c r="I282">
        <v>1</v>
      </c>
      <c r="J282">
        <v>0.14000000000000001</v>
      </c>
      <c r="K282">
        <v>0.1212</v>
      </c>
      <c r="L282">
        <v>0.5</v>
      </c>
      <c r="M282">
        <v>0.32840000000000003</v>
      </c>
      <c r="N282">
        <v>0</v>
      </c>
      <c r="O282">
        <v>3</v>
      </c>
      <c r="P282">
        <v>3</v>
      </c>
      <c r="Q282" t="str">
        <f t="shared" si="19"/>
        <v>Weekend</v>
      </c>
      <c r="R282" t="str">
        <f t="shared" si="16"/>
        <v>Clear</v>
      </c>
      <c r="S282">
        <f t="shared" si="17"/>
        <v>-0.25435329828790432</v>
      </c>
      <c r="T282">
        <f t="shared" si="18"/>
        <v>0.10399668008577614</v>
      </c>
      <c r="U282" s="6">
        <v>0.14000000000000001</v>
      </c>
      <c r="V282">
        <f t="array" ref="V282">CORREL(IFERROR(VALUE(TRIM(CLEAN($U$2:$U$1001))),0), IFERROR(VALUE(TRIM(CLEAN($P$2:$P$1001))),0))</f>
        <v>0.23135628536430677</v>
      </c>
    </row>
    <row r="283" spans="1:22" x14ac:dyDescent="0.25">
      <c r="A283">
        <v>282</v>
      </c>
      <c r="B283" s="1">
        <v>40556</v>
      </c>
      <c r="C283">
        <v>1</v>
      </c>
      <c r="D283">
        <v>0</v>
      </c>
      <c r="E283">
        <v>1</v>
      </c>
      <c r="F283">
        <v>4</v>
      </c>
      <c r="G283" t="b">
        <v>0</v>
      </c>
      <c r="H283">
        <v>4</v>
      </c>
      <c r="I283">
        <v>1</v>
      </c>
      <c r="J283">
        <v>0.14000000000000001</v>
      </c>
      <c r="K283">
        <v>0.1212</v>
      </c>
      <c r="L283">
        <v>0.5</v>
      </c>
      <c r="M283">
        <v>0.25369999999999998</v>
      </c>
      <c r="N283">
        <v>0</v>
      </c>
      <c r="O283">
        <v>4</v>
      </c>
      <c r="P283">
        <v>4</v>
      </c>
      <c r="Q283" t="str">
        <f t="shared" si="19"/>
        <v>Weekday</v>
      </c>
      <c r="R283" t="str">
        <f t="shared" si="16"/>
        <v>Clear</v>
      </c>
      <c r="S283">
        <f t="shared" si="17"/>
        <v>-0.25435329828790432</v>
      </c>
      <c r="T283">
        <f t="shared" si="18"/>
        <v>0.10399668008577614</v>
      </c>
      <c r="U283" s="6">
        <v>0.14000000000000001</v>
      </c>
      <c r="V283">
        <f t="array" ref="V283">CORREL(IFERROR(VALUE(TRIM(CLEAN($U$2:$U$1001))),0), IFERROR(VALUE(TRIM(CLEAN($P$2:$P$1001))),0))</f>
        <v>0.23135628536430677</v>
      </c>
    </row>
    <row r="284" spans="1:22" x14ac:dyDescent="0.25">
      <c r="A284">
        <v>283</v>
      </c>
      <c r="B284" s="1">
        <v>40556</v>
      </c>
      <c r="C284">
        <v>1</v>
      </c>
      <c r="D284">
        <v>0</v>
      </c>
      <c r="E284">
        <v>1</v>
      </c>
      <c r="F284">
        <v>5</v>
      </c>
      <c r="G284" t="b">
        <v>0</v>
      </c>
      <c r="H284">
        <v>4</v>
      </c>
      <c r="I284">
        <v>1</v>
      </c>
      <c r="J284">
        <v>0.14000000000000001</v>
      </c>
      <c r="K284">
        <v>0.1212</v>
      </c>
      <c r="L284">
        <v>0.5</v>
      </c>
      <c r="M284">
        <v>0.29849999999999999</v>
      </c>
      <c r="N284">
        <v>0</v>
      </c>
      <c r="O284">
        <v>3</v>
      </c>
      <c r="P284">
        <v>3</v>
      </c>
      <c r="Q284" t="str">
        <f t="shared" si="19"/>
        <v>Weekday</v>
      </c>
      <c r="R284" t="str">
        <f t="shared" si="16"/>
        <v>Clear</v>
      </c>
      <c r="S284">
        <f t="shared" si="17"/>
        <v>-0.25435329828790432</v>
      </c>
      <c r="T284">
        <f t="shared" si="18"/>
        <v>0.10399668008577614</v>
      </c>
      <c r="U284" s="6">
        <v>0.14000000000000001</v>
      </c>
      <c r="V284">
        <f t="array" ref="V284">CORREL(IFERROR(VALUE(TRIM(CLEAN($U$2:$U$1001))),0), IFERROR(VALUE(TRIM(CLEAN($P$2:$P$1001))),0))</f>
        <v>0.23135628536430677</v>
      </c>
    </row>
    <row r="285" spans="1:22" x14ac:dyDescent="0.25">
      <c r="A285">
        <v>284</v>
      </c>
      <c r="B285" s="1">
        <v>40556</v>
      </c>
      <c r="C285">
        <v>1</v>
      </c>
      <c r="D285">
        <v>0</v>
      </c>
      <c r="E285">
        <v>1</v>
      </c>
      <c r="F285">
        <v>6</v>
      </c>
      <c r="G285" t="b">
        <v>0</v>
      </c>
      <c r="H285">
        <v>4</v>
      </c>
      <c r="I285">
        <v>1</v>
      </c>
      <c r="J285">
        <v>0.12</v>
      </c>
      <c r="K285">
        <v>0.1515</v>
      </c>
      <c r="L285">
        <v>0.54</v>
      </c>
      <c r="M285">
        <v>0.1343</v>
      </c>
      <c r="N285">
        <v>0</v>
      </c>
      <c r="O285">
        <v>28</v>
      </c>
      <c r="P285">
        <v>28</v>
      </c>
      <c r="Q285" t="str">
        <f t="shared" si="19"/>
        <v>Weekday</v>
      </c>
      <c r="R285" t="str">
        <f t="shared" si="16"/>
        <v>Clear</v>
      </c>
      <c r="S285">
        <f t="shared" si="17"/>
        <v>-0.25435329828790432</v>
      </c>
      <c r="T285">
        <f t="shared" si="18"/>
        <v>0.10399668008577614</v>
      </c>
      <c r="U285" s="6">
        <v>0.12</v>
      </c>
      <c r="V285">
        <f t="array" ref="V285">CORREL(IFERROR(VALUE(TRIM(CLEAN($U$2:$U$1001))),0), IFERROR(VALUE(TRIM(CLEAN($P$2:$P$1001))),0))</f>
        <v>0.23135628536430677</v>
      </c>
    </row>
    <row r="286" spans="1:22" x14ac:dyDescent="0.25">
      <c r="A286">
        <v>285</v>
      </c>
      <c r="B286" s="1">
        <v>40556</v>
      </c>
      <c r="C286">
        <v>1</v>
      </c>
      <c r="D286">
        <v>0</v>
      </c>
      <c r="E286">
        <v>1</v>
      </c>
      <c r="F286">
        <v>7</v>
      </c>
      <c r="G286" t="b">
        <v>0</v>
      </c>
      <c r="H286">
        <v>4</v>
      </c>
      <c r="I286">
        <v>1</v>
      </c>
      <c r="J286">
        <v>0.12</v>
      </c>
      <c r="K286">
        <v>0.1515</v>
      </c>
      <c r="L286">
        <v>0.54</v>
      </c>
      <c r="M286">
        <v>0.1343</v>
      </c>
      <c r="N286">
        <v>0</v>
      </c>
      <c r="O286">
        <v>72</v>
      </c>
      <c r="P286">
        <v>72</v>
      </c>
      <c r="Q286" t="str">
        <f t="shared" si="19"/>
        <v>Weekday</v>
      </c>
      <c r="R286" t="str">
        <f t="shared" si="16"/>
        <v>Clear</v>
      </c>
      <c r="S286">
        <f t="shared" si="17"/>
        <v>-0.25435329828790432</v>
      </c>
      <c r="T286">
        <f t="shared" si="18"/>
        <v>0.10399668008577614</v>
      </c>
      <c r="U286" s="6">
        <v>0.12</v>
      </c>
      <c r="V286">
        <f t="array" ref="V286">CORREL(IFERROR(VALUE(TRIM(CLEAN($U$2:$U$1001))),0), IFERROR(VALUE(TRIM(CLEAN($P$2:$P$1001))),0))</f>
        <v>0.23135628536430677</v>
      </c>
    </row>
    <row r="287" spans="1:22" x14ac:dyDescent="0.25">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c r="Q287" t="str">
        <f t="shared" si="19"/>
        <v>Weekday</v>
      </c>
      <c r="R287" t="str">
        <f t="shared" si="16"/>
        <v>Clear</v>
      </c>
      <c r="S287">
        <f t="shared" si="17"/>
        <v>-0.25435329828790432</v>
      </c>
      <c r="T287">
        <f t="shared" si="18"/>
        <v>0.10399668008577614</v>
      </c>
      <c r="U287" s="6">
        <v>0.14000000000000001</v>
      </c>
      <c r="V287">
        <f t="array" ref="V287">CORREL(IFERROR(VALUE(TRIM(CLEAN($U$2:$U$1001))),0), IFERROR(VALUE(TRIM(CLEAN($P$2:$P$1001))),0))</f>
        <v>0.23135628536430677</v>
      </c>
    </row>
    <row r="288" spans="1:22" x14ac:dyDescent="0.25">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c r="Q288" t="str">
        <f t="shared" si="19"/>
        <v>Weekend</v>
      </c>
      <c r="R288" t="str">
        <f t="shared" si="16"/>
        <v>Clear</v>
      </c>
      <c r="S288">
        <f t="shared" si="17"/>
        <v>-0.25435329828790432</v>
      </c>
      <c r="T288">
        <f t="shared" si="18"/>
        <v>0.10399668008577614</v>
      </c>
      <c r="U288" s="6">
        <v>0.14000000000000001</v>
      </c>
      <c r="V288">
        <f t="array" ref="V288">CORREL(IFERROR(VALUE(TRIM(CLEAN($U$2:$U$1001))),0), IFERROR(VALUE(TRIM(CLEAN($P$2:$P$1001))),0))</f>
        <v>0.23135628536430677</v>
      </c>
    </row>
    <row r="289" spans="1:22" x14ac:dyDescent="0.25">
      <c r="A289">
        <v>288</v>
      </c>
      <c r="B289" s="1">
        <v>40556</v>
      </c>
      <c r="C289">
        <v>1</v>
      </c>
      <c r="D289">
        <v>0</v>
      </c>
      <c r="E289">
        <v>1</v>
      </c>
      <c r="F289">
        <v>10</v>
      </c>
      <c r="G289" t="b">
        <v>0</v>
      </c>
      <c r="H289">
        <v>4</v>
      </c>
      <c r="I289">
        <v>2</v>
      </c>
      <c r="J289">
        <v>0.16</v>
      </c>
      <c r="K289">
        <v>0.13639999999999999</v>
      </c>
      <c r="L289">
        <v>0.5</v>
      </c>
      <c r="M289">
        <v>0.35820000000000002</v>
      </c>
      <c r="N289">
        <v>2</v>
      </c>
      <c r="O289">
        <v>36</v>
      </c>
      <c r="P289">
        <v>38</v>
      </c>
      <c r="Q289" t="str">
        <f t="shared" si="19"/>
        <v>Weekend</v>
      </c>
      <c r="R289" t="str">
        <f t="shared" si="16"/>
        <v>Mist/Cloudy</v>
      </c>
      <c r="S289">
        <f t="shared" si="17"/>
        <v>-0.25435329828790432</v>
      </c>
      <c r="T289">
        <f t="shared" si="18"/>
        <v>0.10399668008577614</v>
      </c>
      <c r="U289" s="6">
        <v>0.16</v>
      </c>
      <c r="V289">
        <f t="array" ref="V289">CORREL(IFERROR(VALUE(TRIM(CLEAN($U$2:$U$1001))),0), IFERROR(VALUE(TRIM(CLEAN($P$2:$P$1001))),0))</f>
        <v>0.23135628536430677</v>
      </c>
    </row>
    <row r="290" spans="1:22" x14ac:dyDescent="0.25">
      <c r="A290">
        <v>289</v>
      </c>
      <c r="B290" s="1">
        <v>40556</v>
      </c>
      <c r="C290">
        <v>1</v>
      </c>
      <c r="D290">
        <v>0</v>
      </c>
      <c r="E290">
        <v>1</v>
      </c>
      <c r="F290">
        <v>11</v>
      </c>
      <c r="G290" t="b">
        <v>0</v>
      </c>
      <c r="H290">
        <v>4</v>
      </c>
      <c r="I290">
        <v>2</v>
      </c>
      <c r="J290">
        <v>0.2</v>
      </c>
      <c r="K290">
        <v>0.16669999999999999</v>
      </c>
      <c r="L290">
        <v>0.44</v>
      </c>
      <c r="M290">
        <v>0.44779999999999998</v>
      </c>
      <c r="N290">
        <v>4</v>
      </c>
      <c r="O290">
        <v>33</v>
      </c>
      <c r="P290">
        <v>37</v>
      </c>
      <c r="Q290" t="str">
        <f t="shared" si="19"/>
        <v>Weekday</v>
      </c>
      <c r="R290" t="str">
        <f t="shared" si="16"/>
        <v>Mist/Cloudy</v>
      </c>
      <c r="S290">
        <f t="shared" si="17"/>
        <v>-0.25435329828790432</v>
      </c>
      <c r="T290">
        <f t="shared" si="18"/>
        <v>0.10399668008577614</v>
      </c>
      <c r="U290" s="6">
        <v>0.2</v>
      </c>
      <c r="V290">
        <f t="array" ref="V290">CORREL(IFERROR(VALUE(TRIM(CLEAN($U$2:$U$1001))),0), IFERROR(VALUE(TRIM(CLEAN($P$2:$P$1001))),0))</f>
        <v>0.23135628536430677</v>
      </c>
    </row>
    <row r="291" spans="1:22" x14ac:dyDescent="0.25">
      <c r="A291">
        <v>290</v>
      </c>
      <c r="B291" s="1">
        <v>40556</v>
      </c>
      <c r="C291">
        <v>1</v>
      </c>
      <c r="D291">
        <v>0</v>
      </c>
      <c r="E291">
        <v>1</v>
      </c>
      <c r="F291">
        <v>12</v>
      </c>
      <c r="G291" t="b">
        <v>0</v>
      </c>
      <c r="H291">
        <v>4</v>
      </c>
      <c r="I291">
        <v>1</v>
      </c>
      <c r="J291">
        <v>0.2</v>
      </c>
      <c r="K291">
        <v>0.16669999999999999</v>
      </c>
      <c r="L291">
        <v>0.44</v>
      </c>
      <c r="M291">
        <v>0.41789999999999999</v>
      </c>
      <c r="N291">
        <v>3</v>
      </c>
      <c r="O291">
        <v>49</v>
      </c>
      <c r="P291">
        <v>52</v>
      </c>
      <c r="Q291" t="str">
        <f t="shared" si="19"/>
        <v>Weekday</v>
      </c>
      <c r="R291" t="str">
        <f t="shared" si="16"/>
        <v>Clear</v>
      </c>
      <c r="S291">
        <f t="shared" si="17"/>
        <v>-0.25435329828790432</v>
      </c>
      <c r="T291">
        <f t="shared" si="18"/>
        <v>0.10399668008577614</v>
      </c>
      <c r="U291" s="6">
        <v>0.2</v>
      </c>
      <c r="V291">
        <f t="array" ref="V291">CORREL(IFERROR(VALUE(TRIM(CLEAN($U$2:$U$1001))),0), IFERROR(VALUE(TRIM(CLEAN($P$2:$P$1001))),0))</f>
        <v>0.23135628536430677</v>
      </c>
    </row>
    <row r="292" spans="1:22" x14ac:dyDescent="0.25">
      <c r="A292">
        <v>291</v>
      </c>
      <c r="B292" s="1">
        <v>40556</v>
      </c>
      <c r="C292">
        <v>1</v>
      </c>
      <c r="D292">
        <v>0</v>
      </c>
      <c r="E292">
        <v>1</v>
      </c>
      <c r="F292">
        <v>13</v>
      </c>
      <c r="G292" t="b">
        <v>0</v>
      </c>
      <c r="H292">
        <v>4</v>
      </c>
      <c r="I292">
        <v>1</v>
      </c>
      <c r="J292">
        <v>0.22</v>
      </c>
      <c r="K292">
        <v>0.19700000000000001</v>
      </c>
      <c r="L292">
        <v>0.41</v>
      </c>
      <c r="M292">
        <v>0.44779999999999998</v>
      </c>
      <c r="N292">
        <v>2</v>
      </c>
      <c r="O292">
        <v>81</v>
      </c>
      <c r="P292">
        <v>83</v>
      </c>
      <c r="Q292" t="str">
        <f t="shared" si="19"/>
        <v>Weekday</v>
      </c>
      <c r="R292" t="str">
        <f t="shared" si="16"/>
        <v>Clear</v>
      </c>
      <c r="S292">
        <f t="shared" si="17"/>
        <v>-0.25435329828790432</v>
      </c>
      <c r="T292">
        <f t="shared" si="18"/>
        <v>0.10399668008577614</v>
      </c>
      <c r="U292" s="6">
        <v>0.22</v>
      </c>
      <c r="V292">
        <f t="array" ref="V292">CORREL(IFERROR(VALUE(TRIM(CLEAN($U$2:$U$1001))),0), IFERROR(VALUE(TRIM(CLEAN($P$2:$P$1001))),0))</f>
        <v>0.23135628536430677</v>
      </c>
    </row>
    <row r="293" spans="1:22" x14ac:dyDescent="0.25">
      <c r="A293">
        <v>292</v>
      </c>
      <c r="B293" s="1">
        <v>40556</v>
      </c>
      <c r="C293">
        <v>1</v>
      </c>
      <c r="D293">
        <v>0</v>
      </c>
      <c r="E293">
        <v>1</v>
      </c>
      <c r="F293">
        <v>14</v>
      </c>
      <c r="G293" t="b">
        <v>0</v>
      </c>
      <c r="H293">
        <v>4</v>
      </c>
      <c r="I293">
        <v>1</v>
      </c>
      <c r="J293">
        <v>0.22</v>
      </c>
      <c r="K293">
        <v>0.19700000000000001</v>
      </c>
      <c r="L293">
        <v>0.41</v>
      </c>
      <c r="M293">
        <v>0.3881</v>
      </c>
      <c r="N293">
        <v>3</v>
      </c>
      <c r="O293">
        <v>39</v>
      </c>
      <c r="P293">
        <v>42</v>
      </c>
      <c r="Q293" t="str">
        <f t="shared" si="19"/>
        <v>Weekday</v>
      </c>
      <c r="R293" t="str">
        <f t="shared" si="16"/>
        <v>Clear</v>
      </c>
      <c r="S293">
        <f t="shared" si="17"/>
        <v>-0.25435329828790432</v>
      </c>
      <c r="T293">
        <f t="shared" si="18"/>
        <v>0.10399668008577614</v>
      </c>
      <c r="U293" s="6">
        <v>0.22</v>
      </c>
      <c r="V293">
        <f t="array" ref="V293">CORREL(IFERROR(VALUE(TRIM(CLEAN($U$2:$U$1001))),0), IFERROR(VALUE(TRIM(CLEAN($P$2:$P$1001))),0))</f>
        <v>0.23135628536430677</v>
      </c>
    </row>
    <row r="294" spans="1:22" x14ac:dyDescent="0.25">
      <c r="A294">
        <v>293</v>
      </c>
      <c r="B294" s="1">
        <v>40556</v>
      </c>
      <c r="C294">
        <v>1</v>
      </c>
      <c r="D294">
        <v>0</v>
      </c>
      <c r="E294">
        <v>1</v>
      </c>
      <c r="F294">
        <v>15</v>
      </c>
      <c r="G294" t="b">
        <v>0</v>
      </c>
      <c r="H294">
        <v>4</v>
      </c>
      <c r="I294">
        <v>1</v>
      </c>
      <c r="J294">
        <v>0.24</v>
      </c>
      <c r="K294">
        <v>0.21210000000000001</v>
      </c>
      <c r="L294">
        <v>0.38</v>
      </c>
      <c r="M294">
        <v>0.29849999999999999</v>
      </c>
      <c r="N294">
        <v>5</v>
      </c>
      <c r="O294">
        <v>55</v>
      </c>
      <c r="P294">
        <v>60</v>
      </c>
      <c r="Q294" t="str">
        <f t="shared" si="19"/>
        <v>Weekday</v>
      </c>
      <c r="R294" t="str">
        <f t="shared" si="16"/>
        <v>Clear</v>
      </c>
      <c r="S294">
        <f t="shared" si="17"/>
        <v>-0.25435329828790432</v>
      </c>
      <c r="T294">
        <f t="shared" si="18"/>
        <v>0.10399668008577614</v>
      </c>
      <c r="U294" s="6">
        <v>0.24</v>
      </c>
      <c r="V294">
        <f t="array" ref="V294">CORREL(IFERROR(VALUE(TRIM(CLEAN($U$2:$U$1001))),0), IFERROR(VALUE(TRIM(CLEAN($P$2:$P$1001))),0))</f>
        <v>0.23135628536430677</v>
      </c>
    </row>
    <row r="295" spans="1:22" x14ac:dyDescent="0.25">
      <c r="A295">
        <v>294</v>
      </c>
      <c r="B295" s="1">
        <v>40556</v>
      </c>
      <c r="C295">
        <v>1</v>
      </c>
      <c r="D295">
        <v>0</v>
      </c>
      <c r="E295">
        <v>1</v>
      </c>
      <c r="F295">
        <v>16</v>
      </c>
      <c r="G295" t="b">
        <v>0</v>
      </c>
      <c r="H295">
        <v>4</v>
      </c>
      <c r="I295">
        <v>1</v>
      </c>
      <c r="J295">
        <v>0.24</v>
      </c>
      <c r="K295">
        <v>0.21210000000000001</v>
      </c>
      <c r="L295">
        <v>0.38</v>
      </c>
      <c r="M295">
        <v>0.35820000000000002</v>
      </c>
      <c r="N295">
        <v>2</v>
      </c>
      <c r="O295">
        <v>76</v>
      </c>
      <c r="P295">
        <v>78</v>
      </c>
      <c r="Q295" t="str">
        <f t="shared" si="19"/>
        <v>Weekend</v>
      </c>
      <c r="R295" t="str">
        <f t="shared" si="16"/>
        <v>Clear</v>
      </c>
      <c r="S295">
        <f t="shared" si="17"/>
        <v>-0.25435329828790432</v>
      </c>
      <c r="T295">
        <f t="shared" si="18"/>
        <v>0.10399668008577614</v>
      </c>
      <c r="U295" s="6">
        <v>0.24</v>
      </c>
      <c r="V295">
        <f t="array" ref="V295">CORREL(IFERROR(VALUE(TRIM(CLEAN($U$2:$U$1001))),0), IFERROR(VALUE(TRIM(CLEAN($P$2:$P$1001))),0))</f>
        <v>0.23135628536430677</v>
      </c>
    </row>
    <row r="296" spans="1:22" x14ac:dyDescent="0.25">
      <c r="A296">
        <v>295</v>
      </c>
      <c r="B296" s="1">
        <v>40556</v>
      </c>
      <c r="C296">
        <v>1</v>
      </c>
      <c r="D296">
        <v>0</v>
      </c>
      <c r="E296">
        <v>1</v>
      </c>
      <c r="F296">
        <v>17</v>
      </c>
      <c r="G296" t="b">
        <v>0</v>
      </c>
      <c r="H296">
        <v>4</v>
      </c>
      <c r="I296">
        <v>1</v>
      </c>
      <c r="J296">
        <v>0.2</v>
      </c>
      <c r="K296">
        <v>0.18179999999999999</v>
      </c>
      <c r="L296">
        <v>0.4</v>
      </c>
      <c r="M296">
        <v>0.28360000000000002</v>
      </c>
      <c r="N296">
        <v>4</v>
      </c>
      <c r="O296">
        <v>158</v>
      </c>
      <c r="P296">
        <v>162</v>
      </c>
      <c r="Q296" t="str">
        <f t="shared" si="19"/>
        <v>Weekend</v>
      </c>
      <c r="R296" t="str">
        <f t="shared" si="16"/>
        <v>Clear</v>
      </c>
      <c r="S296">
        <f t="shared" si="17"/>
        <v>-0.25435329828790432</v>
      </c>
      <c r="T296">
        <f t="shared" si="18"/>
        <v>0.10399668008577614</v>
      </c>
      <c r="U296" s="6">
        <v>0.2</v>
      </c>
      <c r="V296">
        <f t="array" ref="V296">CORREL(IFERROR(VALUE(TRIM(CLEAN($U$2:$U$1001))),0), IFERROR(VALUE(TRIM(CLEAN($P$2:$P$1001))),0))</f>
        <v>0.23135628536430677</v>
      </c>
    </row>
    <row r="297" spans="1:22" x14ac:dyDescent="0.25">
      <c r="A297">
        <v>296</v>
      </c>
      <c r="B297" s="1">
        <v>40556</v>
      </c>
      <c r="C297">
        <v>1</v>
      </c>
      <c r="D297">
        <v>0</v>
      </c>
      <c r="E297">
        <v>1</v>
      </c>
      <c r="F297">
        <v>18</v>
      </c>
      <c r="G297" t="b">
        <v>0</v>
      </c>
      <c r="H297">
        <v>4</v>
      </c>
      <c r="I297">
        <v>1</v>
      </c>
      <c r="J297">
        <v>0.2</v>
      </c>
      <c r="K297">
        <v>0.18179999999999999</v>
      </c>
      <c r="L297">
        <v>0.4</v>
      </c>
      <c r="M297">
        <v>0.32840000000000003</v>
      </c>
      <c r="N297">
        <v>3</v>
      </c>
      <c r="O297">
        <v>141</v>
      </c>
      <c r="P297">
        <v>144</v>
      </c>
      <c r="Q297" t="str">
        <f t="shared" si="19"/>
        <v>Weekday</v>
      </c>
      <c r="R297" t="str">
        <f t="shared" si="16"/>
        <v>Clear</v>
      </c>
      <c r="S297">
        <f t="shared" si="17"/>
        <v>-0.25435329828790432</v>
      </c>
      <c r="T297">
        <f t="shared" si="18"/>
        <v>0.10399668008577614</v>
      </c>
      <c r="U297" s="6">
        <v>0.2</v>
      </c>
      <c r="V297">
        <f t="array" ref="V297">CORREL(IFERROR(VALUE(TRIM(CLEAN($U$2:$U$1001))),0), IFERROR(VALUE(TRIM(CLEAN($P$2:$P$1001))),0))</f>
        <v>0.23135628536430677</v>
      </c>
    </row>
    <row r="298" spans="1:22" x14ac:dyDescent="0.25">
      <c r="A298">
        <v>297</v>
      </c>
      <c r="B298" s="1">
        <v>40556</v>
      </c>
      <c r="C298">
        <v>1</v>
      </c>
      <c r="D298">
        <v>0</v>
      </c>
      <c r="E298">
        <v>1</v>
      </c>
      <c r="F298">
        <v>19</v>
      </c>
      <c r="G298" t="b">
        <v>0</v>
      </c>
      <c r="H298">
        <v>4</v>
      </c>
      <c r="I298">
        <v>1</v>
      </c>
      <c r="J298">
        <v>0.16</v>
      </c>
      <c r="K298">
        <v>0.1515</v>
      </c>
      <c r="L298">
        <v>0.47</v>
      </c>
      <c r="M298">
        <v>0.25369999999999998</v>
      </c>
      <c r="N298">
        <v>1</v>
      </c>
      <c r="O298">
        <v>98</v>
      </c>
      <c r="P298">
        <v>99</v>
      </c>
      <c r="Q298" t="str">
        <f t="shared" si="19"/>
        <v>Weekday</v>
      </c>
      <c r="R298" t="str">
        <f t="shared" si="16"/>
        <v>Clear</v>
      </c>
      <c r="S298">
        <f t="shared" si="17"/>
        <v>-0.25435329828790432</v>
      </c>
      <c r="T298">
        <f t="shared" si="18"/>
        <v>0.10399668008577614</v>
      </c>
      <c r="U298" s="6">
        <v>0.16</v>
      </c>
      <c r="V298">
        <f t="array" ref="V298">CORREL(IFERROR(VALUE(TRIM(CLEAN($U$2:$U$1001))),0), IFERROR(VALUE(TRIM(CLEAN($P$2:$P$1001))),0))</f>
        <v>0.23135628536430677</v>
      </c>
    </row>
    <row r="299" spans="1:22" x14ac:dyDescent="0.25">
      <c r="A299">
        <v>298</v>
      </c>
      <c r="B299" s="1">
        <v>40556</v>
      </c>
      <c r="C299">
        <v>1</v>
      </c>
      <c r="D299">
        <v>0</v>
      </c>
      <c r="E299">
        <v>1</v>
      </c>
      <c r="F299">
        <v>20</v>
      </c>
      <c r="G299" t="b">
        <v>0</v>
      </c>
      <c r="H299">
        <v>4</v>
      </c>
      <c r="I299">
        <v>1</v>
      </c>
      <c r="J299">
        <v>0.16</v>
      </c>
      <c r="K299">
        <v>0.1515</v>
      </c>
      <c r="L299">
        <v>0.47</v>
      </c>
      <c r="M299">
        <v>0.22389999999999999</v>
      </c>
      <c r="N299">
        <v>0</v>
      </c>
      <c r="O299">
        <v>64</v>
      </c>
      <c r="P299">
        <v>64</v>
      </c>
      <c r="Q299" t="str">
        <f t="shared" si="19"/>
        <v>Weekday</v>
      </c>
      <c r="R299" t="str">
        <f t="shared" si="16"/>
        <v>Clear</v>
      </c>
      <c r="S299">
        <f t="shared" si="17"/>
        <v>-0.25435329828790432</v>
      </c>
      <c r="T299">
        <f t="shared" si="18"/>
        <v>0.10399668008577614</v>
      </c>
      <c r="U299" s="6">
        <v>0.16</v>
      </c>
      <c r="V299">
        <f t="array" ref="V299">CORREL(IFERROR(VALUE(TRIM(CLEAN($U$2:$U$1001))),0), IFERROR(VALUE(TRIM(CLEAN($P$2:$P$1001))),0))</f>
        <v>0.23135628536430677</v>
      </c>
    </row>
    <row r="300" spans="1:22" x14ac:dyDescent="0.25">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c r="Q300" t="str">
        <f t="shared" si="19"/>
        <v>Weekday</v>
      </c>
      <c r="R300" t="str">
        <f t="shared" si="16"/>
        <v>Clear</v>
      </c>
      <c r="S300">
        <f t="shared" si="17"/>
        <v>-0.25435329828790432</v>
      </c>
      <c r="T300">
        <f t="shared" si="18"/>
        <v>0.10399668008577614</v>
      </c>
      <c r="U300" s="6">
        <v>0.14000000000000001</v>
      </c>
      <c r="V300">
        <f t="array" ref="V300">CORREL(IFERROR(VALUE(TRIM(CLEAN($U$2:$U$1001))),0), IFERROR(VALUE(TRIM(CLEAN($P$2:$P$1001))),0))</f>
        <v>0.23135628536430677</v>
      </c>
    </row>
    <row r="301" spans="1:22" x14ac:dyDescent="0.25">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c r="Q301" t="str">
        <f t="shared" si="19"/>
        <v>Weekday</v>
      </c>
      <c r="R301" t="str">
        <f t="shared" si="16"/>
        <v>Clear</v>
      </c>
      <c r="S301">
        <f t="shared" si="17"/>
        <v>-0.25435329828790432</v>
      </c>
      <c r="T301">
        <f t="shared" si="18"/>
        <v>0.10399668008577614</v>
      </c>
      <c r="U301" s="6">
        <v>0.14000000000000001</v>
      </c>
      <c r="V301">
        <f t="array" ref="V301">CORREL(IFERROR(VALUE(TRIM(CLEAN($U$2:$U$1001))),0), IFERROR(VALUE(TRIM(CLEAN($P$2:$P$1001))),0))</f>
        <v>0.23135628536430677</v>
      </c>
    </row>
    <row r="302" spans="1:22" x14ac:dyDescent="0.25">
      <c r="A302">
        <v>301</v>
      </c>
      <c r="B302" s="1">
        <v>40556</v>
      </c>
      <c r="C302">
        <v>1</v>
      </c>
      <c r="D302">
        <v>0</v>
      </c>
      <c r="E302">
        <v>1</v>
      </c>
      <c r="F302">
        <v>23</v>
      </c>
      <c r="G302" t="b">
        <v>0</v>
      </c>
      <c r="H302">
        <v>4</v>
      </c>
      <c r="I302">
        <v>1</v>
      </c>
      <c r="J302">
        <v>0.12</v>
      </c>
      <c r="K302">
        <v>0.13639999999999999</v>
      </c>
      <c r="L302">
        <v>0.5</v>
      </c>
      <c r="M302">
        <v>0.19400000000000001</v>
      </c>
      <c r="N302">
        <v>1</v>
      </c>
      <c r="O302">
        <v>14</v>
      </c>
      <c r="P302">
        <v>15</v>
      </c>
      <c r="Q302" t="str">
        <f t="shared" si="19"/>
        <v>Weekend</v>
      </c>
      <c r="R302" t="str">
        <f t="shared" si="16"/>
        <v>Clear</v>
      </c>
      <c r="S302">
        <f t="shared" si="17"/>
        <v>-0.25435329828790432</v>
      </c>
      <c r="T302">
        <f t="shared" si="18"/>
        <v>0.10399668008577614</v>
      </c>
      <c r="U302" s="6">
        <v>0.12</v>
      </c>
      <c r="V302">
        <f t="array" ref="V302">CORREL(IFERROR(VALUE(TRIM(CLEAN($U$2:$U$1001))),0), IFERROR(VALUE(TRIM(CLEAN($P$2:$P$1001))),0))</f>
        <v>0.23135628536430677</v>
      </c>
    </row>
    <row r="303" spans="1:22" x14ac:dyDescent="0.25">
      <c r="A303">
        <v>302</v>
      </c>
      <c r="B303" s="1">
        <v>40557</v>
      </c>
      <c r="C303">
        <v>1</v>
      </c>
      <c r="D303">
        <v>0</v>
      </c>
      <c r="E303">
        <v>1</v>
      </c>
      <c r="F303">
        <v>0</v>
      </c>
      <c r="G303" t="b">
        <v>0</v>
      </c>
      <c r="H303">
        <v>5</v>
      </c>
      <c r="I303">
        <v>1</v>
      </c>
      <c r="J303">
        <v>0.12</v>
      </c>
      <c r="K303">
        <v>0.13639999999999999</v>
      </c>
      <c r="L303">
        <v>0.5</v>
      </c>
      <c r="M303">
        <v>0.19400000000000001</v>
      </c>
      <c r="N303">
        <v>0</v>
      </c>
      <c r="O303">
        <v>14</v>
      </c>
      <c r="P303">
        <v>14</v>
      </c>
      <c r="Q303" t="str">
        <f t="shared" si="19"/>
        <v>Weekend</v>
      </c>
      <c r="R303" t="str">
        <f t="shared" si="16"/>
        <v>Clear</v>
      </c>
      <c r="S303">
        <f t="shared" si="17"/>
        <v>-0.25435329828790432</v>
      </c>
      <c r="T303">
        <f t="shared" si="18"/>
        <v>0.10399668008577614</v>
      </c>
      <c r="U303" s="6">
        <v>0.12</v>
      </c>
      <c r="V303">
        <f t="array" ref="V303">CORREL(IFERROR(VALUE(TRIM(CLEAN($U$2:$U$1001))),0), IFERROR(VALUE(TRIM(CLEAN($P$2:$P$1001))),0))</f>
        <v>0.23135628536430677</v>
      </c>
    </row>
    <row r="304" spans="1:22" x14ac:dyDescent="0.25">
      <c r="A304">
        <v>303</v>
      </c>
      <c r="B304" s="1">
        <v>40557</v>
      </c>
      <c r="C304">
        <v>1</v>
      </c>
      <c r="D304">
        <v>0</v>
      </c>
      <c r="E304">
        <v>1</v>
      </c>
      <c r="F304">
        <v>1</v>
      </c>
      <c r="G304" t="b">
        <v>0</v>
      </c>
      <c r="H304">
        <v>5</v>
      </c>
      <c r="I304">
        <v>1</v>
      </c>
      <c r="J304">
        <v>0.1</v>
      </c>
      <c r="K304">
        <v>0.1212</v>
      </c>
      <c r="L304">
        <v>0.54</v>
      </c>
      <c r="M304">
        <v>0.16420000000000001</v>
      </c>
      <c r="N304">
        <v>0</v>
      </c>
      <c r="O304">
        <v>5</v>
      </c>
      <c r="P304">
        <v>5</v>
      </c>
      <c r="Q304" t="str">
        <f t="shared" si="19"/>
        <v>Weekday</v>
      </c>
      <c r="R304" t="str">
        <f t="shared" si="16"/>
        <v>Clear</v>
      </c>
      <c r="S304">
        <f t="shared" si="17"/>
        <v>-0.25435329828790432</v>
      </c>
      <c r="T304">
        <f t="shared" si="18"/>
        <v>0.10399668008577614</v>
      </c>
      <c r="U304" s="6">
        <v>0.1</v>
      </c>
      <c r="V304">
        <f t="array" ref="V304">CORREL(IFERROR(VALUE(TRIM(CLEAN($U$2:$U$1001))),0), IFERROR(VALUE(TRIM(CLEAN($P$2:$P$1001))),0))</f>
        <v>0.23135628536430677</v>
      </c>
    </row>
    <row r="305" spans="1:22" x14ac:dyDescent="0.25">
      <c r="A305">
        <v>304</v>
      </c>
      <c r="B305" s="1">
        <v>40557</v>
      </c>
      <c r="C305">
        <v>1</v>
      </c>
      <c r="D305">
        <v>0</v>
      </c>
      <c r="E305">
        <v>1</v>
      </c>
      <c r="F305">
        <v>2</v>
      </c>
      <c r="G305" t="b">
        <v>0</v>
      </c>
      <c r="H305">
        <v>5</v>
      </c>
      <c r="I305">
        <v>1</v>
      </c>
      <c r="J305">
        <v>0.1</v>
      </c>
      <c r="K305">
        <v>0.1212</v>
      </c>
      <c r="L305">
        <v>0.54</v>
      </c>
      <c r="M305">
        <v>0.1343</v>
      </c>
      <c r="N305">
        <v>0</v>
      </c>
      <c r="O305">
        <v>1</v>
      </c>
      <c r="P305">
        <v>1</v>
      </c>
      <c r="Q305" t="str">
        <f t="shared" si="19"/>
        <v>Weekday</v>
      </c>
      <c r="R305" t="str">
        <f t="shared" si="16"/>
        <v>Clear</v>
      </c>
      <c r="S305">
        <f t="shared" si="17"/>
        <v>-0.25435329828790432</v>
      </c>
      <c r="T305">
        <f t="shared" si="18"/>
        <v>0.10399668008577614</v>
      </c>
      <c r="U305" s="6">
        <v>0.1</v>
      </c>
      <c r="V305">
        <f t="array" ref="V305">CORREL(IFERROR(VALUE(TRIM(CLEAN($U$2:$U$1001))),0), IFERROR(VALUE(TRIM(CLEAN($P$2:$P$1001))),0))</f>
        <v>0.23135628536430677</v>
      </c>
    </row>
    <row r="306" spans="1:22" x14ac:dyDescent="0.25">
      <c r="A306">
        <v>305</v>
      </c>
      <c r="B306" s="1">
        <v>40557</v>
      </c>
      <c r="C306">
        <v>1</v>
      </c>
      <c r="D306">
        <v>0</v>
      </c>
      <c r="E306">
        <v>1</v>
      </c>
      <c r="F306">
        <v>3</v>
      </c>
      <c r="G306" t="b">
        <v>0</v>
      </c>
      <c r="H306">
        <v>5</v>
      </c>
      <c r="I306">
        <v>1</v>
      </c>
      <c r="J306">
        <v>0.1</v>
      </c>
      <c r="K306">
        <v>0.13639999999999999</v>
      </c>
      <c r="L306">
        <v>0.54</v>
      </c>
      <c r="M306">
        <v>0.1045</v>
      </c>
      <c r="N306">
        <v>0</v>
      </c>
      <c r="O306">
        <v>1</v>
      </c>
      <c r="P306">
        <v>1</v>
      </c>
      <c r="Q306" t="str">
        <f t="shared" si="19"/>
        <v>Weekday</v>
      </c>
      <c r="R306" t="str">
        <f t="shared" si="16"/>
        <v>Clear</v>
      </c>
      <c r="S306">
        <f t="shared" si="17"/>
        <v>-0.25435329828790432</v>
      </c>
      <c r="T306">
        <f t="shared" si="18"/>
        <v>0.10399668008577614</v>
      </c>
      <c r="U306" s="6">
        <v>0.1</v>
      </c>
      <c r="V306">
        <f t="array" ref="V306">CORREL(IFERROR(VALUE(TRIM(CLEAN($U$2:$U$1001))),0), IFERROR(VALUE(TRIM(CLEAN($P$2:$P$1001))),0))</f>
        <v>0.23135628536430677</v>
      </c>
    </row>
    <row r="307" spans="1:22" x14ac:dyDescent="0.25">
      <c r="A307">
        <v>306</v>
      </c>
      <c r="B307" s="1">
        <v>40557</v>
      </c>
      <c r="C307">
        <v>1</v>
      </c>
      <c r="D307">
        <v>0</v>
      </c>
      <c r="E307">
        <v>1</v>
      </c>
      <c r="F307">
        <v>5</v>
      </c>
      <c r="G307" t="b">
        <v>0</v>
      </c>
      <c r="H307">
        <v>5</v>
      </c>
      <c r="I307">
        <v>1</v>
      </c>
      <c r="J307">
        <v>0.1</v>
      </c>
      <c r="K307">
        <v>0.13639999999999999</v>
      </c>
      <c r="L307">
        <v>0.54</v>
      </c>
      <c r="M307">
        <v>8.9599999999999999E-2</v>
      </c>
      <c r="N307">
        <v>0</v>
      </c>
      <c r="O307">
        <v>8</v>
      </c>
      <c r="P307">
        <v>8</v>
      </c>
      <c r="Q307" t="str">
        <f t="shared" si="19"/>
        <v>Weekday</v>
      </c>
      <c r="R307" t="str">
        <f t="shared" si="16"/>
        <v>Clear</v>
      </c>
      <c r="S307">
        <f t="shared" si="17"/>
        <v>-0.25435329828790432</v>
      </c>
      <c r="T307">
        <f t="shared" si="18"/>
        <v>0.10399668008577614</v>
      </c>
      <c r="U307" s="6">
        <v>0.1</v>
      </c>
      <c r="V307">
        <f t="array" ref="V307">CORREL(IFERROR(VALUE(TRIM(CLEAN($U$2:$U$1001))),0), IFERROR(VALUE(TRIM(CLEAN($P$2:$P$1001))),0))</f>
        <v>0.23135628536430677</v>
      </c>
    </row>
    <row r="308" spans="1:22" x14ac:dyDescent="0.25">
      <c r="A308">
        <v>307</v>
      </c>
      <c r="B308" s="1">
        <v>40557</v>
      </c>
      <c r="C308">
        <v>1</v>
      </c>
      <c r="D308">
        <v>0</v>
      </c>
      <c r="E308">
        <v>1</v>
      </c>
      <c r="F308">
        <v>6</v>
      </c>
      <c r="G308" t="b">
        <v>0</v>
      </c>
      <c r="H308">
        <v>5</v>
      </c>
      <c r="I308">
        <v>1</v>
      </c>
      <c r="J308">
        <v>0.1</v>
      </c>
      <c r="K308">
        <v>0.18179999999999999</v>
      </c>
      <c r="L308">
        <v>0.54</v>
      </c>
      <c r="M308">
        <v>0</v>
      </c>
      <c r="N308">
        <v>0</v>
      </c>
      <c r="O308">
        <v>17</v>
      </c>
      <c r="P308">
        <v>17</v>
      </c>
      <c r="Q308" t="str">
        <f t="shared" si="19"/>
        <v>Weekday</v>
      </c>
      <c r="R308" t="str">
        <f t="shared" si="16"/>
        <v>Clear</v>
      </c>
      <c r="S308">
        <f t="shared" si="17"/>
        <v>-0.25435329828790432</v>
      </c>
      <c r="T308">
        <f t="shared" si="18"/>
        <v>0.10399668008577614</v>
      </c>
      <c r="U308" s="6">
        <v>0.1</v>
      </c>
      <c r="V308">
        <f t="array" ref="V308">CORREL(IFERROR(VALUE(TRIM(CLEAN($U$2:$U$1001))),0), IFERROR(VALUE(TRIM(CLEAN($P$2:$P$1001))),0))</f>
        <v>0.23135628536430677</v>
      </c>
    </row>
    <row r="309" spans="1:22" x14ac:dyDescent="0.25">
      <c r="A309">
        <v>308</v>
      </c>
      <c r="B309" s="1">
        <v>40557</v>
      </c>
      <c r="C309">
        <v>1</v>
      </c>
      <c r="D309">
        <v>0</v>
      </c>
      <c r="E309">
        <v>1</v>
      </c>
      <c r="F309">
        <v>7</v>
      </c>
      <c r="G309" t="b">
        <v>0</v>
      </c>
      <c r="H309">
        <v>5</v>
      </c>
      <c r="I309">
        <v>1</v>
      </c>
      <c r="J309">
        <v>0.1</v>
      </c>
      <c r="K309">
        <v>0.1212</v>
      </c>
      <c r="L309">
        <v>0.74</v>
      </c>
      <c r="M309">
        <v>0.16420000000000001</v>
      </c>
      <c r="N309">
        <v>0</v>
      </c>
      <c r="O309">
        <v>70</v>
      </c>
      <c r="P309">
        <v>70</v>
      </c>
      <c r="Q309" t="str">
        <f t="shared" si="19"/>
        <v>Weekend</v>
      </c>
      <c r="R309" t="str">
        <f t="shared" si="16"/>
        <v>Clear</v>
      </c>
      <c r="S309">
        <f t="shared" si="17"/>
        <v>-0.25435329828790432</v>
      </c>
      <c r="T309">
        <f t="shared" si="18"/>
        <v>0.10399668008577614</v>
      </c>
      <c r="U309" s="6">
        <v>0.1</v>
      </c>
      <c r="V309">
        <f t="array" ref="V309">CORREL(IFERROR(VALUE(TRIM(CLEAN($U$2:$U$1001))),0), IFERROR(VALUE(TRIM(CLEAN($P$2:$P$1001))),0))</f>
        <v>0.23135628536430677</v>
      </c>
    </row>
    <row r="310" spans="1:22" x14ac:dyDescent="0.25">
      <c r="A310">
        <v>309</v>
      </c>
      <c r="B310" s="1">
        <v>40557</v>
      </c>
      <c r="C310">
        <v>1</v>
      </c>
      <c r="D310">
        <v>0</v>
      </c>
      <c r="E310">
        <v>1</v>
      </c>
      <c r="F310">
        <v>8</v>
      </c>
      <c r="G310" t="b">
        <v>0</v>
      </c>
      <c r="H310">
        <v>5</v>
      </c>
      <c r="I310">
        <v>1</v>
      </c>
      <c r="J310">
        <v>0.12</v>
      </c>
      <c r="K310">
        <v>0.16669999999999999</v>
      </c>
      <c r="L310">
        <v>0.68</v>
      </c>
      <c r="M310">
        <v>0</v>
      </c>
      <c r="N310">
        <v>2</v>
      </c>
      <c r="O310">
        <v>156</v>
      </c>
      <c r="P310">
        <v>158</v>
      </c>
      <c r="Q310" t="str">
        <f t="shared" si="19"/>
        <v>Weekend</v>
      </c>
      <c r="R310" t="str">
        <f t="shared" si="16"/>
        <v>Clear</v>
      </c>
      <c r="S310">
        <f t="shared" si="17"/>
        <v>-0.25435329828790432</v>
      </c>
      <c r="T310">
        <f t="shared" si="18"/>
        <v>0.10399668008577614</v>
      </c>
      <c r="U310" s="6">
        <v>0.12</v>
      </c>
      <c r="V310">
        <f t="array" ref="V310">CORREL(IFERROR(VALUE(TRIM(CLEAN($U$2:$U$1001))),0), IFERROR(VALUE(TRIM(CLEAN($P$2:$P$1001))),0))</f>
        <v>0.23135628536430677</v>
      </c>
    </row>
    <row r="311" spans="1:22" x14ac:dyDescent="0.25">
      <c r="A311">
        <v>310</v>
      </c>
      <c r="B311" s="1">
        <v>40557</v>
      </c>
      <c r="C311">
        <v>1</v>
      </c>
      <c r="D311">
        <v>0</v>
      </c>
      <c r="E311">
        <v>1</v>
      </c>
      <c r="F311">
        <v>9</v>
      </c>
      <c r="G311" t="b">
        <v>0</v>
      </c>
      <c r="H311">
        <v>5</v>
      </c>
      <c r="I311">
        <v>1</v>
      </c>
      <c r="J311">
        <v>0.14000000000000001</v>
      </c>
      <c r="K311">
        <v>0.1515</v>
      </c>
      <c r="L311">
        <v>0.69</v>
      </c>
      <c r="M311">
        <v>0.1343</v>
      </c>
      <c r="N311">
        <v>0</v>
      </c>
      <c r="O311">
        <v>117</v>
      </c>
      <c r="P311">
        <v>117</v>
      </c>
      <c r="Q311" t="str">
        <f t="shared" si="19"/>
        <v>Weekday</v>
      </c>
      <c r="R311" t="str">
        <f t="shared" si="16"/>
        <v>Clear</v>
      </c>
      <c r="S311">
        <f t="shared" si="17"/>
        <v>-0.25435329828790432</v>
      </c>
      <c r="T311">
        <f t="shared" si="18"/>
        <v>0.10399668008577614</v>
      </c>
      <c r="U311" s="6">
        <v>0.14000000000000001</v>
      </c>
      <c r="V311">
        <f t="array" ref="V311">CORREL(IFERROR(VALUE(TRIM(CLEAN($U$2:$U$1001))),0), IFERROR(VALUE(TRIM(CLEAN($P$2:$P$1001))),0))</f>
        <v>0.23135628536430677</v>
      </c>
    </row>
    <row r="312" spans="1:22" x14ac:dyDescent="0.25">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c r="Q312" t="str">
        <f t="shared" si="19"/>
        <v>Weekday</v>
      </c>
      <c r="R312" t="str">
        <f t="shared" si="16"/>
        <v>Clear</v>
      </c>
      <c r="S312">
        <f t="shared" si="17"/>
        <v>-0.25435329828790432</v>
      </c>
      <c r="T312">
        <f t="shared" si="18"/>
        <v>0.10399668008577614</v>
      </c>
      <c r="U312" s="6">
        <v>0.18</v>
      </c>
      <c r="V312">
        <f t="array" ref="V312">CORREL(IFERROR(VALUE(TRIM(CLEAN($U$2:$U$1001))),0), IFERROR(VALUE(TRIM(CLEAN($P$2:$P$1001))),0))</f>
        <v>0.23135628536430677</v>
      </c>
    </row>
    <row r="313" spans="1:22" x14ac:dyDescent="0.25">
      <c r="A313">
        <v>312</v>
      </c>
      <c r="B313" s="1">
        <v>40557</v>
      </c>
      <c r="C313">
        <v>1</v>
      </c>
      <c r="D313">
        <v>0</v>
      </c>
      <c r="E313">
        <v>1</v>
      </c>
      <c r="F313">
        <v>11</v>
      </c>
      <c r="G313" t="b">
        <v>0</v>
      </c>
      <c r="H313">
        <v>5</v>
      </c>
      <c r="I313">
        <v>1</v>
      </c>
      <c r="J313">
        <v>0.18</v>
      </c>
      <c r="K313">
        <v>0.16669999999999999</v>
      </c>
      <c r="L313">
        <v>0.51</v>
      </c>
      <c r="M313">
        <v>0.28360000000000002</v>
      </c>
      <c r="N313">
        <v>6</v>
      </c>
      <c r="O313">
        <v>47</v>
      </c>
      <c r="P313">
        <v>53</v>
      </c>
      <c r="Q313" t="str">
        <f t="shared" si="19"/>
        <v>Weekday</v>
      </c>
      <c r="R313" t="str">
        <f t="shared" si="16"/>
        <v>Clear</v>
      </c>
      <c r="S313">
        <f t="shared" si="17"/>
        <v>-0.25435329828790432</v>
      </c>
      <c r="T313">
        <f t="shared" si="18"/>
        <v>0.10399668008577614</v>
      </c>
      <c r="U313" s="6">
        <v>0.18</v>
      </c>
      <c r="V313">
        <f t="array" ref="V313">CORREL(IFERROR(VALUE(TRIM(CLEAN($U$2:$U$1001))),0), IFERROR(VALUE(TRIM(CLEAN($P$2:$P$1001))),0))</f>
        <v>0.23135628536430677</v>
      </c>
    </row>
    <row r="314" spans="1:22" x14ac:dyDescent="0.25">
      <c r="A314">
        <v>313</v>
      </c>
      <c r="B314" s="1">
        <v>40557</v>
      </c>
      <c r="C314">
        <v>1</v>
      </c>
      <c r="D314">
        <v>0</v>
      </c>
      <c r="E314">
        <v>1</v>
      </c>
      <c r="F314">
        <v>12</v>
      </c>
      <c r="G314" t="b">
        <v>0</v>
      </c>
      <c r="H314">
        <v>5</v>
      </c>
      <c r="I314">
        <v>1</v>
      </c>
      <c r="J314">
        <v>0.2</v>
      </c>
      <c r="K314">
        <v>0.19700000000000001</v>
      </c>
      <c r="L314">
        <v>0.44</v>
      </c>
      <c r="M314">
        <v>0.25369999999999998</v>
      </c>
      <c r="N314">
        <v>2</v>
      </c>
      <c r="O314">
        <v>59</v>
      </c>
      <c r="P314">
        <v>61</v>
      </c>
      <c r="Q314" t="str">
        <f t="shared" si="19"/>
        <v>Weekday</v>
      </c>
      <c r="R314" t="str">
        <f t="shared" si="16"/>
        <v>Clear</v>
      </c>
      <c r="S314">
        <f t="shared" si="17"/>
        <v>-0.25435329828790432</v>
      </c>
      <c r="T314">
        <f t="shared" si="18"/>
        <v>0.10399668008577614</v>
      </c>
      <c r="U314" s="6">
        <v>0.2</v>
      </c>
      <c r="V314">
        <f t="array" ref="V314">CORREL(IFERROR(VALUE(TRIM(CLEAN($U$2:$U$1001))),0), IFERROR(VALUE(TRIM(CLEAN($P$2:$P$1001))),0))</f>
        <v>0.23135628536430677</v>
      </c>
    </row>
    <row r="315" spans="1:22" x14ac:dyDescent="0.25">
      <c r="A315">
        <v>314</v>
      </c>
      <c r="B315" s="1">
        <v>40557</v>
      </c>
      <c r="C315">
        <v>1</v>
      </c>
      <c r="D315">
        <v>0</v>
      </c>
      <c r="E315">
        <v>1</v>
      </c>
      <c r="F315">
        <v>13</v>
      </c>
      <c r="G315" t="b">
        <v>0</v>
      </c>
      <c r="H315">
        <v>5</v>
      </c>
      <c r="I315">
        <v>1</v>
      </c>
      <c r="J315">
        <v>0.22</v>
      </c>
      <c r="K315">
        <v>0.19700000000000001</v>
      </c>
      <c r="L315">
        <v>0.37</v>
      </c>
      <c r="M315">
        <v>0.3881</v>
      </c>
      <c r="N315">
        <v>4</v>
      </c>
      <c r="O315">
        <v>73</v>
      </c>
      <c r="P315">
        <v>77</v>
      </c>
      <c r="Q315" t="str">
        <f t="shared" si="19"/>
        <v>Weekday</v>
      </c>
      <c r="R315" t="str">
        <f t="shared" si="16"/>
        <v>Clear</v>
      </c>
      <c r="S315">
        <f t="shared" si="17"/>
        <v>-0.25435329828790432</v>
      </c>
      <c r="T315">
        <f t="shared" si="18"/>
        <v>0.10399668008577614</v>
      </c>
      <c r="U315" s="6">
        <v>0.22</v>
      </c>
      <c r="V315">
        <f t="array" ref="V315">CORREL(IFERROR(VALUE(TRIM(CLEAN($U$2:$U$1001))),0), IFERROR(VALUE(TRIM(CLEAN($P$2:$P$1001))),0))</f>
        <v>0.23135628536430677</v>
      </c>
    </row>
    <row r="316" spans="1:22" x14ac:dyDescent="0.25">
      <c r="A316">
        <v>315</v>
      </c>
      <c r="B316" s="1">
        <v>40557</v>
      </c>
      <c r="C316">
        <v>1</v>
      </c>
      <c r="D316">
        <v>0</v>
      </c>
      <c r="E316">
        <v>1</v>
      </c>
      <c r="F316">
        <v>14</v>
      </c>
      <c r="G316" t="b">
        <v>0</v>
      </c>
      <c r="H316">
        <v>5</v>
      </c>
      <c r="I316">
        <v>1</v>
      </c>
      <c r="J316">
        <v>0.22</v>
      </c>
      <c r="K316">
        <v>0.21210000000000001</v>
      </c>
      <c r="L316">
        <v>0.41</v>
      </c>
      <c r="M316">
        <v>0.28360000000000002</v>
      </c>
      <c r="N316">
        <v>5</v>
      </c>
      <c r="O316">
        <v>59</v>
      </c>
      <c r="P316">
        <v>64</v>
      </c>
      <c r="Q316" t="str">
        <f t="shared" si="19"/>
        <v>Weekend</v>
      </c>
      <c r="R316" t="str">
        <f t="shared" si="16"/>
        <v>Clear</v>
      </c>
      <c r="S316">
        <f t="shared" si="17"/>
        <v>-0.25435329828790432</v>
      </c>
      <c r="T316">
        <f t="shared" si="18"/>
        <v>0.10399668008577614</v>
      </c>
      <c r="U316" s="6">
        <v>0.22</v>
      </c>
      <c r="V316">
        <f t="array" ref="V316">CORREL(IFERROR(VALUE(TRIM(CLEAN($U$2:$U$1001))),0), IFERROR(VALUE(TRIM(CLEAN($P$2:$P$1001))),0))</f>
        <v>0.23135628536430677</v>
      </c>
    </row>
    <row r="317" spans="1:22" x14ac:dyDescent="0.25">
      <c r="A317">
        <v>316</v>
      </c>
      <c r="B317" s="1">
        <v>40557</v>
      </c>
      <c r="C317">
        <v>1</v>
      </c>
      <c r="D317">
        <v>0</v>
      </c>
      <c r="E317">
        <v>1</v>
      </c>
      <c r="F317">
        <v>15</v>
      </c>
      <c r="G317" t="b">
        <v>0</v>
      </c>
      <c r="H317">
        <v>5</v>
      </c>
      <c r="I317">
        <v>1</v>
      </c>
      <c r="J317">
        <v>0.24</v>
      </c>
      <c r="K317">
        <v>0.2424</v>
      </c>
      <c r="L317">
        <v>0.38</v>
      </c>
      <c r="M317">
        <v>0.16420000000000001</v>
      </c>
      <c r="N317">
        <v>9</v>
      </c>
      <c r="O317">
        <v>59</v>
      </c>
      <c r="P317">
        <v>68</v>
      </c>
      <c r="Q317" t="str">
        <f t="shared" si="19"/>
        <v>Weekend</v>
      </c>
      <c r="R317" t="str">
        <f t="shared" si="16"/>
        <v>Clear</v>
      </c>
      <c r="S317">
        <f t="shared" si="17"/>
        <v>-0.25435329828790432</v>
      </c>
      <c r="T317">
        <f t="shared" si="18"/>
        <v>0.10399668008577614</v>
      </c>
      <c r="U317" s="6">
        <v>0.24</v>
      </c>
      <c r="V317">
        <f t="array" ref="V317">CORREL(IFERROR(VALUE(TRIM(CLEAN($U$2:$U$1001))),0), IFERROR(VALUE(TRIM(CLEAN($P$2:$P$1001))),0))</f>
        <v>0.23135628536430677</v>
      </c>
    </row>
    <row r="318" spans="1:22" x14ac:dyDescent="0.25">
      <c r="A318">
        <v>317</v>
      </c>
      <c r="B318" s="1">
        <v>40557</v>
      </c>
      <c r="C318">
        <v>1</v>
      </c>
      <c r="D318">
        <v>0</v>
      </c>
      <c r="E318">
        <v>1</v>
      </c>
      <c r="F318">
        <v>16</v>
      </c>
      <c r="G318" t="b">
        <v>0</v>
      </c>
      <c r="H318">
        <v>5</v>
      </c>
      <c r="I318">
        <v>1</v>
      </c>
      <c r="J318">
        <v>0.22</v>
      </c>
      <c r="K318">
        <v>0.2424</v>
      </c>
      <c r="L318">
        <v>0.41</v>
      </c>
      <c r="M318">
        <v>0.1045</v>
      </c>
      <c r="N318">
        <v>3</v>
      </c>
      <c r="O318">
        <v>87</v>
      </c>
      <c r="P318">
        <v>90</v>
      </c>
      <c r="Q318" t="str">
        <f t="shared" si="19"/>
        <v>Weekday</v>
      </c>
      <c r="R318" t="str">
        <f t="shared" si="16"/>
        <v>Clear</v>
      </c>
      <c r="S318">
        <f t="shared" si="17"/>
        <v>-0.25435329828790432</v>
      </c>
      <c r="T318">
        <f t="shared" si="18"/>
        <v>0.10399668008577614</v>
      </c>
      <c r="U318" s="6">
        <v>0.22</v>
      </c>
      <c r="V318">
        <f t="array" ref="V318">CORREL(IFERROR(VALUE(TRIM(CLEAN($U$2:$U$1001))),0), IFERROR(VALUE(TRIM(CLEAN($P$2:$P$1001))),0))</f>
        <v>0.23135628536430677</v>
      </c>
    </row>
    <row r="319" spans="1:22" x14ac:dyDescent="0.25">
      <c r="A319">
        <v>318</v>
      </c>
      <c r="B319" s="1">
        <v>40557</v>
      </c>
      <c r="C319">
        <v>1</v>
      </c>
      <c r="D319">
        <v>0</v>
      </c>
      <c r="E319">
        <v>1</v>
      </c>
      <c r="F319">
        <v>17</v>
      </c>
      <c r="G319" t="b">
        <v>0</v>
      </c>
      <c r="H319">
        <v>5</v>
      </c>
      <c r="I319">
        <v>1</v>
      </c>
      <c r="J319">
        <v>0.22</v>
      </c>
      <c r="K319">
        <v>0.2273</v>
      </c>
      <c r="L319">
        <v>0.41</v>
      </c>
      <c r="M319">
        <v>0.16420000000000001</v>
      </c>
      <c r="N319">
        <v>4</v>
      </c>
      <c r="O319">
        <v>155</v>
      </c>
      <c r="P319">
        <v>159</v>
      </c>
      <c r="Q319" t="str">
        <f t="shared" si="19"/>
        <v>Weekday</v>
      </c>
      <c r="R319" t="str">
        <f t="shared" si="16"/>
        <v>Clear</v>
      </c>
      <c r="S319">
        <f t="shared" si="17"/>
        <v>-0.25435329828790432</v>
      </c>
      <c r="T319">
        <f t="shared" si="18"/>
        <v>0.10399668008577614</v>
      </c>
      <c r="U319" s="6">
        <v>0.22</v>
      </c>
      <c r="V319">
        <f t="array" ref="V319">CORREL(IFERROR(VALUE(TRIM(CLEAN($U$2:$U$1001))),0), IFERROR(VALUE(TRIM(CLEAN($P$2:$P$1001))),0))</f>
        <v>0.23135628536430677</v>
      </c>
    </row>
    <row r="320" spans="1:22" x14ac:dyDescent="0.25">
      <c r="A320">
        <v>319</v>
      </c>
      <c r="B320" s="1">
        <v>40557</v>
      </c>
      <c r="C320">
        <v>1</v>
      </c>
      <c r="D320">
        <v>0</v>
      </c>
      <c r="E320">
        <v>1</v>
      </c>
      <c r="F320">
        <v>18</v>
      </c>
      <c r="G320" t="b">
        <v>0</v>
      </c>
      <c r="H320">
        <v>5</v>
      </c>
      <c r="I320">
        <v>1</v>
      </c>
      <c r="J320">
        <v>0.2</v>
      </c>
      <c r="K320">
        <v>0.2576</v>
      </c>
      <c r="L320">
        <v>0.47</v>
      </c>
      <c r="M320">
        <v>0</v>
      </c>
      <c r="N320">
        <v>5</v>
      </c>
      <c r="O320">
        <v>134</v>
      </c>
      <c r="P320">
        <v>139</v>
      </c>
      <c r="Q320" t="str">
        <f t="shared" si="19"/>
        <v>Weekday</v>
      </c>
      <c r="R320" t="str">
        <f t="shared" si="16"/>
        <v>Clear</v>
      </c>
      <c r="S320">
        <f t="shared" si="17"/>
        <v>-0.25435329828790432</v>
      </c>
      <c r="T320">
        <f t="shared" si="18"/>
        <v>0.10399668008577614</v>
      </c>
      <c r="U320" s="6">
        <v>0.2</v>
      </c>
      <c r="V320">
        <f t="array" ref="V320">CORREL(IFERROR(VALUE(TRIM(CLEAN($U$2:$U$1001))),0), IFERROR(VALUE(TRIM(CLEAN($P$2:$P$1001))),0))</f>
        <v>0.23135628536430677</v>
      </c>
    </row>
    <row r="321" spans="1:22" x14ac:dyDescent="0.25">
      <c r="A321">
        <v>320</v>
      </c>
      <c r="B321" s="1">
        <v>40557</v>
      </c>
      <c r="C321">
        <v>1</v>
      </c>
      <c r="D321">
        <v>0</v>
      </c>
      <c r="E321">
        <v>1</v>
      </c>
      <c r="F321">
        <v>19</v>
      </c>
      <c r="G321" t="b">
        <v>0</v>
      </c>
      <c r="H321">
        <v>5</v>
      </c>
      <c r="I321">
        <v>1</v>
      </c>
      <c r="J321">
        <v>0.16</v>
      </c>
      <c r="K321">
        <v>0.19700000000000001</v>
      </c>
      <c r="L321">
        <v>0.59</v>
      </c>
      <c r="M321">
        <v>8.9599999999999999E-2</v>
      </c>
      <c r="N321">
        <v>3</v>
      </c>
      <c r="O321">
        <v>89</v>
      </c>
      <c r="P321">
        <v>92</v>
      </c>
      <c r="Q321" t="str">
        <f t="shared" si="19"/>
        <v>Weekday</v>
      </c>
      <c r="R321" t="str">
        <f t="shared" si="16"/>
        <v>Clear</v>
      </c>
      <c r="S321">
        <f t="shared" si="17"/>
        <v>-0.25435329828790432</v>
      </c>
      <c r="T321">
        <f t="shared" si="18"/>
        <v>0.10399668008577614</v>
      </c>
      <c r="U321" s="6">
        <v>0.16</v>
      </c>
      <c r="V321">
        <f t="array" ref="V321">CORREL(IFERROR(VALUE(TRIM(CLEAN($U$2:$U$1001))),0), IFERROR(VALUE(TRIM(CLEAN($P$2:$P$1001))),0))</f>
        <v>0.23135628536430677</v>
      </c>
    </row>
    <row r="322" spans="1:22" x14ac:dyDescent="0.25">
      <c r="A322">
        <v>321</v>
      </c>
      <c r="B322" s="1">
        <v>40557</v>
      </c>
      <c r="C322">
        <v>1</v>
      </c>
      <c r="D322">
        <v>0</v>
      </c>
      <c r="E322">
        <v>1</v>
      </c>
      <c r="F322">
        <v>20</v>
      </c>
      <c r="G322" t="b">
        <v>0</v>
      </c>
      <c r="H322">
        <v>5</v>
      </c>
      <c r="I322">
        <v>1</v>
      </c>
      <c r="J322">
        <v>0.18</v>
      </c>
      <c r="K322">
        <v>0.2424</v>
      </c>
      <c r="L322">
        <v>0.59</v>
      </c>
      <c r="M322">
        <v>0</v>
      </c>
      <c r="N322">
        <v>0</v>
      </c>
      <c r="O322">
        <v>68</v>
      </c>
      <c r="P322">
        <v>68</v>
      </c>
      <c r="Q322" t="str">
        <f t="shared" si="19"/>
        <v>Weekday</v>
      </c>
      <c r="R322" t="str">
        <f t="shared" ref="R322:R385" si="20">IF(I322=1, "Clear", IF(I322=2, "Mist/Cloudy", IF(I322=3, "Light Snow/Rain", "Heavy Rain")))</f>
        <v>Clear</v>
      </c>
      <c r="S322">
        <f t="shared" ref="S322:S385" si="21">CORREL($L$2:$L$1001, $P$2:$P$1001)</f>
        <v>-0.25435329828790432</v>
      </c>
      <c r="T322">
        <f t="shared" ref="T322:T385" si="22">CORREL($M$2:$M$1001, $P$2:$P$1001)</f>
        <v>0.10399668008577614</v>
      </c>
      <c r="U322" s="6">
        <v>0.18</v>
      </c>
      <c r="V322">
        <f t="array" ref="V322">CORREL(IFERROR(VALUE(TRIM(CLEAN($U$2:$U$1001))),0), IFERROR(VALUE(TRIM(CLEAN($P$2:$P$1001))),0))</f>
        <v>0.23135628536430677</v>
      </c>
    </row>
    <row r="323" spans="1:22" x14ac:dyDescent="0.25">
      <c r="A323">
        <v>322</v>
      </c>
      <c r="B323" s="1">
        <v>40557</v>
      </c>
      <c r="C323">
        <v>1</v>
      </c>
      <c r="D323">
        <v>0</v>
      </c>
      <c r="E323">
        <v>1</v>
      </c>
      <c r="F323">
        <v>21</v>
      </c>
      <c r="G323" t="b">
        <v>0</v>
      </c>
      <c r="H323">
        <v>5</v>
      </c>
      <c r="I323">
        <v>1</v>
      </c>
      <c r="J323">
        <v>0.16</v>
      </c>
      <c r="K323">
        <v>0.2273</v>
      </c>
      <c r="L323">
        <v>0.69</v>
      </c>
      <c r="M323">
        <v>0</v>
      </c>
      <c r="N323">
        <v>4</v>
      </c>
      <c r="O323">
        <v>48</v>
      </c>
      <c r="P323">
        <v>52</v>
      </c>
      <c r="Q323" t="str">
        <f t="shared" ref="Q323:Q386" si="23">IF(WEEKDAY(A323,2)&gt;5,"Weekend","Weekday")</f>
        <v>Weekend</v>
      </c>
      <c r="R323" t="str">
        <f t="shared" si="20"/>
        <v>Clear</v>
      </c>
      <c r="S323">
        <f t="shared" si="21"/>
        <v>-0.25435329828790432</v>
      </c>
      <c r="T323">
        <f t="shared" si="22"/>
        <v>0.10399668008577614</v>
      </c>
      <c r="U323" s="6">
        <v>0.16</v>
      </c>
      <c r="V323">
        <f t="array" ref="V323">CORREL(IFERROR(VALUE(TRIM(CLEAN($U$2:$U$1001))),0), IFERROR(VALUE(TRIM(CLEAN($P$2:$P$1001))),0))</f>
        <v>0.23135628536430677</v>
      </c>
    </row>
    <row r="324" spans="1:22" x14ac:dyDescent="0.25">
      <c r="A324">
        <v>323</v>
      </c>
      <c r="B324" s="1">
        <v>40557</v>
      </c>
      <c r="C324">
        <v>1</v>
      </c>
      <c r="D324">
        <v>0</v>
      </c>
      <c r="E324">
        <v>1</v>
      </c>
      <c r="F324">
        <v>22</v>
      </c>
      <c r="G324" t="b">
        <v>0</v>
      </c>
      <c r="H324">
        <v>5</v>
      </c>
      <c r="I324">
        <v>2</v>
      </c>
      <c r="J324">
        <v>0.16</v>
      </c>
      <c r="K324">
        <v>0.2273</v>
      </c>
      <c r="L324">
        <v>0.69</v>
      </c>
      <c r="M324">
        <v>0</v>
      </c>
      <c r="N324">
        <v>2</v>
      </c>
      <c r="O324">
        <v>34</v>
      </c>
      <c r="P324">
        <v>36</v>
      </c>
      <c r="Q324" t="str">
        <f t="shared" si="23"/>
        <v>Weekend</v>
      </c>
      <c r="R324" t="str">
        <f t="shared" si="20"/>
        <v>Mist/Cloudy</v>
      </c>
      <c r="S324">
        <f t="shared" si="21"/>
        <v>-0.25435329828790432</v>
      </c>
      <c r="T324">
        <f t="shared" si="22"/>
        <v>0.10399668008577614</v>
      </c>
      <c r="U324" s="6">
        <v>0.16</v>
      </c>
      <c r="V324">
        <f t="array" ref="V324">CORREL(IFERROR(VALUE(TRIM(CLEAN($U$2:$U$1001))),0), IFERROR(VALUE(TRIM(CLEAN($P$2:$P$1001))),0))</f>
        <v>0.23135628536430677</v>
      </c>
    </row>
    <row r="325" spans="1:22" x14ac:dyDescent="0.25">
      <c r="A325">
        <v>324</v>
      </c>
      <c r="B325" s="1">
        <v>40557</v>
      </c>
      <c r="C325">
        <v>1</v>
      </c>
      <c r="D325">
        <v>0</v>
      </c>
      <c r="E325">
        <v>1</v>
      </c>
      <c r="F325">
        <v>23</v>
      </c>
      <c r="G325" t="b">
        <v>0</v>
      </c>
      <c r="H325">
        <v>5</v>
      </c>
      <c r="I325">
        <v>2</v>
      </c>
      <c r="J325">
        <v>0.18</v>
      </c>
      <c r="K325">
        <v>0.2424</v>
      </c>
      <c r="L325">
        <v>0.55000000000000004</v>
      </c>
      <c r="M325">
        <v>0</v>
      </c>
      <c r="N325">
        <v>1</v>
      </c>
      <c r="O325">
        <v>26</v>
      </c>
      <c r="P325">
        <v>27</v>
      </c>
      <c r="Q325" t="str">
        <f t="shared" si="23"/>
        <v>Weekday</v>
      </c>
      <c r="R325" t="str">
        <f t="shared" si="20"/>
        <v>Mist/Cloudy</v>
      </c>
      <c r="S325">
        <f t="shared" si="21"/>
        <v>-0.25435329828790432</v>
      </c>
      <c r="T325">
        <f t="shared" si="22"/>
        <v>0.10399668008577614</v>
      </c>
      <c r="U325" s="6">
        <v>0.18</v>
      </c>
      <c r="V325">
        <f t="array" ref="V325">CORREL(IFERROR(VALUE(TRIM(CLEAN($U$2:$U$1001))),0), IFERROR(VALUE(TRIM(CLEAN($P$2:$P$1001))),0))</f>
        <v>0.23135628536430677</v>
      </c>
    </row>
    <row r="326" spans="1:22" x14ac:dyDescent="0.25">
      <c r="A326">
        <v>325</v>
      </c>
      <c r="B326" s="1">
        <v>40558</v>
      </c>
      <c r="C326">
        <v>1</v>
      </c>
      <c r="D326">
        <v>0</v>
      </c>
      <c r="E326">
        <v>1</v>
      </c>
      <c r="F326">
        <v>0</v>
      </c>
      <c r="G326" t="b">
        <v>0</v>
      </c>
      <c r="H326">
        <v>6</v>
      </c>
      <c r="I326">
        <v>1</v>
      </c>
      <c r="J326">
        <v>0.18</v>
      </c>
      <c r="K326">
        <v>0.2424</v>
      </c>
      <c r="L326">
        <v>0.55000000000000004</v>
      </c>
      <c r="M326">
        <v>0</v>
      </c>
      <c r="N326">
        <v>3</v>
      </c>
      <c r="O326">
        <v>25</v>
      </c>
      <c r="P326">
        <v>28</v>
      </c>
      <c r="Q326" t="str">
        <f t="shared" si="23"/>
        <v>Weekday</v>
      </c>
      <c r="R326" t="str">
        <f t="shared" si="20"/>
        <v>Clear</v>
      </c>
      <c r="S326">
        <f t="shared" si="21"/>
        <v>-0.25435329828790432</v>
      </c>
      <c r="T326">
        <f t="shared" si="22"/>
        <v>0.10399668008577614</v>
      </c>
      <c r="U326" s="6">
        <v>0.18</v>
      </c>
      <c r="V326">
        <f t="array" ref="V326">CORREL(IFERROR(VALUE(TRIM(CLEAN($U$2:$U$1001))),0), IFERROR(VALUE(TRIM(CLEAN($P$2:$P$1001))),0))</f>
        <v>0.23135628536430677</v>
      </c>
    </row>
    <row r="327" spans="1:22" x14ac:dyDescent="0.25">
      <c r="A327">
        <v>326</v>
      </c>
      <c r="B327" s="1">
        <v>40558</v>
      </c>
      <c r="C327">
        <v>1</v>
      </c>
      <c r="D327">
        <v>0</v>
      </c>
      <c r="E327">
        <v>1</v>
      </c>
      <c r="F327">
        <v>1</v>
      </c>
      <c r="G327" t="b">
        <v>0</v>
      </c>
      <c r="H327">
        <v>6</v>
      </c>
      <c r="I327">
        <v>2</v>
      </c>
      <c r="J327">
        <v>0.16</v>
      </c>
      <c r="K327">
        <v>0.19700000000000001</v>
      </c>
      <c r="L327">
        <v>0.59</v>
      </c>
      <c r="M327">
        <v>8.9599999999999999E-2</v>
      </c>
      <c r="N327">
        <v>2</v>
      </c>
      <c r="O327">
        <v>18</v>
      </c>
      <c r="P327">
        <v>20</v>
      </c>
      <c r="Q327" t="str">
        <f t="shared" si="23"/>
        <v>Weekday</v>
      </c>
      <c r="R327" t="str">
        <f t="shared" si="20"/>
        <v>Mist/Cloudy</v>
      </c>
      <c r="S327">
        <f t="shared" si="21"/>
        <v>-0.25435329828790432</v>
      </c>
      <c r="T327">
        <f t="shared" si="22"/>
        <v>0.10399668008577614</v>
      </c>
      <c r="U327" s="6">
        <v>0.16</v>
      </c>
      <c r="V327">
        <f t="array" ref="V327">CORREL(IFERROR(VALUE(TRIM(CLEAN($U$2:$U$1001))),0), IFERROR(VALUE(TRIM(CLEAN($P$2:$P$1001))),0))</f>
        <v>0.23135628536430677</v>
      </c>
    </row>
    <row r="328" spans="1:22" x14ac:dyDescent="0.25">
      <c r="A328">
        <v>327</v>
      </c>
      <c r="B328" s="1">
        <v>40558</v>
      </c>
      <c r="C328">
        <v>1</v>
      </c>
      <c r="D328">
        <v>0</v>
      </c>
      <c r="E328">
        <v>1</v>
      </c>
      <c r="F328">
        <v>2</v>
      </c>
      <c r="G328" t="b">
        <v>0</v>
      </c>
      <c r="H328">
        <v>6</v>
      </c>
      <c r="I328">
        <v>2</v>
      </c>
      <c r="J328">
        <v>0.16</v>
      </c>
      <c r="K328">
        <v>0.19700000000000001</v>
      </c>
      <c r="L328">
        <v>0.59</v>
      </c>
      <c r="M328">
        <v>8.9599999999999999E-2</v>
      </c>
      <c r="N328">
        <v>0</v>
      </c>
      <c r="O328">
        <v>12</v>
      </c>
      <c r="P328">
        <v>12</v>
      </c>
      <c r="Q328" t="str">
        <f t="shared" si="23"/>
        <v>Weekday</v>
      </c>
      <c r="R328" t="str">
        <f t="shared" si="20"/>
        <v>Mist/Cloudy</v>
      </c>
      <c r="S328">
        <f t="shared" si="21"/>
        <v>-0.25435329828790432</v>
      </c>
      <c r="T328">
        <f t="shared" si="22"/>
        <v>0.10399668008577614</v>
      </c>
      <c r="U328" s="6">
        <v>0.16</v>
      </c>
      <c r="V328">
        <f t="array" ref="V328">CORREL(IFERROR(VALUE(TRIM(CLEAN($U$2:$U$1001))),0), IFERROR(VALUE(TRIM(CLEAN($P$2:$P$1001))),0))</f>
        <v>0.23135628536430677</v>
      </c>
    </row>
    <row r="329" spans="1:22" x14ac:dyDescent="0.25">
      <c r="A329">
        <v>328</v>
      </c>
      <c r="B329" s="1">
        <v>40558</v>
      </c>
      <c r="C329">
        <v>1</v>
      </c>
      <c r="D329">
        <v>0</v>
      </c>
      <c r="E329">
        <v>1</v>
      </c>
      <c r="F329">
        <v>3</v>
      </c>
      <c r="G329" t="b">
        <v>0</v>
      </c>
      <c r="H329">
        <v>6</v>
      </c>
      <c r="I329">
        <v>2</v>
      </c>
      <c r="J329">
        <v>0.16</v>
      </c>
      <c r="K329">
        <v>0.2273</v>
      </c>
      <c r="L329">
        <v>0.59</v>
      </c>
      <c r="M329">
        <v>0</v>
      </c>
      <c r="N329">
        <v>1</v>
      </c>
      <c r="O329">
        <v>7</v>
      </c>
      <c r="P329">
        <v>8</v>
      </c>
      <c r="Q329" t="str">
        <f t="shared" si="23"/>
        <v>Weekday</v>
      </c>
      <c r="R329" t="str">
        <f t="shared" si="20"/>
        <v>Mist/Cloudy</v>
      </c>
      <c r="S329">
        <f t="shared" si="21"/>
        <v>-0.25435329828790432</v>
      </c>
      <c r="T329">
        <f t="shared" si="22"/>
        <v>0.10399668008577614</v>
      </c>
      <c r="U329" s="6">
        <v>0.16</v>
      </c>
      <c r="V329">
        <f t="array" ref="V329">CORREL(IFERROR(VALUE(TRIM(CLEAN($U$2:$U$1001))),0), IFERROR(VALUE(TRIM(CLEAN($P$2:$P$1001))),0))</f>
        <v>0.23135628536430677</v>
      </c>
    </row>
    <row r="330" spans="1:22" x14ac:dyDescent="0.25">
      <c r="A330">
        <v>329</v>
      </c>
      <c r="B330" s="1">
        <v>40558</v>
      </c>
      <c r="C330">
        <v>1</v>
      </c>
      <c r="D330">
        <v>0</v>
      </c>
      <c r="E330">
        <v>1</v>
      </c>
      <c r="F330">
        <v>4</v>
      </c>
      <c r="G330" t="b">
        <v>0</v>
      </c>
      <c r="H330">
        <v>6</v>
      </c>
      <c r="I330">
        <v>2</v>
      </c>
      <c r="J330">
        <v>0.16</v>
      </c>
      <c r="K330">
        <v>0.2273</v>
      </c>
      <c r="L330">
        <v>0.59</v>
      </c>
      <c r="M330">
        <v>0</v>
      </c>
      <c r="N330">
        <v>0</v>
      </c>
      <c r="O330">
        <v>5</v>
      </c>
      <c r="P330">
        <v>5</v>
      </c>
      <c r="Q330" t="str">
        <f t="shared" si="23"/>
        <v>Weekend</v>
      </c>
      <c r="R330" t="str">
        <f t="shared" si="20"/>
        <v>Mist/Cloudy</v>
      </c>
      <c r="S330">
        <f t="shared" si="21"/>
        <v>-0.25435329828790432</v>
      </c>
      <c r="T330">
        <f t="shared" si="22"/>
        <v>0.10399668008577614</v>
      </c>
      <c r="U330" s="6">
        <v>0.16</v>
      </c>
      <c r="V330">
        <f t="array" ref="V330">CORREL(IFERROR(VALUE(TRIM(CLEAN($U$2:$U$1001))),0), IFERROR(VALUE(TRIM(CLEAN($P$2:$P$1001))),0))</f>
        <v>0.23135628536430677</v>
      </c>
    </row>
    <row r="331" spans="1:22" x14ac:dyDescent="0.25">
      <c r="A331">
        <v>330</v>
      </c>
      <c r="B331" s="1">
        <v>40558</v>
      </c>
      <c r="C331">
        <v>1</v>
      </c>
      <c r="D331">
        <v>0</v>
      </c>
      <c r="E331">
        <v>1</v>
      </c>
      <c r="F331">
        <v>5</v>
      </c>
      <c r="G331" t="b">
        <v>0</v>
      </c>
      <c r="H331">
        <v>6</v>
      </c>
      <c r="I331">
        <v>1</v>
      </c>
      <c r="J331">
        <v>0.16</v>
      </c>
      <c r="K331">
        <v>0.2273</v>
      </c>
      <c r="L331">
        <v>0.59</v>
      </c>
      <c r="M331">
        <v>0</v>
      </c>
      <c r="N331">
        <v>0</v>
      </c>
      <c r="O331">
        <v>1</v>
      </c>
      <c r="P331">
        <v>1</v>
      </c>
      <c r="Q331" t="str">
        <f t="shared" si="23"/>
        <v>Weekend</v>
      </c>
      <c r="R331" t="str">
        <f t="shared" si="20"/>
        <v>Clear</v>
      </c>
      <c r="S331">
        <f t="shared" si="21"/>
        <v>-0.25435329828790432</v>
      </c>
      <c r="T331">
        <f t="shared" si="22"/>
        <v>0.10399668008577614</v>
      </c>
      <c r="U331" s="6">
        <v>0.16</v>
      </c>
      <c r="V331">
        <f t="array" ref="V331">CORREL(IFERROR(VALUE(TRIM(CLEAN($U$2:$U$1001))),0), IFERROR(VALUE(TRIM(CLEAN($P$2:$P$1001))),0))</f>
        <v>0.23135628536430677</v>
      </c>
    </row>
    <row r="332" spans="1:22" x14ac:dyDescent="0.25">
      <c r="A332">
        <v>331</v>
      </c>
      <c r="B332" s="1">
        <v>40558</v>
      </c>
      <c r="C332">
        <v>1</v>
      </c>
      <c r="D332">
        <v>0</v>
      </c>
      <c r="E332">
        <v>1</v>
      </c>
      <c r="F332">
        <v>6</v>
      </c>
      <c r="G332" t="b">
        <v>0</v>
      </c>
      <c r="H332">
        <v>6</v>
      </c>
      <c r="I332">
        <v>1</v>
      </c>
      <c r="J332">
        <v>0.14000000000000001</v>
      </c>
      <c r="K332">
        <v>0.16669999999999999</v>
      </c>
      <c r="L332">
        <v>0.63</v>
      </c>
      <c r="M332">
        <v>0.1045</v>
      </c>
      <c r="N332">
        <v>1</v>
      </c>
      <c r="O332">
        <v>2</v>
      </c>
      <c r="P332">
        <v>3</v>
      </c>
      <c r="Q332" t="str">
        <f t="shared" si="23"/>
        <v>Weekday</v>
      </c>
      <c r="R332" t="str">
        <f t="shared" si="20"/>
        <v>Clear</v>
      </c>
      <c r="S332">
        <f t="shared" si="21"/>
        <v>-0.25435329828790432</v>
      </c>
      <c r="T332">
        <f t="shared" si="22"/>
        <v>0.10399668008577614</v>
      </c>
      <c r="U332" s="6">
        <v>0.14000000000000001</v>
      </c>
      <c r="V332">
        <f t="array" ref="V332">CORREL(IFERROR(VALUE(TRIM(CLEAN($U$2:$U$1001))),0), IFERROR(VALUE(TRIM(CLEAN($P$2:$P$1001))),0))</f>
        <v>0.23135628536430677</v>
      </c>
    </row>
    <row r="333" spans="1:22" x14ac:dyDescent="0.25">
      <c r="A333">
        <v>332</v>
      </c>
      <c r="B333" s="1">
        <v>40558</v>
      </c>
      <c r="C333">
        <v>1</v>
      </c>
      <c r="D333">
        <v>0</v>
      </c>
      <c r="E333">
        <v>1</v>
      </c>
      <c r="F333">
        <v>7</v>
      </c>
      <c r="G333" t="b">
        <v>0</v>
      </c>
      <c r="H333">
        <v>6</v>
      </c>
      <c r="I333">
        <v>1</v>
      </c>
      <c r="J333">
        <v>0.14000000000000001</v>
      </c>
      <c r="K333">
        <v>0.21210000000000001</v>
      </c>
      <c r="L333">
        <v>0.63</v>
      </c>
      <c r="M333">
        <v>0</v>
      </c>
      <c r="N333">
        <v>1</v>
      </c>
      <c r="O333">
        <v>9</v>
      </c>
      <c r="P333">
        <v>10</v>
      </c>
      <c r="Q333" t="str">
        <f t="shared" si="23"/>
        <v>Weekday</v>
      </c>
      <c r="R333" t="str">
        <f t="shared" si="20"/>
        <v>Clear</v>
      </c>
      <c r="S333">
        <f t="shared" si="21"/>
        <v>-0.25435329828790432</v>
      </c>
      <c r="T333">
        <f t="shared" si="22"/>
        <v>0.10399668008577614</v>
      </c>
      <c r="U333" s="6">
        <v>0.14000000000000001</v>
      </c>
      <c r="V333">
        <f t="array" ref="V333">CORREL(IFERROR(VALUE(TRIM(CLEAN($U$2:$U$1001))),0), IFERROR(VALUE(TRIM(CLEAN($P$2:$P$1001))),0))</f>
        <v>0.23135628536430677</v>
      </c>
    </row>
    <row r="334" spans="1:22" x14ac:dyDescent="0.25">
      <c r="A334">
        <v>333</v>
      </c>
      <c r="B334" s="1">
        <v>40558</v>
      </c>
      <c r="C334">
        <v>1</v>
      </c>
      <c r="D334">
        <v>0</v>
      </c>
      <c r="E334">
        <v>1</v>
      </c>
      <c r="F334">
        <v>8</v>
      </c>
      <c r="G334" t="b">
        <v>0</v>
      </c>
      <c r="H334">
        <v>6</v>
      </c>
      <c r="I334">
        <v>1</v>
      </c>
      <c r="J334">
        <v>0.14000000000000001</v>
      </c>
      <c r="K334">
        <v>0.1515</v>
      </c>
      <c r="L334">
        <v>0.63</v>
      </c>
      <c r="M334">
        <v>0.1343</v>
      </c>
      <c r="N334">
        <v>1</v>
      </c>
      <c r="O334">
        <v>22</v>
      </c>
      <c r="P334">
        <v>23</v>
      </c>
      <c r="Q334" t="str">
        <f t="shared" si="23"/>
        <v>Weekday</v>
      </c>
      <c r="R334" t="str">
        <f t="shared" si="20"/>
        <v>Clear</v>
      </c>
      <c r="S334">
        <f t="shared" si="21"/>
        <v>-0.25435329828790432</v>
      </c>
      <c r="T334">
        <f t="shared" si="22"/>
        <v>0.10399668008577614</v>
      </c>
      <c r="U334" s="6">
        <v>0.14000000000000001</v>
      </c>
      <c r="V334">
        <f t="array" ref="V334">CORREL(IFERROR(VALUE(TRIM(CLEAN($U$2:$U$1001))),0), IFERROR(VALUE(TRIM(CLEAN($P$2:$P$1001))),0))</f>
        <v>0.23135628536430677</v>
      </c>
    </row>
    <row r="335" spans="1:22" x14ac:dyDescent="0.25">
      <c r="A335">
        <v>334</v>
      </c>
      <c r="B335" s="1">
        <v>40558</v>
      </c>
      <c r="C335">
        <v>1</v>
      </c>
      <c r="D335">
        <v>0</v>
      </c>
      <c r="E335">
        <v>1</v>
      </c>
      <c r="F335">
        <v>9</v>
      </c>
      <c r="G335" t="b">
        <v>0</v>
      </c>
      <c r="H335">
        <v>6</v>
      </c>
      <c r="I335">
        <v>1</v>
      </c>
      <c r="J335">
        <v>0.16</v>
      </c>
      <c r="K335">
        <v>0.18179999999999999</v>
      </c>
      <c r="L335">
        <v>0.64</v>
      </c>
      <c r="M335">
        <v>0.1343</v>
      </c>
      <c r="N335">
        <v>2</v>
      </c>
      <c r="O335">
        <v>31</v>
      </c>
      <c r="P335">
        <v>33</v>
      </c>
      <c r="Q335" t="str">
        <f t="shared" si="23"/>
        <v>Weekday</v>
      </c>
      <c r="R335" t="str">
        <f t="shared" si="20"/>
        <v>Clear</v>
      </c>
      <c r="S335">
        <f t="shared" si="21"/>
        <v>-0.25435329828790432</v>
      </c>
      <c r="T335">
        <f t="shared" si="22"/>
        <v>0.10399668008577614</v>
      </c>
      <c r="U335" s="6">
        <v>0.16</v>
      </c>
      <c r="V335">
        <f t="array" ref="V335">CORREL(IFERROR(VALUE(TRIM(CLEAN($U$2:$U$1001))),0), IFERROR(VALUE(TRIM(CLEAN($P$2:$P$1001))),0))</f>
        <v>0.23135628536430677</v>
      </c>
    </row>
    <row r="336" spans="1:22" x14ac:dyDescent="0.25">
      <c r="A336">
        <v>335</v>
      </c>
      <c r="B336" s="1">
        <v>40558</v>
      </c>
      <c r="C336">
        <v>1</v>
      </c>
      <c r="D336">
        <v>0</v>
      </c>
      <c r="E336">
        <v>1</v>
      </c>
      <c r="F336">
        <v>10</v>
      </c>
      <c r="G336" t="b">
        <v>0</v>
      </c>
      <c r="H336">
        <v>6</v>
      </c>
      <c r="I336">
        <v>1</v>
      </c>
      <c r="J336">
        <v>0.18</v>
      </c>
      <c r="K336">
        <v>0.19700000000000001</v>
      </c>
      <c r="L336">
        <v>0.59</v>
      </c>
      <c r="M336">
        <v>0.16420000000000001</v>
      </c>
      <c r="N336">
        <v>2</v>
      </c>
      <c r="O336">
        <v>57</v>
      </c>
      <c r="P336">
        <v>59</v>
      </c>
      <c r="Q336" t="str">
        <f t="shared" si="23"/>
        <v>Weekday</v>
      </c>
      <c r="R336" t="str">
        <f t="shared" si="20"/>
        <v>Clear</v>
      </c>
      <c r="S336">
        <f t="shared" si="21"/>
        <v>-0.25435329828790432</v>
      </c>
      <c r="T336">
        <f t="shared" si="22"/>
        <v>0.10399668008577614</v>
      </c>
      <c r="U336" s="6">
        <v>0.18</v>
      </c>
      <c r="V336">
        <f t="array" ref="V336">CORREL(IFERROR(VALUE(TRIM(CLEAN($U$2:$U$1001))),0), IFERROR(VALUE(TRIM(CLEAN($P$2:$P$1001))),0))</f>
        <v>0.23135628536430677</v>
      </c>
    </row>
    <row r="337" spans="1:22" x14ac:dyDescent="0.25">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c r="Q337" t="str">
        <f t="shared" si="23"/>
        <v>Weekend</v>
      </c>
      <c r="R337" t="str">
        <f t="shared" si="20"/>
        <v>Clear</v>
      </c>
      <c r="S337">
        <f t="shared" si="21"/>
        <v>-0.25435329828790432</v>
      </c>
      <c r="T337">
        <f t="shared" si="22"/>
        <v>0.10399668008577614</v>
      </c>
      <c r="U337" s="6">
        <v>0.2</v>
      </c>
      <c r="V337">
        <f t="array" ref="V337">CORREL(IFERROR(VALUE(TRIM(CLEAN($U$2:$U$1001))),0), IFERROR(VALUE(TRIM(CLEAN($P$2:$P$1001))),0))</f>
        <v>0.23135628536430677</v>
      </c>
    </row>
    <row r="338" spans="1:22" x14ac:dyDescent="0.25">
      <c r="A338">
        <v>337</v>
      </c>
      <c r="B338" s="1">
        <v>40558</v>
      </c>
      <c r="C338">
        <v>1</v>
      </c>
      <c r="D338">
        <v>0</v>
      </c>
      <c r="E338">
        <v>1</v>
      </c>
      <c r="F338">
        <v>12</v>
      </c>
      <c r="G338" t="b">
        <v>0</v>
      </c>
      <c r="H338">
        <v>6</v>
      </c>
      <c r="I338">
        <v>1</v>
      </c>
      <c r="J338">
        <v>0.24</v>
      </c>
      <c r="K338">
        <v>0.2273</v>
      </c>
      <c r="L338">
        <v>0.48</v>
      </c>
      <c r="M338">
        <v>0.22389999999999999</v>
      </c>
      <c r="N338">
        <v>15</v>
      </c>
      <c r="O338">
        <v>74</v>
      </c>
      <c r="P338">
        <v>89</v>
      </c>
      <c r="Q338" t="str">
        <f t="shared" si="23"/>
        <v>Weekend</v>
      </c>
      <c r="R338" t="str">
        <f t="shared" si="20"/>
        <v>Clear</v>
      </c>
      <c r="S338">
        <f t="shared" si="21"/>
        <v>-0.25435329828790432</v>
      </c>
      <c r="T338">
        <f t="shared" si="22"/>
        <v>0.10399668008577614</v>
      </c>
      <c r="U338" s="6">
        <v>0.24</v>
      </c>
      <c r="V338">
        <f t="array" ref="V338">CORREL(IFERROR(VALUE(TRIM(CLEAN($U$2:$U$1001))),0), IFERROR(VALUE(TRIM(CLEAN($P$2:$P$1001))),0))</f>
        <v>0.23135628536430677</v>
      </c>
    </row>
    <row r="339" spans="1:22" x14ac:dyDescent="0.25">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c r="Q339" t="str">
        <f t="shared" si="23"/>
        <v>Weekday</v>
      </c>
      <c r="R339" t="str">
        <f t="shared" si="20"/>
        <v>Clear</v>
      </c>
      <c r="S339">
        <f t="shared" si="21"/>
        <v>-0.25435329828790432</v>
      </c>
      <c r="T339">
        <f t="shared" si="22"/>
        <v>0.10399668008577614</v>
      </c>
      <c r="U339" s="6">
        <v>0.28000000000000003</v>
      </c>
      <c r="V339">
        <f t="array" ref="V339">CORREL(IFERROR(VALUE(TRIM(CLEAN($U$2:$U$1001))),0), IFERROR(VALUE(TRIM(CLEAN($P$2:$P$1001))),0))</f>
        <v>0.23135628536430677</v>
      </c>
    </row>
    <row r="340" spans="1:22" x14ac:dyDescent="0.25">
      <c r="A340">
        <v>339</v>
      </c>
      <c r="B340" s="1">
        <v>40558</v>
      </c>
      <c r="C340">
        <v>1</v>
      </c>
      <c r="D340">
        <v>0</v>
      </c>
      <c r="E340">
        <v>1</v>
      </c>
      <c r="F340">
        <v>14</v>
      </c>
      <c r="G340" t="b">
        <v>0</v>
      </c>
      <c r="H340">
        <v>6</v>
      </c>
      <c r="I340">
        <v>1</v>
      </c>
      <c r="J340">
        <v>0.3</v>
      </c>
      <c r="K340">
        <v>0.28789999999999999</v>
      </c>
      <c r="L340">
        <v>0.39</v>
      </c>
      <c r="M340">
        <v>0.28360000000000002</v>
      </c>
      <c r="N340">
        <v>26</v>
      </c>
      <c r="O340">
        <v>92</v>
      </c>
      <c r="P340">
        <v>118</v>
      </c>
      <c r="Q340" t="str">
        <f t="shared" si="23"/>
        <v>Weekday</v>
      </c>
      <c r="R340" t="str">
        <f t="shared" si="20"/>
        <v>Clear</v>
      </c>
      <c r="S340">
        <f t="shared" si="21"/>
        <v>-0.25435329828790432</v>
      </c>
      <c r="T340">
        <f t="shared" si="22"/>
        <v>0.10399668008577614</v>
      </c>
      <c r="U340" s="6">
        <v>0.3</v>
      </c>
      <c r="V340">
        <f t="array" ref="V340">CORREL(IFERROR(VALUE(TRIM(CLEAN($U$2:$U$1001))),0), IFERROR(VALUE(TRIM(CLEAN($P$2:$P$1001))),0))</f>
        <v>0.23135628536430677</v>
      </c>
    </row>
    <row r="341" spans="1:22" x14ac:dyDescent="0.25">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c r="Q341" t="str">
        <f t="shared" si="23"/>
        <v>Weekday</v>
      </c>
      <c r="R341" t="str">
        <f t="shared" si="20"/>
        <v>Mist/Cloudy</v>
      </c>
      <c r="S341">
        <f t="shared" si="21"/>
        <v>-0.25435329828790432</v>
      </c>
      <c r="T341">
        <f t="shared" si="22"/>
        <v>0.10399668008577614</v>
      </c>
      <c r="U341" s="6">
        <v>0.32</v>
      </c>
      <c r="V341">
        <f t="array" ref="V341">CORREL(IFERROR(VALUE(TRIM(CLEAN($U$2:$U$1001))),0), IFERROR(VALUE(TRIM(CLEAN($P$2:$P$1001))),0))</f>
        <v>0.23135628536430677</v>
      </c>
    </row>
    <row r="342" spans="1:22" x14ac:dyDescent="0.25">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c r="Q342" t="str">
        <f t="shared" si="23"/>
        <v>Weekday</v>
      </c>
      <c r="R342" t="str">
        <f t="shared" si="20"/>
        <v>Mist/Cloudy</v>
      </c>
      <c r="S342">
        <f t="shared" si="21"/>
        <v>-0.25435329828790432</v>
      </c>
      <c r="T342">
        <f t="shared" si="22"/>
        <v>0.10399668008577614</v>
      </c>
      <c r="U342" s="6">
        <v>0.34</v>
      </c>
      <c r="V342">
        <f t="array" ref="V342">CORREL(IFERROR(VALUE(TRIM(CLEAN($U$2:$U$1001))),0), IFERROR(VALUE(TRIM(CLEAN($P$2:$P$1001))),0))</f>
        <v>0.23135628536430677</v>
      </c>
    </row>
    <row r="343" spans="1:22" x14ac:dyDescent="0.25">
      <c r="A343">
        <v>342</v>
      </c>
      <c r="B343" s="1">
        <v>40558</v>
      </c>
      <c r="C343">
        <v>1</v>
      </c>
      <c r="D343">
        <v>0</v>
      </c>
      <c r="E343">
        <v>1</v>
      </c>
      <c r="F343">
        <v>17</v>
      </c>
      <c r="G343" t="b">
        <v>0</v>
      </c>
      <c r="H343">
        <v>6</v>
      </c>
      <c r="I343">
        <v>2</v>
      </c>
      <c r="J343">
        <v>0.32</v>
      </c>
      <c r="K343">
        <v>0.30299999999999999</v>
      </c>
      <c r="L343">
        <v>0.36</v>
      </c>
      <c r="M343">
        <v>0.28360000000000002</v>
      </c>
      <c r="N343">
        <v>29</v>
      </c>
      <c r="O343">
        <v>54</v>
      </c>
      <c r="P343">
        <v>83</v>
      </c>
      <c r="Q343" t="str">
        <f t="shared" si="23"/>
        <v>Weekday</v>
      </c>
      <c r="R343" t="str">
        <f t="shared" si="20"/>
        <v>Mist/Cloudy</v>
      </c>
      <c r="S343">
        <f t="shared" si="21"/>
        <v>-0.25435329828790432</v>
      </c>
      <c r="T343">
        <f t="shared" si="22"/>
        <v>0.10399668008577614</v>
      </c>
      <c r="U343" s="6">
        <v>0.32</v>
      </c>
      <c r="V343">
        <f t="array" ref="V343">CORREL(IFERROR(VALUE(TRIM(CLEAN($U$2:$U$1001))),0), IFERROR(VALUE(TRIM(CLEAN($P$2:$P$1001))),0))</f>
        <v>0.23135628536430677</v>
      </c>
    </row>
    <row r="344" spans="1:22" x14ac:dyDescent="0.25">
      <c r="A344">
        <v>343</v>
      </c>
      <c r="B344" s="1">
        <v>40558</v>
      </c>
      <c r="C344">
        <v>1</v>
      </c>
      <c r="D344">
        <v>0</v>
      </c>
      <c r="E344">
        <v>1</v>
      </c>
      <c r="F344">
        <v>18</v>
      </c>
      <c r="G344" t="b">
        <v>0</v>
      </c>
      <c r="H344">
        <v>6</v>
      </c>
      <c r="I344">
        <v>2</v>
      </c>
      <c r="J344">
        <v>0.3</v>
      </c>
      <c r="K344">
        <v>0.28789999999999999</v>
      </c>
      <c r="L344">
        <v>0.45</v>
      </c>
      <c r="M344">
        <v>0.25369999999999998</v>
      </c>
      <c r="N344">
        <v>15</v>
      </c>
      <c r="O344">
        <v>69</v>
      </c>
      <c r="P344">
        <v>84</v>
      </c>
      <c r="Q344" t="str">
        <f t="shared" si="23"/>
        <v>Weekend</v>
      </c>
      <c r="R344" t="str">
        <f t="shared" si="20"/>
        <v>Mist/Cloudy</v>
      </c>
      <c r="S344">
        <f t="shared" si="21"/>
        <v>-0.25435329828790432</v>
      </c>
      <c r="T344">
        <f t="shared" si="22"/>
        <v>0.10399668008577614</v>
      </c>
      <c r="U344" s="6">
        <v>0.3</v>
      </c>
      <c r="V344">
        <f t="array" ref="V344">CORREL(IFERROR(VALUE(TRIM(CLEAN($U$2:$U$1001))),0), IFERROR(VALUE(TRIM(CLEAN($P$2:$P$1001))),0))</f>
        <v>0.23135628536430677</v>
      </c>
    </row>
    <row r="345" spans="1:22" x14ac:dyDescent="0.25">
      <c r="A345">
        <v>344</v>
      </c>
      <c r="B345" s="1">
        <v>40558</v>
      </c>
      <c r="C345">
        <v>1</v>
      </c>
      <c r="D345">
        <v>0</v>
      </c>
      <c r="E345">
        <v>1</v>
      </c>
      <c r="F345">
        <v>19</v>
      </c>
      <c r="G345" t="b">
        <v>0</v>
      </c>
      <c r="H345">
        <v>6</v>
      </c>
      <c r="I345">
        <v>2</v>
      </c>
      <c r="J345">
        <v>0.32</v>
      </c>
      <c r="K345">
        <v>0.30299999999999999</v>
      </c>
      <c r="L345">
        <v>0.39</v>
      </c>
      <c r="M345">
        <v>0.25369999999999998</v>
      </c>
      <c r="N345">
        <v>14</v>
      </c>
      <c r="O345">
        <v>60</v>
      </c>
      <c r="P345">
        <v>74</v>
      </c>
      <c r="Q345" t="str">
        <f t="shared" si="23"/>
        <v>Weekend</v>
      </c>
      <c r="R345" t="str">
        <f t="shared" si="20"/>
        <v>Mist/Cloudy</v>
      </c>
      <c r="S345">
        <f t="shared" si="21"/>
        <v>-0.25435329828790432</v>
      </c>
      <c r="T345">
        <f t="shared" si="22"/>
        <v>0.10399668008577614</v>
      </c>
      <c r="U345" s="6">
        <v>0.32</v>
      </c>
      <c r="V345">
        <f t="array" ref="V345">CORREL(IFERROR(VALUE(TRIM(CLEAN($U$2:$U$1001))),0), IFERROR(VALUE(TRIM(CLEAN($P$2:$P$1001))),0))</f>
        <v>0.23135628536430677</v>
      </c>
    </row>
    <row r="346" spans="1:22" x14ac:dyDescent="0.25">
      <c r="A346">
        <v>345</v>
      </c>
      <c r="B346" s="1">
        <v>40558</v>
      </c>
      <c r="C346">
        <v>1</v>
      </c>
      <c r="D346">
        <v>0</v>
      </c>
      <c r="E346">
        <v>1</v>
      </c>
      <c r="F346">
        <v>20</v>
      </c>
      <c r="G346" t="b">
        <v>0</v>
      </c>
      <c r="H346">
        <v>6</v>
      </c>
      <c r="I346">
        <v>2</v>
      </c>
      <c r="J346">
        <v>0.32</v>
      </c>
      <c r="K346">
        <v>0.30299999999999999</v>
      </c>
      <c r="L346">
        <v>0.39</v>
      </c>
      <c r="M346">
        <v>0.25369999999999998</v>
      </c>
      <c r="N346">
        <v>6</v>
      </c>
      <c r="O346">
        <v>35</v>
      </c>
      <c r="P346">
        <v>41</v>
      </c>
      <c r="Q346" t="str">
        <f t="shared" si="23"/>
        <v>Weekday</v>
      </c>
      <c r="R346" t="str">
        <f t="shared" si="20"/>
        <v>Mist/Cloudy</v>
      </c>
      <c r="S346">
        <f t="shared" si="21"/>
        <v>-0.25435329828790432</v>
      </c>
      <c r="T346">
        <f t="shared" si="22"/>
        <v>0.10399668008577614</v>
      </c>
      <c r="U346" s="6">
        <v>0.32</v>
      </c>
      <c r="V346">
        <f t="array" ref="V346">CORREL(IFERROR(VALUE(TRIM(CLEAN($U$2:$U$1001))),0), IFERROR(VALUE(TRIM(CLEAN($P$2:$P$1001))),0))</f>
        <v>0.23135628536430677</v>
      </c>
    </row>
    <row r="347" spans="1:22" x14ac:dyDescent="0.25">
      <c r="A347">
        <v>346</v>
      </c>
      <c r="B347" s="1">
        <v>40558</v>
      </c>
      <c r="C347">
        <v>1</v>
      </c>
      <c r="D347">
        <v>0</v>
      </c>
      <c r="E347">
        <v>1</v>
      </c>
      <c r="F347">
        <v>21</v>
      </c>
      <c r="G347" t="b">
        <v>0</v>
      </c>
      <c r="H347">
        <v>6</v>
      </c>
      <c r="I347">
        <v>2</v>
      </c>
      <c r="J347">
        <v>0.32</v>
      </c>
      <c r="K347">
        <v>0.30299999999999999</v>
      </c>
      <c r="L347">
        <v>0.39</v>
      </c>
      <c r="M347">
        <v>0.22389999999999999</v>
      </c>
      <c r="N347">
        <v>6</v>
      </c>
      <c r="O347">
        <v>51</v>
      </c>
      <c r="P347">
        <v>57</v>
      </c>
      <c r="Q347" t="str">
        <f t="shared" si="23"/>
        <v>Weekday</v>
      </c>
      <c r="R347" t="str">
        <f t="shared" si="20"/>
        <v>Mist/Cloudy</v>
      </c>
      <c r="S347">
        <f t="shared" si="21"/>
        <v>-0.25435329828790432</v>
      </c>
      <c r="T347">
        <f t="shared" si="22"/>
        <v>0.10399668008577614</v>
      </c>
      <c r="U347" s="6">
        <v>0.32</v>
      </c>
      <c r="V347">
        <f t="array" ref="V347">CORREL(IFERROR(VALUE(TRIM(CLEAN($U$2:$U$1001))),0), IFERROR(VALUE(TRIM(CLEAN($P$2:$P$1001))),0))</f>
        <v>0.23135628536430677</v>
      </c>
    </row>
    <row r="348" spans="1:22" x14ac:dyDescent="0.25">
      <c r="A348">
        <v>347</v>
      </c>
      <c r="B348" s="1">
        <v>40558</v>
      </c>
      <c r="C348">
        <v>1</v>
      </c>
      <c r="D348">
        <v>0</v>
      </c>
      <c r="E348">
        <v>1</v>
      </c>
      <c r="F348">
        <v>22</v>
      </c>
      <c r="G348" t="b">
        <v>0</v>
      </c>
      <c r="H348">
        <v>6</v>
      </c>
      <c r="I348">
        <v>2</v>
      </c>
      <c r="J348">
        <v>0.3</v>
      </c>
      <c r="K348">
        <v>0.31819999999999998</v>
      </c>
      <c r="L348">
        <v>0.42</v>
      </c>
      <c r="M348">
        <v>0.1045</v>
      </c>
      <c r="N348">
        <v>0</v>
      </c>
      <c r="O348">
        <v>26</v>
      </c>
      <c r="P348">
        <v>26</v>
      </c>
      <c r="Q348" t="str">
        <f t="shared" si="23"/>
        <v>Weekday</v>
      </c>
      <c r="R348" t="str">
        <f t="shared" si="20"/>
        <v>Mist/Cloudy</v>
      </c>
      <c r="S348">
        <f t="shared" si="21"/>
        <v>-0.25435329828790432</v>
      </c>
      <c r="T348">
        <f t="shared" si="22"/>
        <v>0.10399668008577614</v>
      </c>
      <c r="U348" s="6">
        <v>0.3</v>
      </c>
      <c r="V348">
        <f t="array" ref="V348">CORREL(IFERROR(VALUE(TRIM(CLEAN($U$2:$U$1001))),0), IFERROR(VALUE(TRIM(CLEAN($P$2:$P$1001))),0))</f>
        <v>0.23135628536430677</v>
      </c>
    </row>
    <row r="349" spans="1:22" x14ac:dyDescent="0.25">
      <c r="A349">
        <v>348</v>
      </c>
      <c r="B349" s="1">
        <v>40558</v>
      </c>
      <c r="C349">
        <v>1</v>
      </c>
      <c r="D349">
        <v>0</v>
      </c>
      <c r="E349">
        <v>1</v>
      </c>
      <c r="F349">
        <v>23</v>
      </c>
      <c r="G349" t="b">
        <v>0</v>
      </c>
      <c r="H349">
        <v>6</v>
      </c>
      <c r="I349">
        <v>1</v>
      </c>
      <c r="J349">
        <v>0.3</v>
      </c>
      <c r="K349">
        <v>0.28789999999999999</v>
      </c>
      <c r="L349">
        <v>0.45</v>
      </c>
      <c r="M349">
        <v>0.28360000000000002</v>
      </c>
      <c r="N349">
        <v>5</v>
      </c>
      <c r="O349">
        <v>39</v>
      </c>
      <c r="P349">
        <v>44</v>
      </c>
      <c r="Q349" t="str">
        <f t="shared" si="23"/>
        <v>Weekday</v>
      </c>
      <c r="R349" t="str">
        <f t="shared" si="20"/>
        <v>Clear</v>
      </c>
      <c r="S349">
        <f t="shared" si="21"/>
        <v>-0.25435329828790432</v>
      </c>
      <c r="T349">
        <f t="shared" si="22"/>
        <v>0.10399668008577614</v>
      </c>
      <c r="U349" s="6">
        <v>0.3</v>
      </c>
      <c r="V349">
        <f t="array" ref="V349">CORREL(IFERROR(VALUE(TRIM(CLEAN($U$2:$U$1001))),0), IFERROR(VALUE(TRIM(CLEAN($P$2:$P$1001))),0))</f>
        <v>0.23135628536430677</v>
      </c>
    </row>
    <row r="350" spans="1:22" x14ac:dyDescent="0.25">
      <c r="A350">
        <v>349</v>
      </c>
      <c r="B350" s="1">
        <v>40559</v>
      </c>
      <c r="C350">
        <v>1</v>
      </c>
      <c r="D350">
        <v>0</v>
      </c>
      <c r="E350">
        <v>1</v>
      </c>
      <c r="F350">
        <v>0</v>
      </c>
      <c r="G350" t="b">
        <v>0</v>
      </c>
      <c r="H350">
        <v>0</v>
      </c>
      <c r="I350">
        <v>1</v>
      </c>
      <c r="J350">
        <v>0.26</v>
      </c>
      <c r="K350">
        <v>0.30299999999999999</v>
      </c>
      <c r="L350">
        <v>0.56000000000000005</v>
      </c>
      <c r="M350">
        <v>0</v>
      </c>
      <c r="N350">
        <v>6</v>
      </c>
      <c r="O350">
        <v>33</v>
      </c>
      <c r="P350">
        <v>39</v>
      </c>
      <c r="Q350" t="str">
        <f t="shared" si="23"/>
        <v>Weekday</v>
      </c>
      <c r="R350" t="str">
        <f t="shared" si="20"/>
        <v>Clear</v>
      </c>
      <c r="S350">
        <f t="shared" si="21"/>
        <v>-0.25435329828790432</v>
      </c>
      <c r="T350">
        <f t="shared" si="22"/>
        <v>0.10399668008577614</v>
      </c>
      <c r="U350" s="6">
        <v>0.26</v>
      </c>
      <c r="V350">
        <f t="array" ref="V350">CORREL(IFERROR(VALUE(TRIM(CLEAN($U$2:$U$1001))),0), IFERROR(VALUE(TRIM(CLEAN($P$2:$P$1001))),0))</f>
        <v>0.23135628536430677</v>
      </c>
    </row>
    <row r="351" spans="1:22" x14ac:dyDescent="0.25">
      <c r="A351">
        <v>350</v>
      </c>
      <c r="B351" s="1">
        <v>40559</v>
      </c>
      <c r="C351">
        <v>1</v>
      </c>
      <c r="D351">
        <v>0</v>
      </c>
      <c r="E351">
        <v>1</v>
      </c>
      <c r="F351">
        <v>1</v>
      </c>
      <c r="G351" t="b">
        <v>0</v>
      </c>
      <c r="H351">
        <v>0</v>
      </c>
      <c r="I351">
        <v>1</v>
      </c>
      <c r="J351">
        <v>0.26</v>
      </c>
      <c r="K351">
        <v>0.2727</v>
      </c>
      <c r="L351">
        <v>0.56000000000000005</v>
      </c>
      <c r="M351">
        <v>0.1343</v>
      </c>
      <c r="N351">
        <v>4</v>
      </c>
      <c r="O351">
        <v>19</v>
      </c>
      <c r="P351">
        <v>23</v>
      </c>
      <c r="Q351" t="str">
        <f t="shared" si="23"/>
        <v>Weekend</v>
      </c>
      <c r="R351" t="str">
        <f t="shared" si="20"/>
        <v>Clear</v>
      </c>
      <c r="S351">
        <f t="shared" si="21"/>
        <v>-0.25435329828790432</v>
      </c>
      <c r="T351">
        <f t="shared" si="22"/>
        <v>0.10399668008577614</v>
      </c>
      <c r="U351" s="6">
        <v>0.26</v>
      </c>
      <c r="V351">
        <f t="array" ref="V351">CORREL(IFERROR(VALUE(TRIM(CLEAN($U$2:$U$1001))),0), IFERROR(VALUE(TRIM(CLEAN($P$2:$P$1001))),0))</f>
        <v>0.23135628536430677</v>
      </c>
    </row>
    <row r="352" spans="1:22" x14ac:dyDescent="0.25">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c r="Q352" t="str">
        <f t="shared" si="23"/>
        <v>Weekend</v>
      </c>
      <c r="R352" t="str">
        <f t="shared" si="20"/>
        <v>Clear</v>
      </c>
      <c r="S352">
        <f t="shared" si="21"/>
        <v>-0.25435329828790432</v>
      </c>
      <c r="T352">
        <f t="shared" si="22"/>
        <v>0.10399668008577614</v>
      </c>
      <c r="U352" s="6">
        <v>0.26</v>
      </c>
      <c r="V352">
        <f t="array" ref="V352">CORREL(IFERROR(VALUE(TRIM(CLEAN($U$2:$U$1001))),0), IFERROR(VALUE(TRIM(CLEAN($P$2:$P$1001))),0))</f>
        <v>0.23135628536430677</v>
      </c>
    </row>
    <row r="353" spans="1:22" x14ac:dyDescent="0.25">
      <c r="A353">
        <v>352</v>
      </c>
      <c r="B353" s="1">
        <v>40559</v>
      </c>
      <c r="C353">
        <v>1</v>
      </c>
      <c r="D353">
        <v>0</v>
      </c>
      <c r="E353">
        <v>1</v>
      </c>
      <c r="F353">
        <v>3</v>
      </c>
      <c r="G353" t="b">
        <v>0</v>
      </c>
      <c r="H353">
        <v>0</v>
      </c>
      <c r="I353">
        <v>1</v>
      </c>
      <c r="J353">
        <v>0.22</v>
      </c>
      <c r="K353">
        <v>0.2727</v>
      </c>
      <c r="L353">
        <v>0.69</v>
      </c>
      <c r="M353">
        <v>0</v>
      </c>
      <c r="N353">
        <v>9</v>
      </c>
      <c r="O353">
        <v>6</v>
      </c>
      <c r="P353">
        <v>15</v>
      </c>
      <c r="Q353" t="str">
        <f t="shared" si="23"/>
        <v>Weekday</v>
      </c>
      <c r="R353" t="str">
        <f t="shared" si="20"/>
        <v>Clear</v>
      </c>
      <c r="S353">
        <f t="shared" si="21"/>
        <v>-0.25435329828790432</v>
      </c>
      <c r="T353">
        <f t="shared" si="22"/>
        <v>0.10399668008577614</v>
      </c>
      <c r="U353" s="6">
        <v>0.22</v>
      </c>
      <c r="V353">
        <f t="array" ref="V353">CORREL(IFERROR(VALUE(TRIM(CLEAN($U$2:$U$1001))),0), IFERROR(VALUE(TRIM(CLEAN($P$2:$P$1001))),0))</f>
        <v>0.23135628536430677</v>
      </c>
    </row>
    <row r="354" spans="1:22" x14ac:dyDescent="0.25">
      <c r="A354">
        <v>353</v>
      </c>
      <c r="B354" s="1">
        <v>40559</v>
      </c>
      <c r="C354">
        <v>1</v>
      </c>
      <c r="D354">
        <v>0</v>
      </c>
      <c r="E354">
        <v>1</v>
      </c>
      <c r="F354">
        <v>4</v>
      </c>
      <c r="G354" t="b">
        <v>0</v>
      </c>
      <c r="H354">
        <v>0</v>
      </c>
      <c r="I354">
        <v>1</v>
      </c>
      <c r="J354">
        <v>0.26</v>
      </c>
      <c r="K354">
        <v>0.2576</v>
      </c>
      <c r="L354">
        <v>0.56000000000000005</v>
      </c>
      <c r="M354">
        <v>0.16420000000000001</v>
      </c>
      <c r="N354">
        <v>0</v>
      </c>
      <c r="O354">
        <v>1</v>
      </c>
      <c r="P354">
        <v>1</v>
      </c>
      <c r="Q354" t="str">
        <f t="shared" si="23"/>
        <v>Weekday</v>
      </c>
      <c r="R354" t="str">
        <f t="shared" si="20"/>
        <v>Clear</v>
      </c>
      <c r="S354">
        <f t="shared" si="21"/>
        <v>-0.25435329828790432</v>
      </c>
      <c r="T354">
        <f t="shared" si="22"/>
        <v>0.10399668008577614</v>
      </c>
      <c r="U354" s="6">
        <v>0.26</v>
      </c>
      <c r="V354">
        <f t="array" ref="V354">CORREL(IFERROR(VALUE(TRIM(CLEAN($U$2:$U$1001))),0), IFERROR(VALUE(TRIM(CLEAN($P$2:$P$1001))),0))</f>
        <v>0.23135628536430677</v>
      </c>
    </row>
    <row r="355" spans="1:22" x14ac:dyDescent="0.25">
      <c r="A355">
        <v>354</v>
      </c>
      <c r="B355" s="1">
        <v>40559</v>
      </c>
      <c r="C355">
        <v>1</v>
      </c>
      <c r="D355">
        <v>0</v>
      </c>
      <c r="E355">
        <v>1</v>
      </c>
      <c r="F355">
        <v>5</v>
      </c>
      <c r="G355" t="b">
        <v>0</v>
      </c>
      <c r="H355">
        <v>0</v>
      </c>
      <c r="I355">
        <v>2</v>
      </c>
      <c r="J355">
        <v>0.26</v>
      </c>
      <c r="K355">
        <v>0.2576</v>
      </c>
      <c r="L355">
        <v>0.56000000000000005</v>
      </c>
      <c r="M355">
        <v>0.16420000000000001</v>
      </c>
      <c r="N355">
        <v>1</v>
      </c>
      <c r="O355">
        <v>1</v>
      </c>
      <c r="P355">
        <v>2</v>
      </c>
      <c r="Q355" t="str">
        <f t="shared" si="23"/>
        <v>Weekday</v>
      </c>
      <c r="R355" t="str">
        <f t="shared" si="20"/>
        <v>Mist/Cloudy</v>
      </c>
      <c r="S355">
        <f t="shared" si="21"/>
        <v>-0.25435329828790432</v>
      </c>
      <c r="T355">
        <f t="shared" si="22"/>
        <v>0.10399668008577614</v>
      </c>
      <c r="U355" s="6">
        <v>0.26</v>
      </c>
      <c r="V355">
        <f t="array" ref="V355">CORREL(IFERROR(VALUE(TRIM(CLEAN($U$2:$U$1001))),0), IFERROR(VALUE(TRIM(CLEAN($P$2:$P$1001))),0))</f>
        <v>0.23135628536430677</v>
      </c>
    </row>
    <row r="356" spans="1:22" x14ac:dyDescent="0.25">
      <c r="A356">
        <v>355</v>
      </c>
      <c r="B356" s="1">
        <v>40559</v>
      </c>
      <c r="C356">
        <v>1</v>
      </c>
      <c r="D356">
        <v>0</v>
      </c>
      <c r="E356">
        <v>1</v>
      </c>
      <c r="F356">
        <v>6</v>
      </c>
      <c r="G356" t="b">
        <v>0</v>
      </c>
      <c r="H356">
        <v>0</v>
      </c>
      <c r="I356">
        <v>2</v>
      </c>
      <c r="J356">
        <v>0.26</v>
      </c>
      <c r="K356">
        <v>0.2576</v>
      </c>
      <c r="L356">
        <v>0.56000000000000005</v>
      </c>
      <c r="M356">
        <v>0.16420000000000001</v>
      </c>
      <c r="N356">
        <v>0</v>
      </c>
      <c r="O356">
        <v>1</v>
      </c>
      <c r="P356">
        <v>1</v>
      </c>
      <c r="Q356" t="str">
        <f t="shared" si="23"/>
        <v>Weekday</v>
      </c>
      <c r="R356" t="str">
        <f t="shared" si="20"/>
        <v>Mist/Cloudy</v>
      </c>
      <c r="S356">
        <f t="shared" si="21"/>
        <v>-0.25435329828790432</v>
      </c>
      <c r="T356">
        <f t="shared" si="22"/>
        <v>0.10399668008577614</v>
      </c>
      <c r="U356" s="6">
        <v>0.26</v>
      </c>
      <c r="V356">
        <f t="array" ref="V356">CORREL(IFERROR(VALUE(TRIM(CLEAN($U$2:$U$1001))),0), IFERROR(VALUE(TRIM(CLEAN($P$2:$P$1001))),0))</f>
        <v>0.23135628536430677</v>
      </c>
    </row>
    <row r="357" spans="1:22" x14ac:dyDescent="0.25">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c r="Q357" t="str">
        <f t="shared" si="23"/>
        <v>Weekday</v>
      </c>
      <c r="R357" t="str">
        <f t="shared" si="20"/>
        <v>Mist/Cloudy</v>
      </c>
      <c r="S357">
        <f t="shared" si="21"/>
        <v>-0.25435329828790432</v>
      </c>
      <c r="T357">
        <f t="shared" si="22"/>
        <v>0.10399668008577614</v>
      </c>
      <c r="U357" s="6">
        <v>0.24</v>
      </c>
      <c r="V357">
        <f t="array" ref="V357">CORREL(IFERROR(VALUE(TRIM(CLEAN($U$2:$U$1001))),0), IFERROR(VALUE(TRIM(CLEAN($P$2:$P$1001))),0))</f>
        <v>0.23135628536430677</v>
      </c>
    </row>
    <row r="358" spans="1:22" x14ac:dyDescent="0.25">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c r="Q358" t="str">
        <f t="shared" si="23"/>
        <v>Weekend</v>
      </c>
      <c r="R358" t="str">
        <f t="shared" si="20"/>
        <v>Clear</v>
      </c>
      <c r="S358">
        <f t="shared" si="21"/>
        <v>-0.25435329828790432</v>
      </c>
      <c r="T358">
        <f t="shared" si="22"/>
        <v>0.10399668008577614</v>
      </c>
      <c r="U358" s="6">
        <v>0.22</v>
      </c>
      <c r="V358">
        <f t="array" ref="V358">CORREL(IFERROR(VALUE(TRIM(CLEAN($U$2:$U$1001))),0), IFERROR(VALUE(TRIM(CLEAN($P$2:$P$1001))),0))</f>
        <v>0.23135628536430677</v>
      </c>
    </row>
    <row r="359" spans="1:22" x14ac:dyDescent="0.25">
      <c r="A359">
        <v>358</v>
      </c>
      <c r="B359" s="1">
        <v>40559</v>
      </c>
      <c r="C359">
        <v>1</v>
      </c>
      <c r="D359">
        <v>0</v>
      </c>
      <c r="E359">
        <v>1</v>
      </c>
      <c r="F359">
        <v>9</v>
      </c>
      <c r="G359" t="b">
        <v>0</v>
      </c>
      <c r="H359">
        <v>0</v>
      </c>
      <c r="I359">
        <v>1</v>
      </c>
      <c r="J359">
        <v>0.22</v>
      </c>
      <c r="K359">
        <v>0.21210000000000001</v>
      </c>
      <c r="L359">
        <v>0.51</v>
      </c>
      <c r="M359">
        <v>0.25369999999999998</v>
      </c>
      <c r="N359">
        <v>3</v>
      </c>
      <c r="O359">
        <v>29</v>
      </c>
      <c r="P359">
        <v>32</v>
      </c>
      <c r="Q359" t="str">
        <f t="shared" si="23"/>
        <v>Weekend</v>
      </c>
      <c r="R359" t="str">
        <f t="shared" si="20"/>
        <v>Clear</v>
      </c>
      <c r="S359">
        <f t="shared" si="21"/>
        <v>-0.25435329828790432</v>
      </c>
      <c r="T359">
        <f t="shared" si="22"/>
        <v>0.10399668008577614</v>
      </c>
      <c r="U359" s="6">
        <v>0.22</v>
      </c>
      <c r="V359">
        <f t="array" ref="V359">CORREL(IFERROR(VALUE(TRIM(CLEAN($U$2:$U$1001))),0), IFERROR(VALUE(TRIM(CLEAN($P$2:$P$1001))),0))</f>
        <v>0.23135628536430677</v>
      </c>
    </row>
    <row r="360" spans="1:22" x14ac:dyDescent="0.25">
      <c r="A360">
        <v>359</v>
      </c>
      <c r="B360" s="1">
        <v>40559</v>
      </c>
      <c r="C360">
        <v>1</v>
      </c>
      <c r="D360">
        <v>0</v>
      </c>
      <c r="E360">
        <v>1</v>
      </c>
      <c r="F360">
        <v>10</v>
      </c>
      <c r="G360" t="b">
        <v>0</v>
      </c>
      <c r="H360">
        <v>0</v>
      </c>
      <c r="I360">
        <v>1</v>
      </c>
      <c r="J360">
        <v>0.22</v>
      </c>
      <c r="K360">
        <v>0.21210000000000001</v>
      </c>
      <c r="L360">
        <v>0.51</v>
      </c>
      <c r="M360">
        <v>0.28360000000000002</v>
      </c>
      <c r="N360">
        <v>8</v>
      </c>
      <c r="O360">
        <v>71</v>
      </c>
      <c r="P360">
        <v>79</v>
      </c>
      <c r="Q360" t="str">
        <f t="shared" si="23"/>
        <v>Weekday</v>
      </c>
      <c r="R360" t="str">
        <f t="shared" si="20"/>
        <v>Clear</v>
      </c>
      <c r="S360">
        <f t="shared" si="21"/>
        <v>-0.25435329828790432</v>
      </c>
      <c r="T360">
        <f t="shared" si="22"/>
        <v>0.10399668008577614</v>
      </c>
      <c r="U360" s="6">
        <v>0.22</v>
      </c>
      <c r="V360">
        <f t="array" ref="V360">CORREL(IFERROR(VALUE(TRIM(CLEAN($U$2:$U$1001))),0), IFERROR(VALUE(TRIM(CLEAN($P$2:$P$1001))),0))</f>
        <v>0.23135628536430677</v>
      </c>
    </row>
    <row r="361" spans="1:22" x14ac:dyDescent="0.25">
      <c r="A361">
        <v>360</v>
      </c>
      <c r="B361" s="1">
        <v>40559</v>
      </c>
      <c r="C361">
        <v>1</v>
      </c>
      <c r="D361">
        <v>0</v>
      </c>
      <c r="E361">
        <v>1</v>
      </c>
      <c r="F361">
        <v>11</v>
      </c>
      <c r="G361" t="b">
        <v>0</v>
      </c>
      <c r="H361">
        <v>0</v>
      </c>
      <c r="I361">
        <v>1</v>
      </c>
      <c r="J361">
        <v>0.24</v>
      </c>
      <c r="K361">
        <v>0.2273</v>
      </c>
      <c r="L361">
        <v>0.44</v>
      </c>
      <c r="M361">
        <v>0.25369999999999998</v>
      </c>
      <c r="N361">
        <v>23</v>
      </c>
      <c r="O361">
        <v>70</v>
      </c>
      <c r="P361">
        <v>93</v>
      </c>
      <c r="Q361" t="str">
        <f t="shared" si="23"/>
        <v>Weekday</v>
      </c>
      <c r="R361" t="str">
        <f t="shared" si="20"/>
        <v>Clear</v>
      </c>
      <c r="S361">
        <f t="shared" si="21"/>
        <v>-0.25435329828790432</v>
      </c>
      <c r="T361">
        <f t="shared" si="22"/>
        <v>0.10399668008577614</v>
      </c>
      <c r="U361" s="6">
        <v>0.24</v>
      </c>
      <c r="V361">
        <f t="array" ref="V361">CORREL(IFERROR(VALUE(TRIM(CLEAN($U$2:$U$1001))),0), IFERROR(VALUE(TRIM(CLEAN($P$2:$P$1001))),0))</f>
        <v>0.23135628536430677</v>
      </c>
    </row>
    <row r="362" spans="1:22" x14ac:dyDescent="0.25">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c r="Q362" t="str">
        <f t="shared" si="23"/>
        <v>Weekday</v>
      </c>
      <c r="R362" t="str">
        <f t="shared" si="20"/>
        <v>Clear</v>
      </c>
      <c r="S362">
        <f t="shared" si="21"/>
        <v>-0.25435329828790432</v>
      </c>
      <c r="T362">
        <f t="shared" si="22"/>
        <v>0.10399668008577614</v>
      </c>
      <c r="U362" s="6">
        <v>0.24</v>
      </c>
      <c r="V362">
        <f t="array" ref="V362">CORREL(IFERROR(VALUE(TRIM(CLEAN($U$2:$U$1001))),0), IFERROR(VALUE(TRIM(CLEAN($P$2:$P$1001))),0))</f>
        <v>0.23135628536430677</v>
      </c>
    </row>
    <row r="363" spans="1:22" x14ac:dyDescent="0.25">
      <c r="A363">
        <v>362</v>
      </c>
      <c r="B363" s="1">
        <v>40559</v>
      </c>
      <c r="C363">
        <v>1</v>
      </c>
      <c r="D363">
        <v>0</v>
      </c>
      <c r="E363">
        <v>1</v>
      </c>
      <c r="F363">
        <v>13</v>
      </c>
      <c r="G363" t="b">
        <v>0</v>
      </c>
      <c r="H363">
        <v>0</v>
      </c>
      <c r="I363">
        <v>1</v>
      </c>
      <c r="J363">
        <v>0.26</v>
      </c>
      <c r="K363">
        <v>0.2273</v>
      </c>
      <c r="L363">
        <v>0.35</v>
      </c>
      <c r="M363">
        <v>0.29849999999999999</v>
      </c>
      <c r="N363">
        <v>23</v>
      </c>
      <c r="O363">
        <v>95</v>
      </c>
      <c r="P363">
        <v>118</v>
      </c>
      <c r="Q363" t="str">
        <f t="shared" si="23"/>
        <v>Weekday</v>
      </c>
      <c r="R363" t="str">
        <f t="shared" si="20"/>
        <v>Clear</v>
      </c>
      <c r="S363">
        <f t="shared" si="21"/>
        <v>-0.25435329828790432</v>
      </c>
      <c r="T363">
        <f t="shared" si="22"/>
        <v>0.10399668008577614</v>
      </c>
      <c r="U363" s="6">
        <v>0.26</v>
      </c>
      <c r="V363">
        <f t="array" ref="V363">CORREL(IFERROR(VALUE(TRIM(CLEAN($U$2:$U$1001))),0), IFERROR(VALUE(TRIM(CLEAN($P$2:$P$1001))),0))</f>
        <v>0.23135628536430677</v>
      </c>
    </row>
    <row r="364" spans="1:22" x14ac:dyDescent="0.25">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c r="Q364" t="str">
        <f t="shared" si="23"/>
        <v>Weekday</v>
      </c>
      <c r="R364" t="str">
        <f t="shared" si="20"/>
        <v>Clear</v>
      </c>
      <c r="S364">
        <f t="shared" si="21"/>
        <v>-0.25435329828790432</v>
      </c>
      <c r="T364">
        <f t="shared" si="22"/>
        <v>0.10399668008577614</v>
      </c>
      <c r="U364" s="6">
        <v>0.28000000000000003</v>
      </c>
      <c r="V364">
        <f t="array" ref="V364">CORREL(IFERROR(VALUE(TRIM(CLEAN($U$2:$U$1001))),0), IFERROR(VALUE(TRIM(CLEAN($P$2:$P$1001))),0))</f>
        <v>0.23135628536430677</v>
      </c>
    </row>
    <row r="365" spans="1:22" x14ac:dyDescent="0.25">
      <c r="A365">
        <v>364</v>
      </c>
      <c r="B365" s="1">
        <v>40559</v>
      </c>
      <c r="C365">
        <v>1</v>
      </c>
      <c r="D365">
        <v>0</v>
      </c>
      <c r="E365">
        <v>1</v>
      </c>
      <c r="F365">
        <v>15</v>
      </c>
      <c r="G365" t="b">
        <v>0</v>
      </c>
      <c r="H365">
        <v>0</v>
      </c>
      <c r="I365">
        <v>1</v>
      </c>
      <c r="J365">
        <v>0.26</v>
      </c>
      <c r="K365">
        <v>0.2424</v>
      </c>
      <c r="L365">
        <v>0.38</v>
      </c>
      <c r="M365">
        <v>0.25369999999999998</v>
      </c>
      <c r="N365">
        <v>35</v>
      </c>
      <c r="O365">
        <v>78</v>
      </c>
      <c r="P365">
        <v>113</v>
      </c>
      <c r="Q365" t="str">
        <f t="shared" si="23"/>
        <v>Weekend</v>
      </c>
      <c r="R365" t="str">
        <f t="shared" si="20"/>
        <v>Clear</v>
      </c>
      <c r="S365">
        <f t="shared" si="21"/>
        <v>-0.25435329828790432</v>
      </c>
      <c r="T365">
        <f t="shared" si="22"/>
        <v>0.10399668008577614</v>
      </c>
      <c r="U365" s="6">
        <v>0.26</v>
      </c>
      <c r="V365">
        <f t="array" ref="V365">CORREL(IFERROR(VALUE(TRIM(CLEAN($U$2:$U$1001))),0), IFERROR(VALUE(TRIM(CLEAN($P$2:$P$1001))),0))</f>
        <v>0.23135628536430677</v>
      </c>
    </row>
    <row r="366" spans="1:22" x14ac:dyDescent="0.25">
      <c r="A366">
        <v>365</v>
      </c>
      <c r="B366" s="1">
        <v>40559</v>
      </c>
      <c r="C366">
        <v>1</v>
      </c>
      <c r="D366">
        <v>0</v>
      </c>
      <c r="E366">
        <v>1</v>
      </c>
      <c r="F366">
        <v>16</v>
      </c>
      <c r="G366" t="b">
        <v>0</v>
      </c>
      <c r="H366">
        <v>0</v>
      </c>
      <c r="I366">
        <v>1</v>
      </c>
      <c r="J366">
        <v>0.24</v>
      </c>
      <c r="K366">
        <v>0.2273</v>
      </c>
      <c r="L366">
        <v>0.38</v>
      </c>
      <c r="M366">
        <v>0.22389999999999999</v>
      </c>
      <c r="N366">
        <v>22</v>
      </c>
      <c r="O366">
        <v>77</v>
      </c>
      <c r="P366">
        <v>99</v>
      </c>
      <c r="Q366" t="str">
        <f t="shared" si="23"/>
        <v>Weekend</v>
      </c>
      <c r="R366" t="str">
        <f t="shared" si="20"/>
        <v>Clear</v>
      </c>
      <c r="S366">
        <f t="shared" si="21"/>
        <v>-0.25435329828790432</v>
      </c>
      <c r="T366">
        <f t="shared" si="22"/>
        <v>0.10399668008577614</v>
      </c>
      <c r="U366" s="6">
        <v>0.24</v>
      </c>
      <c r="V366">
        <f t="array" ref="V366">CORREL(IFERROR(VALUE(TRIM(CLEAN($U$2:$U$1001))),0), IFERROR(VALUE(TRIM(CLEAN($P$2:$P$1001))),0))</f>
        <v>0.23135628536430677</v>
      </c>
    </row>
    <row r="367" spans="1:22" x14ac:dyDescent="0.25">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c r="Q367" t="str">
        <f t="shared" si="23"/>
        <v>Weekday</v>
      </c>
      <c r="R367" t="str">
        <f t="shared" si="20"/>
        <v>Clear</v>
      </c>
      <c r="S367">
        <f t="shared" si="21"/>
        <v>-0.25435329828790432</v>
      </c>
      <c r="T367">
        <f t="shared" si="22"/>
        <v>0.10399668008577614</v>
      </c>
      <c r="U367" s="6">
        <v>0.22</v>
      </c>
      <c r="V367">
        <f t="array" ref="V367">CORREL(IFERROR(VALUE(TRIM(CLEAN($U$2:$U$1001))),0), IFERROR(VALUE(TRIM(CLEAN($P$2:$P$1001))),0))</f>
        <v>0.23135628536430677</v>
      </c>
    </row>
    <row r="368" spans="1:22" x14ac:dyDescent="0.25">
      <c r="A368">
        <v>367</v>
      </c>
      <c r="B368" s="1">
        <v>40559</v>
      </c>
      <c r="C368">
        <v>1</v>
      </c>
      <c r="D368">
        <v>0</v>
      </c>
      <c r="E368">
        <v>1</v>
      </c>
      <c r="F368">
        <v>18</v>
      </c>
      <c r="G368" t="b">
        <v>0</v>
      </c>
      <c r="H368">
        <v>0</v>
      </c>
      <c r="I368">
        <v>1</v>
      </c>
      <c r="J368">
        <v>0.2</v>
      </c>
      <c r="K368">
        <v>0.21210000000000001</v>
      </c>
      <c r="L368">
        <v>0.4</v>
      </c>
      <c r="M368">
        <v>0.16420000000000001</v>
      </c>
      <c r="N368">
        <v>11</v>
      </c>
      <c r="O368">
        <v>56</v>
      </c>
      <c r="P368">
        <v>67</v>
      </c>
      <c r="Q368" t="str">
        <f t="shared" si="23"/>
        <v>Weekday</v>
      </c>
      <c r="R368" t="str">
        <f t="shared" si="20"/>
        <v>Clear</v>
      </c>
      <c r="S368">
        <f t="shared" si="21"/>
        <v>-0.25435329828790432</v>
      </c>
      <c r="T368">
        <f t="shared" si="22"/>
        <v>0.10399668008577614</v>
      </c>
      <c r="U368" s="6">
        <v>0.2</v>
      </c>
      <c r="V368">
        <f t="array" ref="V368">CORREL(IFERROR(VALUE(TRIM(CLEAN($U$2:$U$1001))),0), IFERROR(VALUE(TRIM(CLEAN($P$2:$P$1001))),0))</f>
        <v>0.23135628536430677</v>
      </c>
    </row>
    <row r="369" spans="1:22" x14ac:dyDescent="0.25">
      <c r="A369">
        <v>368</v>
      </c>
      <c r="B369" s="1">
        <v>40559</v>
      </c>
      <c r="C369">
        <v>1</v>
      </c>
      <c r="D369">
        <v>0</v>
      </c>
      <c r="E369">
        <v>1</v>
      </c>
      <c r="F369">
        <v>19</v>
      </c>
      <c r="G369" t="b">
        <v>0</v>
      </c>
      <c r="H369">
        <v>0</v>
      </c>
      <c r="I369">
        <v>1</v>
      </c>
      <c r="J369">
        <v>0.18</v>
      </c>
      <c r="K369">
        <v>0.19700000000000001</v>
      </c>
      <c r="L369">
        <v>0.47</v>
      </c>
      <c r="M369">
        <v>0.1343</v>
      </c>
      <c r="N369">
        <v>14</v>
      </c>
      <c r="O369">
        <v>47</v>
      </c>
      <c r="P369">
        <v>61</v>
      </c>
      <c r="Q369" t="str">
        <f t="shared" si="23"/>
        <v>Weekday</v>
      </c>
      <c r="R369" t="str">
        <f t="shared" si="20"/>
        <v>Clear</v>
      </c>
      <c r="S369">
        <f t="shared" si="21"/>
        <v>-0.25435329828790432</v>
      </c>
      <c r="T369">
        <f t="shared" si="22"/>
        <v>0.10399668008577614</v>
      </c>
      <c r="U369" s="6">
        <v>0.18</v>
      </c>
      <c r="V369">
        <f t="array" ref="V369">CORREL(IFERROR(VALUE(TRIM(CLEAN($U$2:$U$1001))),0), IFERROR(VALUE(TRIM(CLEAN($P$2:$P$1001))),0))</f>
        <v>0.23135628536430677</v>
      </c>
    </row>
    <row r="370" spans="1:22" x14ac:dyDescent="0.25">
      <c r="A370">
        <v>369</v>
      </c>
      <c r="B370" s="1">
        <v>40559</v>
      </c>
      <c r="C370">
        <v>1</v>
      </c>
      <c r="D370">
        <v>0</v>
      </c>
      <c r="E370">
        <v>1</v>
      </c>
      <c r="F370">
        <v>20</v>
      </c>
      <c r="G370" t="b">
        <v>0</v>
      </c>
      <c r="H370">
        <v>0</v>
      </c>
      <c r="I370">
        <v>1</v>
      </c>
      <c r="J370">
        <v>0.18</v>
      </c>
      <c r="K370">
        <v>0.19700000000000001</v>
      </c>
      <c r="L370">
        <v>0.47</v>
      </c>
      <c r="M370">
        <v>0.16420000000000001</v>
      </c>
      <c r="N370">
        <v>7</v>
      </c>
      <c r="O370">
        <v>50</v>
      </c>
      <c r="P370">
        <v>57</v>
      </c>
      <c r="Q370" t="str">
        <f t="shared" si="23"/>
        <v>Weekday</v>
      </c>
      <c r="R370" t="str">
        <f t="shared" si="20"/>
        <v>Clear</v>
      </c>
      <c r="S370">
        <f t="shared" si="21"/>
        <v>-0.25435329828790432</v>
      </c>
      <c r="T370">
        <f t="shared" si="22"/>
        <v>0.10399668008577614</v>
      </c>
      <c r="U370" s="6">
        <v>0.18</v>
      </c>
      <c r="V370">
        <f t="array" ref="V370">CORREL(IFERROR(VALUE(TRIM(CLEAN($U$2:$U$1001))),0), IFERROR(VALUE(TRIM(CLEAN($P$2:$P$1001))),0))</f>
        <v>0.23135628536430677</v>
      </c>
    </row>
    <row r="371" spans="1:22" x14ac:dyDescent="0.25">
      <c r="A371">
        <v>370</v>
      </c>
      <c r="B371" s="1">
        <v>40559</v>
      </c>
      <c r="C371">
        <v>1</v>
      </c>
      <c r="D371">
        <v>0</v>
      </c>
      <c r="E371">
        <v>1</v>
      </c>
      <c r="F371">
        <v>21</v>
      </c>
      <c r="G371" t="b">
        <v>0</v>
      </c>
      <c r="H371">
        <v>0</v>
      </c>
      <c r="I371">
        <v>1</v>
      </c>
      <c r="J371">
        <v>0.18</v>
      </c>
      <c r="K371">
        <v>0.19700000000000001</v>
      </c>
      <c r="L371">
        <v>0.51</v>
      </c>
      <c r="M371">
        <v>0.16420000000000001</v>
      </c>
      <c r="N371">
        <v>6</v>
      </c>
      <c r="O371">
        <v>22</v>
      </c>
      <c r="P371">
        <v>28</v>
      </c>
      <c r="Q371" t="str">
        <f t="shared" si="23"/>
        <v>Weekday</v>
      </c>
      <c r="R371" t="str">
        <f t="shared" si="20"/>
        <v>Clear</v>
      </c>
      <c r="S371">
        <f t="shared" si="21"/>
        <v>-0.25435329828790432</v>
      </c>
      <c r="T371">
        <f t="shared" si="22"/>
        <v>0.10399668008577614</v>
      </c>
      <c r="U371" s="6">
        <v>0.18</v>
      </c>
      <c r="V371">
        <f t="array" ref="V371">CORREL(IFERROR(VALUE(TRIM(CLEAN($U$2:$U$1001))),0), IFERROR(VALUE(TRIM(CLEAN($P$2:$P$1001))),0))</f>
        <v>0.23135628536430677</v>
      </c>
    </row>
    <row r="372" spans="1:22" x14ac:dyDescent="0.25">
      <c r="A372">
        <v>371</v>
      </c>
      <c r="B372" s="1">
        <v>40559</v>
      </c>
      <c r="C372">
        <v>1</v>
      </c>
      <c r="D372">
        <v>0</v>
      </c>
      <c r="E372">
        <v>1</v>
      </c>
      <c r="F372">
        <v>22</v>
      </c>
      <c r="G372" t="b">
        <v>0</v>
      </c>
      <c r="H372">
        <v>0</v>
      </c>
      <c r="I372">
        <v>2</v>
      </c>
      <c r="J372">
        <v>0.2</v>
      </c>
      <c r="K372">
        <v>0.21210000000000001</v>
      </c>
      <c r="L372">
        <v>0.49</v>
      </c>
      <c r="M372">
        <v>0.1343</v>
      </c>
      <c r="N372">
        <v>2</v>
      </c>
      <c r="O372">
        <v>19</v>
      </c>
      <c r="P372">
        <v>21</v>
      </c>
      <c r="Q372" t="str">
        <f t="shared" si="23"/>
        <v>Weekend</v>
      </c>
      <c r="R372" t="str">
        <f t="shared" si="20"/>
        <v>Mist/Cloudy</v>
      </c>
      <c r="S372">
        <f t="shared" si="21"/>
        <v>-0.25435329828790432</v>
      </c>
      <c r="T372">
        <f t="shared" si="22"/>
        <v>0.10399668008577614</v>
      </c>
      <c r="U372" s="6">
        <v>0.2</v>
      </c>
      <c r="V372">
        <f t="array" ref="V372">CORREL(IFERROR(VALUE(TRIM(CLEAN($U$2:$U$1001))),0), IFERROR(VALUE(TRIM(CLEAN($P$2:$P$1001))),0))</f>
        <v>0.23135628536430677</v>
      </c>
    </row>
    <row r="373" spans="1:22" x14ac:dyDescent="0.25">
      <c r="A373">
        <v>372</v>
      </c>
      <c r="B373" s="1">
        <v>40559</v>
      </c>
      <c r="C373">
        <v>1</v>
      </c>
      <c r="D373">
        <v>0</v>
      </c>
      <c r="E373">
        <v>1</v>
      </c>
      <c r="F373">
        <v>23</v>
      </c>
      <c r="G373" t="b">
        <v>0</v>
      </c>
      <c r="H373">
        <v>0</v>
      </c>
      <c r="I373">
        <v>2</v>
      </c>
      <c r="J373">
        <v>0.2</v>
      </c>
      <c r="K373">
        <v>0.2273</v>
      </c>
      <c r="L373">
        <v>0.4</v>
      </c>
      <c r="M373">
        <v>0.1045</v>
      </c>
      <c r="N373">
        <v>0</v>
      </c>
      <c r="O373">
        <v>18</v>
      </c>
      <c r="P373">
        <v>18</v>
      </c>
      <c r="Q373" t="str">
        <f t="shared" si="23"/>
        <v>Weekend</v>
      </c>
      <c r="R373" t="str">
        <f t="shared" si="20"/>
        <v>Mist/Cloudy</v>
      </c>
      <c r="S373">
        <f t="shared" si="21"/>
        <v>-0.25435329828790432</v>
      </c>
      <c r="T373">
        <f t="shared" si="22"/>
        <v>0.10399668008577614</v>
      </c>
      <c r="U373" s="6">
        <v>0.2</v>
      </c>
      <c r="V373">
        <f t="array" ref="V373">CORREL(IFERROR(VALUE(TRIM(CLEAN($U$2:$U$1001))),0), IFERROR(VALUE(TRIM(CLEAN($P$2:$P$1001))),0))</f>
        <v>0.23135628536430677</v>
      </c>
    </row>
    <row r="374" spans="1:22" x14ac:dyDescent="0.25">
      <c r="A374">
        <v>373</v>
      </c>
      <c r="B374" s="1">
        <v>40560</v>
      </c>
      <c r="C374">
        <v>1</v>
      </c>
      <c r="D374">
        <v>0</v>
      </c>
      <c r="E374">
        <v>1</v>
      </c>
      <c r="F374">
        <v>0</v>
      </c>
      <c r="G374" t="b">
        <v>1</v>
      </c>
      <c r="H374">
        <v>1</v>
      </c>
      <c r="I374">
        <v>2</v>
      </c>
      <c r="J374">
        <v>0.2</v>
      </c>
      <c r="K374">
        <v>0.19700000000000001</v>
      </c>
      <c r="L374">
        <v>0.47</v>
      </c>
      <c r="M374">
        <v>0.22389999999999999</v>
      </c>
      <c r="N374">
        <v>1</v>
      </c>
      <c r="O374">
        <v>16</v>
      </c>
      <c r="P374">
        <v>17</v>
      </c>
      <c r="Q374" t="str">
        <f t="shared" si="23"/>
        <v>Weekday</v>
      </c>
      <c r="R374" t="str">
        <f t="shared" si="20"/>
        <v>Mist/Cloudy</v>
      </c>
      <c r="S374">
        <f t="shared" si="21"/>
        <v>-0.25435329828790432</v>
      </c>
      <c r="T374">
        <f t="shared" si="22"/>
        <v>0.10399668008577614</v>
      </c>
      <c r="U374" s="6">
        <v>0.2</v>
      </c>
      <c r="V374">
        <f t="array" ref="V374">CORREL(IFERROR(VALUE(TRIM(CLEAN($U$2:$U$1001))),0), IFERROR(VALUE(TRIM(CLEAN($P$2:$P$1001))),0))</f>
        <v>0.23135628536430677</v>
      </c>
    </row>
    <row r="375" spans="1:22" x14ac:dyDescent="0.25">
      <c r="A375">
        <v>374</v>
      </c>
      <c r="B375" s="1">
        <v>40560</v>
      </c>
      <c r="C375">
        <v>1</v>
      </c>
      <c r="D375">
        <v>0</v>
      </c>
      <c r="E375">
        <v>1</v>
      </c>
      <c r="F375">
        <v>1</v>
      </c>
      <c r="G375" t="b">
        <v>1</v>
      </c>
      <c r="H375">
        <v>1</v>
      </c>
      <c r="I375">
        <v>2</v>
      </c>
      <c r="J375">
        <v>0.2</v>
      </c>
      <c r="K375">
        <v>0.19700000000000001</v>
      </c>
      <c r="L375">
        <v>0.44</v>
      </c>
      <c r="M375">
        <v>0.19400000000000001</v>
      </c>
      <c r="N375">
        <v>1</v>
      </c>
      <c r="O375">
        <v>15</v>
      </c>
      <c r="P375">
        <v>16</v>
      </c>
      <c r="Q375" t="str">
        <f t="shared" si="23"/>
        <v>Weekday</v>
      </c>
      <c r="R375" t="str">
        <f t="shared" si="20"/>
        <v>Mist/Cloudy</v>
      </c>
      <c r="S375">
        <f t="shared" si="21"/>
        <v>-0.25435329828790432</v>
      </c>
      <c r="T375">
        <f t="shared" si="22"/>
        <v>0.10399668008577614</v>
      </c>
      <c r="U375" s="6">
        <v>0.2</v>
      </c>
      <c r="V375">
        <f t="array" ref="V375">CORREL(IFERROR(VALUE(TRIM(CLEAN($U$2:$U$1001))),0), IFERROR(VALUE(TRIM(CLEAN($P$2:$P$1001))),0))</f>
        <v>0.23135628536430677</v>
      </c>
    </row>
    <row r="376" spans="1:22" x14ac:dyDescent="0.25">
      <c r="A376">
        <v>375</v>
      </c>
      <c r="B376" s="1">
        <v>40560</v>
      </c>
      <c r="C376">
        <v>1</v>
      </c>
      <c r="D376">
        <v>0</v>
      </c>
      <c r="E376">
        <v>1</v>
      </c>
      <c r="F376">
        <v>2</v>
      </c>
      <c r="G376" t="b">
        <v>1</v>
      </c>
      <c r="H376">
        <v>1</v>
      </c>
      <c r="I376">
        <v>2</v>
      </c>
      <c r="J376">
        <v>0.18</v>
      </c>
      <c r="K376">
        <v>0.16669999999999999</v>
      </c>
      <c r="L376">
        <v>0.43</v>
      </c>
      <c r="M376">
        <v>0.25369999999999998</v>
      </c>
      <c r="N376">
        <v>0</v>
      </c>
      <c r="O376">
        <v>8</v>
      </c>
      <c r="P376">
        <v>8</v>
      </c>
      <c r="Q376" t="str">
        <f t="shared" si="23"/>
        <v>Weekday</v>
      </c>
      <c r="R376" t="str">
        <f t="shared" si="20"/>
        <v>Mist/Cloudy</v>
      </c>
      <c r="S376">
        <f t="shared" si="21"/>
        <v>-0.25435329828790432</v>
      </c>
      <c r="T376">
        <f t="shared" si="22"/>
        <v>0.10399668008577614</v>
      </c>
      <c r="U376" s="6">
        <v>0.18</v>
      </c>
      <c r="V376">
        <f t="array" ref="V376">CORREL(IFERROR(VALUE(TRIM(CLEAN($U$2:$U$1001))),0), IFERROR(VALUE(TRIM(CLEAN($P$2:$P$1001))),0))</f>
        <v>0.23135628536430677</v>
      </c>
    </row>
    <row r="377" spans="1:22" x14ac:dyDescent="0.25">
      <c r="A377">
        <v>376</v>
      </c>
      <c r="B377" s="1">
        <v>40560</v>
      </c>
      <c r="C377">
        <v>1</v>
      </c>
      <c r="D377">
        <v>0</v>
      </c>
      <c r="E377">
        <v>1</v>
      </c>
      <c r="F377">
        <v>3</v>
      </c>
      <c r="G377" t="b">
        <v>1</v>
      </c>
      <c r="H377">
        <v>1</v>
      </c>
      <c r="I377">
        <v>2</v>
      </c>
      <c r="J377">
        <v>0.18</v>
      </c>
      <c r="K377">
        <v>0.18179999999999999</v>
      </c>
      <c r="L377">
        <v>0.43</v>
      </c>
      <c r="M377">
        <v>0.19400000000000001</v>
      </c>
      <c r="N377">
        <v>0</v>
      </c>
      <c r="O377">
        <v>2</v>
      </c>
      <c r="P377">
        <v>2</v>
      </c>
      <c r="Q377" t="str">
        <f t="shared" si="23"/>
        <v>Weekday</v>
      </c>
      <c r="R377" t="str">
        <f t="shared" si="20"/>
        <v>Mist/Cloudy</v>
      </c>
      <c r="S377">
        <f t="shared" si="21"/>
        <v>-0.25435329828790432</v>
      </c>
      <c r="T377">
        <f t="shared" si="22"/>
        <v>0.10399668008577614</v>
      </c>
      <c r="U377" s="6">
        <v>0.18</v>
      </c>
      <c r="V377">
        <f t="array" ref="V377">CORREL(IFERROR(VALUE(TRIM(CLEAN($U$2:$U$1001))),0), IFERROR(VALUE(TRIM(CLEAN($P$2:$P$1001))),0))</f>
        <v>0.23135628536430677</v>
      </c>
    </row>
    <row r="378" spans="1:22" x14ac:dyDescent="0.25">
      <c r="A378">
        <v>377</v>
      </c>
      <c r="B378" s="1">
        <v>40560</v>
      </c>
      <c r="C378">
        <v>1</v>
      </c>
      <c r="D378">
        <v>0</v>
      </c>
      <c r="E378">
        <v>1</v>
      </c>
      <c r="F378">
        <v>4</v>
      </c>
      <c r="G378" t="b">
        <v>1</v>
      </c>
      <c r="H378">
        <v>1</v>
      </c>
      <c r="I378">
        <v>2</v>
      </c>
      <c r="J378">
        <v>0.18</v>
      </c>
      <c r="K378">
        <v>0.19700000000000001</v>
      </c>
      <c r="L378">
        <v>0.43</v>
      </c>
      <c r="M378">
        <v>0.1343</v>
      </c>
      <c r="N378">
        <v>1</v>
      </c>
      <c r="O378">
        <v>2</v>
      </c>
      <c r="P378">
        <v>3</v>
      </c>
      <c r="Q378" t="str">
        <f t="shared" si="23"/>
        <v>Weekday</v>
      </c>
      <c r="R378" t="str">
        <f t="shared" si="20"/>
        <v>Mist/Cloudy</v>
      </c>
      <c r="S378">
        <f t="shared" si="21"/>
        <v>-0.25435329828790432</v>
      </c>
      <c r="T378">
        <f t="shared" si="22"/>
        <v>0.10399668008577614</v>
      </c>
      <c r="U378" s="6">
        <v>0.18</v>
      </c>
      <c r="V378">
        <f t="array" ref="V378">CORREL(IFERROR(VALUE(TRIM(CLEAN($U$2:$U$1001))),0), IFERROR(VALUE(TRIM(CLEAN($P$2:$P$1001))),0))</f>
        <v>0.23135628536430677</v>
      </c>
    </row>
    <row r="379" spans="1:22" x14ac:dyDescent="0.25">
      <c r="A379">
        <v>378</v>
      </c>
      <c r="B379" s="1">
        <v>40560</v>
      </c>
      <c r="C379">
        <v>1</v>
      </c>
      <c r="D379">
        <v>0</v>
      </c>
      <c r="E379">
        <v>1</v>
      </c>
      <c r="F379">
        <v>5</v>
      </c>
      <c r="G379" t="b">
        <v>1</v>
      </c>
      <c r="H379">
        <v>1</v>
      </c>
      <c r="I379">
        <v>2</v>
      </c>
      <c r="J379">
        <v>0.18</v>
      </c>
      <c r="K379">
        <v>0.19700000000000001</v>
      </c>
      <c r="L379">
        <v>0.43</v>
      </c>
      <c r="M379">
        <v>0.16420000000000001</v>
      </c>
      <c r="N379">
        <v>0</v>
      </c>
      <c r="O379">
        <v>1</v>
      </c>
      <c r="P379">
        <v>1</v>
      </c>
      <c r="Q379" t="str">
        <f t="shared" si="23"/>
        <v>Weekend</v>
      </c>
      <c r="R379" t="str">
        <f t="shared" si="20"/>
        <v>Mist/Cloudy</v>
      </c>
      <c r="S379">
        <f t="shared" si="21"/>
        <v>-0.25435329828790432</v>
      </c>
      <c r="T379">
        <f t="shared" si="22"/>
        <v>0.10399668008577614</v>
      </c>
      <c r="U379" s="6">
        <v>0.18</v>
      </c>
      <c r="V379">
        <f t="array" ref="V379">CORREL(IFERROR(VALUE(TRIM(CLEAN($U$2:$U$1001))),0), IFERROR(VALUE(TRIM(CLEAN($P$2:$P$1001))),0))</f>
        <v>0.23135628536430677</v>
      </c>
    </row>
    <row r="380" spans="1:22" x14ac:dyDescent="0.25">
      <c r="A380">
        <v>379</v>
      </c>
      <c r="B380" s="1">
        <v>40560</v>
      </c>
      <c r="C380">
        <v>1</v>
      </c>
      <c r="D380">
        <v>0</v>
      </c>
      <c r="E380">
        <v>1</v>
      </c>
      <c r="F380">
        <v>6</v>
      </c>
      <c r="G380" t="b">
        <v>1</v>
      </c>
      <c r="H380">
        <v>1</v>
      </c>
      <c r="I380">
        <v>2</v>
      </c>
      <c r="J380">
        <v>0.18</v>
      </c>
      <c r="K380">
        <v>0.18179999999999999</v>
      </c>
      <c r="L380">
        <v>0.43</v>
      </c>
      <c r="M380">
        <v>0.19400000000000001</v>
      </c>
      <c r="N380">
        <v>0</v>
      </c>
      <c r="O380">
        <v>5</v>
      </c>
      <c r="P380">
        <v>5</v>
      </c>
      <c r="Q380" t="str">
        <f t="shared" si="23"/>
        <v>Weekend</v>
      </c>
      <c r="R380" t="str">
        <f t="shared" si="20"/>
        <v>Mist/Cloudy</v>
      </c>
      <c r="S380">
        <f t="shared" si="21"/>
        <v>-0.25435329828790432</v>
      </c>
      <c r="T380">
        <f t="shared" si="22"/>
        <v>0.10399668008577614</v>
      </c>
      <c r="U380" s="6">
        <v>0.18</v>
      </c>
      <c r="V380">
        <f t="array" ref="V380">CORREL(IFERROR(VALUE(TRIM(CLEAN($U$2:$U$1001))),0), IFERROR(VALUE(TRIM(CLEAN($P$2:$P$1001))),0))</f>
        <v>0.23135628536430677</v>
      </c>
    </row>
    <row r="381" spans="1:22" x14ac:dyDescent="0.25">
      <c r="A381">
        <v>380</v>
      </c>
      <c r="B381" s="1">
        <v>40560</v>
      </c>
      <c r="C381">
        <v>1</v>
      </c>
      <c r="D381">
        <v>0</v>
      </c>
      <c r="E381">
        <v>1</v>
      </c>
      <c r="F381">
        <v>7</v>
      </c>
      <c r="G381" t="b">
        <v>1</v>
      </c>
      <c r="H381">
        <v>1</v>
      </c>
      <c r="I381">
        <v>2</v>
      </c>
      <c r="J381">
        <v>0.16</v>
      </c>
      <c r="K381">
        <v>0.18179999999999999</v>
      </c>
      <c r="L381">
        <v>0.5</v>
      </c>
      <c r="M381">
        <v>0.1343</v>
      </c>
      <c r="N381">
        <v>4</v>
      </c>
      <c r="O381">
        <v>9</v>
      </c>
      <c r="P381">
        <v>13</v>
      </c>
      <c r="Q381" t="str">
        <f t="shared" si="23"/>
        <v>Weekday</v>
      </c>
      <c r="R381" t="str">
        <f t="shared" si="20"/>
        <v>Mist/Cloudy</v>
      </c>
      <c r="S381">
        <f t="shared" si="21"/>
        <v>-0.25435329828790432</v>
      </c>
      <c r="T381">
        <f t="shared" si="22"/>
        <v>0.10399668008577614</v>
      </c>
      <c r="U381" s="6">
        <v>0.16</v>
      </c>
      <c r="V381">
        <f t="array" ref="V381">CORREL(IFERROR(VALUE(TRIM(CLEAN($U$2:$U$1001))),0), IFERROR(VALUE(TRIM(CLEAN($P$2:$P$1001))),0))</f>
        <v>0.23135628536430677</v>
      </c>
    </row>
    <row r="382" spans="1:22" x14ac:dyDescent="0.25">
      <c r="A382">
        <v>381</v>
      </c>
      <c r="B382" s="1">
        <v>40560</v>
      </c>
      <c r="C382">
        <v>1</v>
      </c>
      <c r="D382">
        <v>0</v>
      </c>
      <c r="E382">
        <v>1</v>
      </c>
      <c r="F382">
        <v>8</v>
      </c>
      <c r="G382" t="b">
        <v>1</v>
      </c>
      <c r="H382">
        <v>1</v>
      </c>
      <c r="I382">
        <v>2</v>
      </c>
      <c r="J382">
        <v>0.16</v>
      </c>
      <c r="K382">
        <v>0.1515</v>
      </c>
      <c r="L382">
        <v>0.47</v>
      </c>
      <c r="M382">
        <v>0.22389999999999999</v>
      </c>
      <c r="N382">
        <v>3</v>
      </c>
      <c r="O382">
        <v>30</v>
      </c>
      <c r="P382">
        <v>33</v>
      </c>
      <c r="Q382" t="str">
        <f t="shared" si="23"/>
        <v>Weekday</v>
      </c>
      <c r="R382" t="str">
        <f t="shared" si="20"/>
        <v>Mist/Cloudy</v>
      </c>
      <c r="S382">
        <f t="shared" si="21"/>
        <v>-0.25435329828790432</v>
      </c>
      <c r="T382">
        <f t="shared" si="22"/>
        <v>0.10399668008577614</v>
      </c>
      <c r="U382" s="6">
        <v>0.16</v>
      </c>
      <c r="V382">
        <f t="array" ref="V382">CORREL(IFERROR(VALUE(TRIM(CLEAN($U$2:$U$1001))),0), IFERROR(VALUE(TRIM(CLEAN($P$2:$P$1001))),0))</f>
        <v>0.23135628536430677</v>
      </c>
    </row>
    <row r="383" spans="1:22" x14ac:dyDescent="0.25">
      <c r="A383">
        <v>382</v>
      </c>
      <c r="B383" s="1">
        <v>40560</v>
      </c>
      <c r="C383">
        <v>1</v>
      </c>
      <c r="D383">
        <v>0</v>
      </c>
      <c r="E383">
        <v>1</v>
      </c>
      <c r="F383">
        <v>9</v>
      </c>
      <c r="G383" t="b">
        <v>1</v>
      </c>
      <c r="H383">
        <v>1</v>
      </c>
      <c r="I383">
        <v>2</v>
      </c>
      <c r="J383">
        <v>0.16</v>
      </c>
      <c r="K383">
        <v>0.1515</v>
      </c>
      <c r="L383">
        <v>0.47</v>
      </c>
      <c r="M383">
        <v>0.22389999999999999</v>
      </c>
      <c r="N383">
        <v>8</v>
      </c>
      <c r="O383">
        <v>39</v>
      </c>
      <c r="P383">
        <v>47</v>
      </c>
      <c r="Q383" t="str">
        <f t="shared" si="23"/>
        <v>Weekday</v>
      </c>
      <c r="R383" t="str">
        <f t="shared" si="20"/>
        <v>Mist/Cloudy</v>
      </c>
      <c r="S383">
        <f t="shared" si="21"/>
        <v>-0.25435329828790432</v>
      </c>
      <c r="T383">
        <f t="shared" si="22"/>
        <v>0.10399668008577614</v>
      </c>
      <c r="U383" s="6">
        <v>0.16</v>
      </c>
      <c r="V383">
        <f t="array" ref="V383">CORREL(IFERROR(VALUE(TRIM(CLEAN($U$2:$U$1001))),0), IFERROR(VALUE(TRIM(CLEAN($P$2:$P$1001))),0))</f>
        <v>0.23135628536430677</v>
      </c>
    </row>
    <row r="384" spans="1:22" x14ac:dyDescent="0.25">
      <c r="A384">
        <v>383</v>
      </c>
      <c r="B384" s="1">
        <v>40560</v>
      </c>
      <c r="C384">
        <v>1</v>
      </c>
      <c r="D384">
        <v>0</v>
      </c>
      <c r="E384">
        <v>1</v>
      </c>
      <c r="F384">
        <v>10</v>
      </c>
      <c r="G384" t="b">
        <v>1</v>
      </c>
      <c r="H384">
        <v>1</v>
      </c>
      <c r="I384">
        <v>2</v>
      </c>
      <c r="J384">
        <v>0.16</v>
      </c>
      <c r="K384">
        <v>0.1515</v>
      </c>
      <c r="L384">
        <v>0.5</v>
      </c>
      <c r="M384">
        <v>0.25369999999999998</v>
      </c>
      <c r="N384">
        <v>7</v>
      </c>
      <c r="O384">
        <v>50</v>
      </c>
      <c r="P384">
        <v>57</v>
      </c>
      <c r="Q384" t="str">
        <f t="shared" si="23"/>
        <v>Weekday</v>
      </c>
      <c r="R384" t="str">
        <f t="shared" si="20"/>
        <v>Mist/Cloudy</v>
      </c>
      <c r="S384">
        <f t="shared" si="21"/>
        <v>-0.25435329828790432</v>
      </c>
      <c r="T384">
        <f t="shared" si="22"/>
        <v>0.10399668008577614</v>
      </c>
      <c r="U384" s="6">
        <v>0.16</v>
      </c>
      <c r="V384">
        <f t="array" ref="V384">CORREL(IFERROR(VALUE(TRIM(CLEAN($U$2:$U$1001))),0), IFERROR(VALUE(TRIM(CLEAN($P$2:$P$1001))),0))</f>
        <v>0.23135628536430677</v>
      </c>
    </row>
    <row r="385" spans="1:22" x14ac:dyDescent="0.25">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c r="Q385" t="str">
        <f t="shared" si="23"/>
        <v>Weekday</v>
      </c>
      <c r="R385" t="str">
        <f t="shared" si="20"/>
        <v>Mist/Cloudy</v>
      </c>
      <c r="S385">
        <f t="shared" si="21"/>
        <v>-0.25435329828790432</v>
      </c>
      <c r="T385">
        <f t="shared" si="22"/>
        <v>0.10399668008577614</v>
      </c>
      <c r="U385" s="6">
        <v>0.16</v>
      </c>
      <c r="V385">
        <f t="array" ref="V385">CORREL(IFERROR(VALUE(TRIM(CLEAN($U$2:$U$1001))),0), IFERROR(VALUE(TRIM(CLEAN($P$2:$P$1001))),0))</f>
        <v>0.23135628536430677</v>
      </c>
    </row>
    <row r="386" spans="1:22" x14ac:dyDescent="0.25">
      <c r="A386">
        <v>385</v>
      </c>
      <c r="B386" s="1">
        <v>40560</v>
      </c>
      <c r="C386">
        <v>1</v>
      </c>
      <c r="D386">
        <v>0</v>
      </c>
      <c r="E386">
        <v>1</v>
      </c>
      <c r="F386">
        <v>12</v>
      </c>
      <c r="G386" t="b">
        <v>1</v>
      </c>
      <c r="H386">
        <v>1</v>
      </c>
      <c r="I386">
        <v>2</v>
      </c>
      <c r="J386">
        <v>0.18</v>
      </c>
      <c r="K386">
        <v>0.19700000000000001</v>
      </c>
      <c r="L386">
        <v>0.47</v>
      </c>
      <c r="M386">
        <v>0.1343</v>
      </c>
      <c r="N386">
        <v>10</v>
      </c>
      <c r="O386">
        <v>70</v>
      </c>
      <c r="P386">
        <v>80</v>
      </c>
      <c r="Q386" t="str">
        <f t="shared" si="23"/>
        <v>Weekend</v>
      </c>
      <c r="R386" t="str">
        <f t="shared" ref="R386:R449" si="24">IF(I386=1, "Clear", IF(I386=2, "Mist/Cloudy", IF(I386=3, "Light Snow/Rain", "Heavy Rain")))</f>
        <v>Mist/Cloudy</v>
      </c>
      <c r="S386">
        <f t="shared" ref="S386:S449" si="25">CORREL($L$2:$L$1001, $P$2:$P$1001)</f>
        <v>-0.25435329828790432</v>
      </c>
      <c r="T386">
        <f t="shared" ref="T386:T449" si="26">CORREL($M$2:$M$1001, $P$2:$P$1001)</f>
        <v>0.10399668008577614</v>
      </c>
      <c r="U386" s="6">
        <v>0.18</v>
      </c>
      <c r="V386">
        <f t="array" ref="V386">CORREL(IFERROR(VALUE(TRIM(CLEAN($U$2:$U$1001))),0), IFERROR(VALUE(TRIM(CLEAN($P$2:$P$1001))),0))</f>
        <v>0.23135628536430677</v>
      </c>
    </row>
    <row r="387" spans="1:22" x14ac:dyDescent="0.25">
      <c r="A387">
        <v>386</v>
      </c>
      <c r="B387" s="1">
        <v>40560</v>
      </c>
      <c r="C387">
        <v>1</v>
      </c>
      <c r="D387">
        <v>0</v>
      </c>
      <c r="E387">
        <v>1</v>
      </c>
      <c r="F387">
        <v>13</v>
      </c>
      <c r="G387" t="b">
        <v>1</v>
      </c>
      <c r="H387">
        <v>1</v>
      </c>
      <c r="I387">
        <v>2</v>
      </c>
      <c r="J387">
        <v>0.18</v>
      </c>
      <c r="K387">
        <v>0.19700000000000001</v>
      </c>
      <c r="L387">
        <v>0.47</v>
      </c>
      <c r="M387">
        <v>0.1343</v>
      </c>
      <c r="N387">
        <v>13</v>
      </c>
      <c r="O387">
        <v>80</v>
      </c>
      <c r="P387">
        <v>93</v>
      </c>
      <c r="Q387" t="str">
        <f t="shared" ref="Q387:Q450" si="27">IF(WEEKDAY(A387,2)&gt;5,"Weekend","Weekday")</f>
        <v>Weekend</v>
      </c>
      <c r="R387" t="str">
        <f t="shared" si="24"/>
        <v>Mist/Cloudy</v>
      </c>
      <c r="S387">
        <f t="shared" si="25"/>
        <v>-0.25435329828790432</v>
      </c>
      <c r="T387">
        <f t="shared" si="26"/>
        <v>0.10399668008577614</v>
      </c>
      <c r="U387" s="6">
        <v>0.18</v>
      </c>
      <c r="V387">
        <f t="array" ref="V387">CORREL(IFERROR(VALUE(TRIM(CLEAN($U$2:$U$1001))),0), IFERROR(VALUE(TRIM(CLEAN($P$2:$P$1001))),0))</f>
        <v>0.23135628536430677</v>
      </c>
    </row>
    <row r="388" spans="1:22" x14ac:dyDescent="0.25">
      <c r="A388">
        <v>387</v>
      </c>
      <c r="B388" s="1">
        <v>40560</v>
      </c>
      <c r="C388">
        <v>1</v>
      </c>
      <c r="D388">
        <v>0</v>
      </c>
      <c r="E388">
        <v>1</v>
      </c>
      <c r="F388">
        <v>14</v>
      </c>
      <c r="G388" t="b">
        <v>1</v>
      </c>
      <c r="H388">
        <v>1</v>
      </c>
      <c r="I388">
        <v>2</v>
      </c>
      <c r="J388">
        <v>0.18</v>
      </c>
      <c r="K388">
        <v>0.21210000000000001</v>
      </c>
      <c r="L388">
        <v>0.43</v>
      </c>
      <c r="M388">
        <v>0.1045</v>
      </c>
      <c r="N388">
        <v>12</v>
      </c>
      <c r="O388">
        <v>74</v>
      </c>
      <c r="P388">
        <v>86</v>
      </c>
      <c r="Q388" t="str">
        <f t="shared" si="27"/>
        <v>Weekday</v>
      </c>
      <c r="R388" t="str">
        <f t="shared" si="24"/>
        <v>Mist/Cloudy</v>
      </c>
      <c r="S388">
        <f t="shared" si="25"/>
        <v>-0.25435329828790432</v>
      </c>
      <c r="T388">
        <f t="shared" si="26"/>
        <v>0.10399668008577614</v>
      </c>
      <c r="U388" s="6">
        <v>0.18</v>
      </c>
      <c r="V388">
        <f t="array" ref="V388">CORREL(IFERROR(VALUE(TRIM(CLEAN($U$2:$U$1001))),0), IFERROR(VALUE(TRIM(CLEAN($P$2:$P$1001))),0))</f>
        <v>0.23135628536430677</v>
      </c>
    </row>
    <row r="389" spans="1:22" x14ac:dyDescent="0.25">
      <c r="A389">
        <v>388</v>
      </c>
      <c r="B389" s="1">
        <v>40560</v>
      </c>
      <c r="C389">
        <v>1</v>
      </c>
      <c r="D389">
        <v>0</v>
      </c>
      <c r="E389">
        <v>1</v>
      </c>
      <c r="F389">
        <v>15</v>
      </c>
      <c r="G389" t="b">
        <v>1</v>
      </c>
      <c r="H389">
        <v>1</v>
      </c>
      <c r="I389">
        <v>2</v>
      </c>
      <c r="J389">
        <v>0.2</v>
      </c>
      <c r="K389">
        <v>0.21210000000000001</v>
      </c>
      <c r="L389">
        <v>0.47</v>
      </c>
      <c r="M389">
        <v>0.16420000000000001</v>
      </c>
      <c r="N389">
        <v>21</v>
      </c>
      <c r="O389">
        <v>72</v>
      </c>
      <c r="P389">
        <v>93</v>
      </c>
      <c r="Q389" t="str">
        <f t="shared" si="27"/>
        <v>Weekday</v>
      </c>
      <c r="R389" t="str">
        <f t="shared" si="24"/>
        <v>Mist/Cloudy</v>
      </c>
      <c r="S389">
        <f t="shared" si="25"/>
        <v>-0.25435329828790432</v>
      </c>
      <c r="T389">
        <f t="shared" si="26"/>
        <v>0.10399668008577614</v>
      </c>
      <c r="U389" s="6">
        <v>0.2</v>
      </c>
      <c r="V389">
        <f t="array" ref="V389">CORREL(IFERROR(VALUE(TRIM(CLEAN($U$2:$U$1001))),0), IFERROR(VALUE(TRIM(CLEAN($P$2:$P$1001))),0))</f>
        <v>0.23135628536430677</v>
      </c>
    </row>
    <row r="390" spans="1:22" x14ac:dyDescent="0.25">
      <c r="A390">
        <v>389</v>
      </c>
      <c r="B390" s="1">
        <v>40560</v>
      </c>
      <c r="C390">
        <v>1</v>
      </c>
      <c r="D390">
        <v>0</v>
      </c>
      <c r="E390">
        <v>1</v>
      </c>
      <c r="F390">
        <v>16</v>
      </c>
      <c r="G390" t="b">
        <v>1</v>
      </c>
      <c r="H390">
        <v>1</v>
      </c>
      <c r="I390">
        <v>2</v>
      </c>
      <c r="J390">
        <v>0.2</v>
      </c>
      <c r="K390">
        <v>0.21210000000000001</v>
      </c>
      <c r="L390">
        <v>0.47</v>
      </c>
      <c r="M390">
        <v>0.16420000000000001</v>
      </c>
      <c r="N390">
        <v>6</v>
      </c>
      <c r="O390">
        <v>76</v>
      </c>
      <c r="P390">
        <v>82</v>
      </c>
      <c r="Q390" t="str">
        <f t="shared" si="27"/>
        <v>Weekday</v>
      </c>
      <c r="R390" t="str">
        <f t="shared" si="24"/>
        <v>Mist/Cloudy</v>
      </c>
      <c r="S390">
        <f t="shared" si="25"/>
        <v>-0.25435329828790432</v>
      </c>
      <c r="T390">
        <f t="shared" si="26"/>
        <v>0.10399668008577614</v>
      </c>
      <c r="U390" s="6">
        <v>0.2</v>
      </c>
      <c r="V390">
        <f t="array" ref="V390">CORREL(IFERROR(VALUE(TRIM(CLEAN($U$2:$U$1001))),0), IFERROR(VALUE(TRIM(CLEAN($P$2:$P$1001))),0))</f>
        <v>0.23135628536430677</v>
      </c>
    </row>
    <row r="391" spans="1:22" x14ac:dyDescent="0.25">
      <c r="A391">
        <v>390</v>
      </c>
      <c r="B391" s="1">
        <v>40560</v>
      </c>
      <c r="C391">
        <v>1</v>
      </c>
      <c r="D391">
        <v>0</v>
      </c>
      <c r="E391">
        <v>1</v>
      </c>
      <c r="F391">
        <v>17</v>
      </c>
      <c r="G391" t="b">
        <v>1</v>
      </c>
      <c r="H391">
        <v>1</v>
      </c>
      <c r="I391">
        <v>1</v>
      </c>
      <c r="J391">
        <v>0.2</v>
      </c>
      <c r="K391">
        <v>0.19700000000000001</v>
      </c>
      <c r="L391">
        <v>0.51</v>
      </c>
      <c r="M391">
        <v>0.19400000000000001</v>
      </c>
      <c r="N391">
        <v>4</v>
      </c>
      <c r="O391">
        <v>67</v>
      </c>
      <c r="P391">
        <v>71</v>
      </c>
      <c r="Q391" t="str">
        <f t="shared" si="27"/>
        <v>Weekday</v>
      </c>
      <c r="R391" t="str">
        <f t="shared" si="24"/>
        <v>Clear</v>
      </c>
      <c r="S391">
        <f t="shared" si="25"/>
        <v>-0.25435329828790432</v>
      </c>
      <c r="T391">
        <f t="shared" si="26"/>
        <v>0.10399668008577614</v>
      </c>
      <c r="U391" s="6">
        <v>0.2</v>
      </c>
      <c r="V391">
        <f t="array" ref="V391">CORREL(IFERROR(VALUE(TRIM(CLEAN($U$2:$U$1001))),0), IFERROR(VALUE(TRIM(CLEAN($P$2:$P$1001))),0))</f>
        <v>0.23135628536430677</v>
      </c>
    </row>
    <row r="392" spans="1:22" x14ac:dyDescent="0.25">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c r="Q392" t="str">
        <f t="shared" si="27"/>
        <v>Weekday</v>
      </c>
      <c r="R392" t="str">
        <f t="shared" si="24"/>
        <v>Mist/Cloudy</v>
      </c>
      <c r="S392">
        <f t="shared" si="25"/>
        <v>-0.25435329828790432</v>
      </c>
      <c r="T392">
        <f t="shared" si="26"/>
        <v>0.10399668008577614</v>
      </c>
      <c r="U392" s="6">
        <v>0.18</v>
      </c>
      <c r="V392">
        <f t="array" ref="V392">CORREL(IFERROR(VALUE(TRIM(CLEAN($U$2:$U$1001))),0), IFERROR(VALUE(TRIM(CLEAN($P$2:$P$1001))),0))</f>
        <v>0.23135628536430677</v>
      </c>
    </row>
    <row r="393" spans="1:22" x14ac:dyDescent="0.25">
      <c r="A393">
        <v>392</v>
      </c>
      <c r="B393" s="1">
        <v>40560</v>
      </c>
      <c r="C393">
        <v>1</v>
      </c>
      <c r="D393">
        <v>0</v>
      </c>
      <c r="E393">
        <v>1</v>
      </c>
      <c r="F393">
        <v>19</v>
      </c>
      <c r="G393" t="b">
        <v>1</v>
      </c>
      <c r="H393">
        <v>1</v>
      </c>
      <c r="I393">
        <v>3</v>
      </c>
      <c r="J393">
        <v>0.18</v>
      </c>
      <c r="K393">
        <v>0.18179999999999999</v>
      </c>
      <c r="L393">
        <v>0.59</v>
      </c>
      <c r="M393">
        <v>0.19400000000000001</v>
      </c>
      <c r="N393">
        <v>2</v>
      </c>
      <c r="O393">
        <v>58</v>
      </c>
      <c r="P393">
        <v>60</v>
      </c>
      <c r="Q393" t="str">
        <f t="shared" si="27"/>
        <v>Weekend</v>
      </c>
      <c r="R393" t="str">
        <f t="shared" si="24"/>
        <v>Light Snow/Rain</v>
      </c>
      <c r="S393">
        <f t="shared" si="25"/>
        <v>-0.25435329828790432</v>
      </c>
      <c r="T393">
        <f t="shared" si="26"/>
        <v>0.10399668008577614</v>
      </c>
      <c r="U393" s="6">
        <v>0.18</v>
      </c>
      <c r="V393">
        <f t="array" ref="V393">CORREL(IFERROR(VALUE(TRIM(CLEAN($U$2:$U$1001))),0), IFERROR(VALUE(TRIM(CLEAN($P$2:$P$1001))),0))</f>
        <v>0.23135628536430677</v>
      </c>
    </row>
    <row r="394" spans="1:22" x14ac:dyDescent="0.25">
      <c r="A394">
        <v>393</v>
      </c>
      <c r="B394" s="1">
        <v>40560</v>
      </c>
      <c r="C394">
        <v>1</v>
      </c>
      <c r="D394">
        <v>0</v>
      </c>
      <c r="E394">
        <v>1</v>
      </c>
      <c r="F394">
        <v>20</v>
      </c>
      <c r="G394" t="b">
        <v>1</v>
      </c>
      <c r="H394">
        <v>1</v>
      </c>
      <c r="I394">
        <v>3</v>
      </c>
      <c r="J394">
        <v>0.16</v>
      </c>
      <c r="K394">
        <v>0.1515</v>
      </c>
      <c r="L394">
        <v>0.8</v>
      </c>
      <c r="M394">
        <v>0.19400000000000001</v>
      </c>
      <c r="N394">
        <v>4</v>
      </c>
      <c r="O394">
        <v>29</v>
      </c>
      <c r="P394">
        <v>33</v>
      </c>
      <c r="Q394" t="str">
        <f t="shared" si="27"/>
        <v>Weekend</v>
      </c>
      <c r="R394" t="str">
        <f t="shared" si="24"/>
        <v>Light Snow/Rain</v>
      </c>
      <c r="S394">
        <f t="shared" si="25"/>
        <v>-0.25435329828790432</v>
      </c>
      <c r="T394">
        <f t="shared" si="26"/>
        <v>0.10399668008577614</v>
      </c>
      <c r="U394" s="6">
        <v>0.16</v>
      </c>
      <c r="V394">
        <f t="array" ref="V394">CORREL(IFERROR(VALUE(TRIM(CLEAN($U$2:$U$1001))),0), IFERROR(VALUE(TRIM(CLEAN($P$2:$P$1001))),0))</f>
        <v>0.23135628536430677</v>
      </c>
    </row>
    <row r="395" spans="1:22" x14ac:dyDescent="0.25">
      <c r="A395">
        <v>394</v>
      </c>
      <c r="B395" s="1">
        <v>40560</v>
      </c>
      <c r="C395">
        <v>1</v>
      </c>
      <c r="D395">
        <v>0</v>
      </c>
      <c r="E395">
        <v>1</v>
      </c>
      <c r="F395">
        <v>21</v>
      </c>
      <c r="G395" t="b">
        <v>1</v>
      </c>
      <c r="H395">
        <v>1</v>
      </c>
      <c r="I395">
        <v>3</v>
      </c>
      <c r="J395">
        <v>0.16</v>
      </c>
      <c r="K395">
        <v>0.1515</v>
      </c>
      <c r="L395">
        <v>0.8</v>
      </c>
      <c r="M395">
        <v>0.19400000000000001</v>
      </c>
      <c r="N395">
        <v>3</v>
      </c>
      <c r="O395">
        <v>24</v>
      </c>
      <c r="P395">
        <v>27</v>
      </c>
      <c r="Q395" t="str">
        <f t="shared" si="27"/>
        <v>Weekday</v>
      </c>
      <c r="R395" t="str">
        <f t="shared" si="24"/>
        <v>Light Snow/Rain</v>
      </c>
      <c r="S395">
        <f t="shared" si="25"/>
        <v>-0.25435329828790432</v>
      </c>
      <c r="T395">
        <f t="shared" si="26"/>
        <v>0.10399668008577614</v>
      </c>
      <c r="U395" s="6">
        <v>0.16</v>
      </c>
      <c r="V395">
        <f t="array" ref="V395">CORREL(IFERROR(VALUE(TRIM(CLEAN($U$2:$U$1001))),0), IFERROR(VALUE(TRIM(CLEAN($P$2:$P$1001))),0))</f>
        <v>0.23135628536430677</v>
      </c>
    </row>
    <row r="396" spans="1:22" x14ac:dyDescent="0.25">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c r="Q396" t="str">
        <f t="shared" si="27"/>
        <v>Weekday</v>
      </c>
      <c r="R396" t="str">
        <f t="shared" si="24"/>
        <v>Light Snow/Rain</v>
      </c>
      <c r="S396">
        <f t="shared" si="25"/>
        <v>-0.25435329828790432</v>
      </c>
      <c r="T396">
        <f t="shared" si="26"/>
        <v>0.10399668008577614</v>
      </c>
      <c r="U396" s="6">
        <v>0.14000000000000001</v>
      </c>
      <c r="V396">
        <f t="array" ref="V396">CORREL(IFERROR(VALUE(TRIM(CLEAN($U$2:$U$1001))),0), IFERROR(VALUE(TRIM(CLEAN($P$2:$P$1001))),0))</f>
        <v>0.23135628536430677</v>
      </c>
    </row>
    <row r="397" spans="1:22" x14ac:dyDescent="0.25">
      <c r="A397">
        <v>396</v>
      </c>
      <c r="B397" s="1">
        <v>40560</v>
      </c>
      <c r="C397">
        <v>1</v>
      </c>
      <c r="D397">
        <v>0</v>
      </c>
      <c r="E397">
        <v>1</v>
      </c>
      <c r="F397">
        <v>23</v>
      </c>
      <c r="G397" t="b">
        <v>1</v>
      </c>
      <c r="H397">
        <v>1</v>
      </c>
      <c r="I397">
        <v>3</v>
      </c>
      <c r="J397">
        <v>0.16</v>
      </c>
      <c r="K397">
        <v>0.13639999999999999</v>
      </c>
      <c r="L397">
        <v>0.86</v>
      </c>
      <c r="M397">
        <v>0.28360000000000002</v>
      </c>
      <c r="N397">
        <v>1</v>
      </c>
      <c r="O397">
        <v>3</v>
      </c>
      <c r="P397">
        <v>4</v>
      </c>
      <c r="Q397" t="str">
        <f t="shared" si="27"/>
        <v>Weekday</v>
      </c>
      <c r="R397" t="str">
        <f t="shared" si="24"/>
        <v>Light Snow/Rain</v>
      </c>
      <c r="S397">
        <f t="shared" si="25"/>
        <v>-0.25435329828790432</v>
      </c>
      <c r="T397">
        <f t="shared" si="26"/>
        <v>0.10399668008577614</v>
      </c>
      <c r="U397" s="6">
        <v>0.16</v>
      </c>
      <c r="V397">
        <f t="array" ref="V397">CORREL(IFERROR(VALUE(TRIM(CLEAN($U$2:$U$1001))),0), IFERROR(VALUE(TRIM(CLEAN($P$2:$P$1001))),0))</f>
        <v>0.23135628536430677</v>
      </c>
    </row>
    <row r="398" spans="1:22" x14ac:dyDescent="0.25">
      <c r="A398">
        <v>397</v>
      </c>
      <c r="B398" s="1">
        <v>40561</v>
      </c>
      <c r="C398">
        <v>1</v>
      </c>
      <c r="D398">
        <v>0</v>
      </c>
      <c r="E398">
        <v>1</v>
      </c>
      <c r="F398">
        <v>12</v>
      </c>
      <c r="G398" t="b">
        <v>0</v>
      </c>
      <c r="H398">
        <v>2</v>
      </c>
      <c r="I398">
        <v>2</v>
      </c>
      <c r="J398">
        <v>0.2</v>
      </c>
      <c r="K398">
        <v>0.18179999999999999</v>
      </c>
      <c r="L398">
        <v>0.86</v>
      </c>
      <c r="M398">
        <v>0.32840000000000003</v>
      </c>
      <c r="N398">
        <v>0</v>
      </c>
      <c r="O398">
        <v>3</v>
      </c>
      <c r="P398">
        <v>3</v>
      </c>
      <c r="Q398" t="str">
        <f t="shared" si="27"/>
        <v>Weekday</v>
      </c>
      <c r="R398" t="str">
        <f t="shared" si="24"/>
        <v>Mist/Cloudy</v>
      </c>
      <c r="S398">
        <f t="shared" si="25"/>
        <v>-0.25435329828790432</v>
      </c>
      <c r="T398">
        <f t="shared" si="26"/>
        <v>0.10399668008577614</v>
      </c>
      <c r="U398" s="6">
        <v>0.2</v>
      </c>
      <c r="V398">
        <f t="array" ref="V398">CORREL(IFERROR(VALUE(TRIM(CLEAN($U$2:$U$1001))),0), IFERROR(VALUE(TRIM(CLEAN($P$2:$P$1001))),0))</f>
        <v>0.23135628536430677</v>
      </c>
    </row>
    <row r="399" spans="1:22" x14ac:dyDescent="0.25">
      <c r="A399">
        <v>398</v>
      </c>
      <c r="B399" s="1">
        <v>40561</v>
      </c>
      <c r="C399">
        <v>1</v>
      </c>
      <c r="D399">
        <v>0</v>
      </c>
      <c r="E399">
        <v>1</v>
      </c>
      <c r="F399">
        <v>13</v>
      </c>
      <c r="G399" t="b">
        <v>0</v>
      </c>
      <c r="H399">
        <v>2</v>
      </c>
      <c r="I399">
        <v>2</v>
      </c>
      <c r="J399">
        <v>0.2</v>
      </c>
      <c r="K399">
        <v>0.19700000000000001</v>
      </c>
      <c r="L399">
        <v>0.86</v>
      </c>
      <c r="M399">
        <v>0.22389999999999999</v>
      </c>
      <c r="N399">
        <v>0</v>
      </c>
      <c r="O399">
        <v>22</v>
      </c>
      <c r="P399">
        <v>22</v>
      </c>
      <c r="Q399" t="str">
        <f t="shared" si="27"/>
        <v>Weekday</v>
      </c>
      <c r="R399" t="str">
        <f t="shared" si="24"/>
        <v>Mist/Cloudy</v>
      </c>
      <c r="S399">
        <f t="shared" si="25"/>
        <v>-0.25435329828790432</v>
      </c>
      <c r="T399">
        <f t="shared" si="26"/>
        <v>0.10399668008577614</v>
      </c>
      <c r="U399" s="6">
        <v>0.2</v>
      </c>
      <c r="V399">
        <f t="array" ref="V399">CORREL(IFERROR(VALUE(TRIM(CLEAN($U$2:$U$1001))),0), IFERROR(VALUE(TRIM(CLEAN($P$2:$P$1001))),0))</f>
        <v>0.23135628536430677</v>
      </c>
    </row>
    <row r="400" spans="1:22" x14ac:dyDescent="0.25">
      <c r="A400">
        <v>399</v>
      </c>
      <c r="B400" s="1">
        <v>40561</v>
      </c>
      <c r="C400">
        <v>1</v>
      </c>
      <c r="D400">
        <v>0</v>
      </c>
      <c r="E400">
        <v>1</v>
      </c>
      <c r="F400">
        <v>14</v>
      </c>
      <c r="G400" t="b">
        <v>0</v>
      </c>
      <c r="H400">
        <v>2</v>
      </c>
      <c r="I400">
        <v>2</v>
      </c>
      <c r="J400">
        <v>0.22</v>
      </c>
      <c r="K400">
        <v>0.2273</v>
      </c>
      <c r="L400">
        <v>0.8</v>
      </c>
      <c r="M400">
        <v>0.16420000000000001</v>
      </c>
      <c r="N400">
        <v>2</v>
      </c>
      <c r="O400">
        <v>26</v>
      </c>
      <c r="P400">
        <v>28</v>
      </c>
      <c r="Q400" t="str">
        <f t="shared" si="27"/>
        <v>Weekend</v>
      </c>
      <c r="R400" t="str">
        <f t="shared" si="24"/>
        <v>Mist/Cloudy</v>
      </c>
      <c r="S400">
        <f t="shared" si="25"/>
        <v>-0.25435329828790432</v>
      </c>
      <c r="T400">
        <f t="shared" si="26"/>
        <v>0.10399668008577614</v>
      </c>
      <c r="U400" s="6">
        <v>0.22</v>
      </c>
      <c r="V400">
        <f t="array" ref="V400">CORREL(IFERROR(VALUE(TRIM(CLEAN($U$2:$U$1001))),0), IFERROR(VALUE(TRIM(CLEAN($P$2:$P$1001))),0))</f>
        <v>0.23135628536430677</v>
      </c>
    </row>
    <row r="401" spans="1:22" x14ac:dyDescent="0.25">
      <c r="A401">
        <v>400</v>
      </c>
      <c r="B401" s="1">
        <v>40561</v>
      </c>
      <c r="C401">
        <v>1</v>
      </c>
      <c r="D401">
        <v>0</v>
      </c>
      <c r="E401">
        <v>1</v>
      </c>
      <c r="F401">
        <v>15</v>
      </c>
      <c r="G401" t="b">
        <v>0</v>
      </c>
      <c r="H401">
        <v>2</v>
      </c>
      <c r="I401">
        <v>2</v>
      </c>
      <c r="J401">
        <v>0.22</v>
      </c>
      <c r="K401">
        <v>0.2273</v>
      </c>
      <c r="L401">
        <v>0.87</v>
      </c>
      <c r="M401">
        <v>0.16420000000000001</v>
      </c>
      <c r="N401">
        <v>3</v>
      </c>
      <c r="O401">
        <v>32</v>
      </c>
      <c r="P401">
        <v>35</v>
      </c>
      <c r="Q401" t="str">
        <f t="shared" si="27"/>
        <v>Weekend</v>
      </c>
      <c r="R401" t="str">
        <f t="shared" si="24"/>
        <v>Mist/Cloudy</v>
      </c>
      <c r="S401">
        <f t="shared" si="25"/>
        <v>-0.25435329828790432</v>
      </c>
      <c r="T401">
        <f t="shared" si="26"/>
        <v>0.10399668008577614</v>
      </c>
      <c r="U401" s="6">
        <v>0.22</v>
      </c>
      <c r="V401">
        <f t="array" ref="V401">CORREL(IFERROR(VALUE(TRIM(CLEAN($U$2:$U$1001))),0), IFERROR(VALUE(TRIM(CLEAN($P$2:$P$1001))),0))</f>
        <v>0.23135628536430677</v>
      </c>
    </row>
    <row r="402" spans="1:22" x14ac:dyDescent="0.25">
      <c r="A402">
        <v>401</v>
      </c>
      <c r="B402" s="1">
        <v>40561</v>
      </c>
      <c r="C402">
        <v>1</v>
      </c>
      <c r="D402">
        <v>0</v>
      </c>
      <c r="E402">
        <v>1</v>
      </c>
      <c r="F402">
        <v>16</v>
      </c>
      <c r="G402" t="b">
        <v>0</v>
      </c>
      <c r="H402">
        <v>2</v>
      </c>
      <c r="I402">
        <v>2</v>
      </c>
      <c r="J402">
        <v>0.22</v>
      </c>
      <c r="K402">
        <v>0.2273</v>
      </c>
      <c r="L402">
        <v>0.87</v>
      </c>
      <c r="M402">
        <v>0.19400000000000001</v>
      </c>
      <c r="N402">
        <v>0</v>
      </c>
      <c r="O402">
        <v>61</v>
      </c>
      <c r="P402">
        <v>61</v>
      </c>
      <c r="Q402" t="str">
        <f t="shared" si="27"/>
        <v>Weekday</v>
      </c>
      <c r="R402" t="str">
        <f t="shared" si="24"/>
        <v>Mist/Cloudy</v>
      </c>
      <c r="S402">
        <f t="shared" si="25"/>
        <v>-0.25435329828790432</v>
      </c>
      <c r="T402">
        <f t="shared" si="26"/>
        <v>0.10399668008577614</v>
      </c>
      <c r="U402" s="6">
        <v>0.22</v>
      </c>
      <c r="V402">
        <f t="array" ref="V402">CORREL(IFERROR(VALUE(TRIM(CLEAN($U$2:$U$1001))),0), IFERROR(VALUE(TRIM(CLEAN($P$2:$P$1001))),0))</f>
        <v>0.23135628536430677</v>
      </c>
    </row>
    <row r="403" spans="1:22" x14ac:dyDescent="0.25">
      <c r="A403">
        <v>402</v>
      </c>
      <c r="B403" s="1">
        <v>40561</v>
      </c>
      <c r="C403">
        <v>1</v>
      </c>
      <c r="D403">
        <v>0</v>
      </c>
      <c r="E403">
        <v>1</v>
      </c>
      <c r="F403">
        <v>17</v>
      </c>
      <c r="G403" t="b">
        <v>0</v>
      </c>
      <c r="H403">
        <v>2</v>
      </c>
      <c r="I403">
        <v>2</v>
      </c>
      <c r="J403">
        <v>0.22</v>
      </c>
      <c r="K403">
        <v>0.2273</v>
      </c>
      <c r="L403">
        <v>0.82</v>
      </c>
      <c r="M403">
        <v>0.19400000000000001</v>
      </c>
      <c r="N403">
        <v>1</v>
      </c>
      <c r="O403">
        <v>124</v>
      </c>
      <c r="P403">
        <v>125</v>
      </c>
      <c r="Q403" t="str">
        <f t="shared" si="27"/>
        <v>Weekday</v>
      </c>
      <c r="R403" t="str">
        <f t="shared" si="24"/>
        <v>Mist/Cloudy</v>
      </c>
      <c r="S403">
        <f t="shared" si="25"/>
        <v>-0.25435329828790432</v>
      </c>
      <c r="T403">
        <f t="shared" si="26"/>
        <v>0.10399668008577614</v>
      </c>
      <c r="U403" s="6">
        <v>0.22</v>
      </c>
      <c r="V403">
        <f t="array" ref="V403">CORREL(IFERROR(VALUE(TRIM(CLEAN($U$2:$U$1001))),0), IFERROR(VALUE(TRIM(CLEAN($P$2:$P$1001))),0))</f>
        <v>0.23135628536430677</v>
      </c>
    </row>
    <row r="404" spans="1:22" x14ac:dyDescent="0.25">
      <c r="A404">
        <v>403</v>
      </c>
      <c r="B404" s="1">
        <v>40561</v>
      </c>
      <c r="C404">
        <v>1</v>
      </c>
      <c r="D404">
        <v>0</v>
      </c>
      <c r="E404">
        <v>1</v>
      </c>
      <c r="F404">
        <v>18</v>
      </c>
      <c r="G404" t="b">
        <v>0</v>
      </c>
      <c r="H404">
        <v>2</v>
      </c>
      <c r="I404">
        <v>2</v>
      </c>
      <c r="J404">
        <v>0.22</v>
      </c>
      <c r="K404">
        <v>0.2273</v>
      </c>
      <c r="L404">
        <v>0.8</v>
      </c>
      <c r="M404">
        <v>0.16420000000000001</v>
      </c>
      <c r="N404">
        <v>1</v>
      </c>
      <c r="O404">
        <v>132</v>
      </c>
      <c r="P404">
        <v>133</v>
      </c>
      <c r="Q404" t="str">
        <f t="shared" si="27"/>
        <v>Weekday</v>
      </c>
      <c r="R404" t="str">
        <f t="shared" si="24"/>
        <v>Mist/Cloudy</v>
      </c>
      <c r="S404">
        <f t="shared" si="25"/>
        <v>-0.25435329828790432</v>
      </c>
      <c r="T404">
        <f t="shared" si="26"/>
        <v>0.10399668008577614</v>
      </c>
      <c r="U404" s="6">
        <v>0.22</v>
      </c>
      <c r="V404">
        <f t="array" ref="V404">CORREL(IFERROR(VALUE(TRIM(CLEAN($U$2:$U$1001))),0), IFERROR(VALUE(TRIM(CLEAN($P$2:$P$1001))),0))</f>
        <v>0.23135628536430677</v>
      </c>
    </row>
    <row r="405" spans="1:22" x14ac:dyDescent="0.25">
      <c r="A405">
        <v>404</v>
      </c>
      <c r="B405" s="1">
        <v>40561</v>
      </c>
      <c r="C405">
        <v>1</v>
      </c>
      <c r="D405">
        <v>0</v>
      </c>
      <c r="E405">
        <v>1</v>
      </c>
      <c r="F405">
        <v>19</v>
      </c>
      <c r="G405" t="b">
        <v>0</v>
      </c>
      <c r="H405">
        <v>2</v>
      </c>
      <c r="I405">
        <v>2</v>
      </c>
      <c r="J405">
        <v>0.22</v>
      </c>
      <c r="K405">
        <v>0.2273</v>
      </c>
      <c r="L405">
        <v>0.8</v>
      </c>
      <c r="M405">
        <v>0.1343</v>
      </c>
      <c r="N405">
        <v>1</v>
      </c>
      <c r="O405">
        <v>98</v>
      </c>
      <c r="P405">
        <v>99</v>
      </c>
      <c r="Q405" t="str">
        <f t="shared" si="27"/>
        <v>Weekday</v>
      </c>
      <c r="R405" t="str">
        <f t="shared" si="24"/>
        <v>Mist/Cloudy</v>
      </c>
      <c r="S405">
        <f t="shared" si="25"/>
        <v>-0.25435329828790432</v>
      </c>
      <c r="T405">
        <f t="shared" si="26"/>
        <v>0.10399668008577614</v>
      </c>
      <c r="U405" s="6">
        <v>0.22</v>
      </c>
      <c r="V405">
        <f t="array" ref="V405">CORREL(IFERROR(VALUE(TRIM(CLEAN($U$2:$U$1001))),0), IFERROR(VALUE(TRIM(CLEAN($P$2:$P$1001))),0))</f>
        <v>0.23135628536430677</v>
      </c>
    </row>
    <row r="406" spans="1:22" x14ac:dyDescent="0.25">
      <c r="A406">
        <v>405</v>
      </c>
      <c r="B406" s="1">
        <v>40561</v>
      </c>
      <c r="C406">
        <v>1</v>
      </c>
      <c r="D406">
        <v>0</v>
      </c>
      <c r="E406">
        <v>1</v>
      </c>
      <c r="F406">
        <v>20</v>
      </c>
      <c r="G406" t="b">
        <v>0</v>
      </c>
      <c r="H406">
        <v>2</v>
      </c>
      <c r="I406">
        <v>2</v>
      </c>
      <c r="J406">
        <v>0.22</v>
      </c>
      <c r="K406">
        <v>0.2727</v>
      </c>
      <c r="L406">
        <v>0.87</v>
      </c>
      <c r="M406">
        <v>0</v>
      </c>
      <c r="N406">
        <v>0</v>
      </c>
      <c r="O406">
        <v>83</v>
      </c>
      <c r="P406">
        <v>83</v>
      </c>
      <c r="Q406" t="str">
        <f t="shared" si="27"/>
        <v>Weekday</v>
      </c>
      <c r="R406" t="str">
        <f t="shared" si="24"/>
        <v>Mist/Cloudy</v>
      </c>
      <c r="S406">
        <f t="shared" si="25"/>
        <v>-0.25435329828790432</v>
      </c>
      <c r="T406">
        <f t="shared" si="26"/>
        <v>0.10399668008577614</v>
      </c>
      <c r="U406" s="6">
        <v>0.22</v>
      </c>
      <c r="V406">
        <f t="array" ref="V406">CORREL(IFERROR(VALUE(TRIM(CLEAN($U$2:$U$1001))),0), IFERROR(VALUE(TRIM(CLEAN($P$2:$P$1001))),0))</f>
        <v>0.23135628536430677</v>
      </c>
    </row>
    <row r="407" spans="1:22" x14ac:dyDescent="0.25">
      <c r="A407">
        <v>406</v>
      </c>
      <c r="B407" s="1">
        <v>40561</v>
      </c>
      <c r="C407">
        <v>1</v>
      </c>
      <c r="D407">
        <v>0</v>
      </c>
      <c r="E407">
        <v>1</v>
      </c>
      <c r="F407">
        <v>21</v>
      </c>
      <c r="G407" t="b">
        <v>0</v>
      </c>
      <c r="H407">
        <v>2</v>
      </c>
      <c r="I407">
        <v>2</v>
      </c>
      <c r="J407">
        <v>0.22</v>
      </c>
      <c r="K407">
        <v>0.2424</v>
      </c>
      <c r="L407">
        <v>0.93</v>
      </c>
      <c r="M407">
        <v>0.1045</v>
      </c>
      <c r="N407">
        <v>0</v>
      </c>
      <c r="O407">
        <v>41</v>
      </c>
      <c r="P407">
        <v>41</v>
      </c>
      <c r="Q407" t="str">
        <f t="shared" si="27"/>
        <v>Weekend</v>
      </c>
      <c r="R407" t="str">
        <f t="shared" si="24"/>
        <v>Mist/Cloudy</v>
      </c>
      <c r="S407">
        <f t="shared" si="25"/>
        <v>-0.25435329828790432</v>
      </c>
      <c r="T407">
        <f t="shared" si="26"/>
        <v>0.10399668008577614</v>
      </c>
      <c r="U407" s="6">
        <v>0.22</v>
      </c>
      <c r="V407">
        <f t="array" ref="V407">CORREL(IFERROR(VALUE(TRIM(CLEAN($U$2:$U$1001))),0), IFERROR(VALUE(TRIM(CLEAN($P$2:$P$1001))),0))</f>
        <v>0.23135628536430677</v>
      </c>
    </row>
    <row r="408" spans="1:22" x14ac:dyDescent="0.25">
      <c r="A408">
        <v>407</v>
      </c>
      <c r="B408" s="1">
        <v>40561</v>
      </c>
      <c r="C408">
        <v>1</v>
      </c>
      <c r="D408">
        <v>0</v>
      </c>
      <c r="E408">
        <v>1</v>
      </c>
      <c r="F408">
        <v>22</v>
      </c>
      <c r="G408" t="b">
        <v>0</v>
      </c>
      <c r="H408">
        <v>2</v>
      </c>
      <c r="I408">
        <v>2</v>
      </c>
      <c r="J408">
        <v>0.22</v>
      </c>
      <c r="K408">
        <v>0.2576</v>
      </c>
      <c r="L408">
        <v>0.93</v>
      </c>
      <c r="M408">
        <v>8.9599999999999999E-2</v>
      </c>
      <c r="N408">
        <v>0</v>
      </c>
      <c r="O408">
        <v>33</v>
      </c>
      <c r="P408">
        <v>33</v>
      </c>
      <c r="Q408" t="str">
        <f t="shared" si="27"/>
        <v>Weekend</v>
      </c>
      <c r="R408" t="str">
        <f t="shared" si="24"/>
        <v>Mist/Cloudy</v>
      </c>
      <c r="S408">
        <f t="shared" si="25"/>
        <v>-0.25435329828790432</v>
      </c>
      <c r="T408">
        <f t="shared" si="26"/>
        <v>0.10399668008577614</v>
      </c>
      <c r="U408" s="6">
        <v>0.22</v>
      </c>
      <c r="V408">
        <f t="array" ref="V408">CORREL(IFERROR(VALUE(TRIM(CLEAN($U$2:$U$1001))),0), IFERROR(VALUE(TRIM(CLEAN($P$2:$P$1001))),0))</f>
        <v>0.23135628536430677</v>
      </c>
    </row>
    <row r="409" spans="1:22" x14ac:dyDescent="0.25">
      <c r="A409">
        <v>408</v>
      </c>
      <c r="B409" s="1">
        <v>40561</v>
      </c>
      <c r="C409">
        <v>1</v>
      </c>
      <c r="D409">
        <v>0</v>
      </c>
      <c r="E409">
        <v>1</v>
      </c>
      <c r="F409">
        <v>23</v>
      </c>
      <c r="G409" t="b">
        <v>0</v>
      </c>
      <c r="H409">
        <v>2</v>
      </c>
      <c r="I409">
        <v>2</v>
      </c>
      <c r="J409">
        <v>0.22</v>
      </c>
      <c r="K409">
        <v>0.2727</v>
      </c>
      <c r="L409">
        <v>0.93</v>
      </c>
      <c r="M409">
        <v>0</v>
      </c>
      <c r="N409">
        <v>1</v>
      </c>
      <c r="O409">
        <v>19</v>
      </c>
      <c r="P409">
        <v>20</v>
      </c>
      <c r="Q409" t="str">
        <f t="shared" si="27"/>
        <v>Weekday</v>
      </c>
      <c r="R409" t="str">
        <f t="shared" si="24"/>
        <v>Mist/Cloudy</v>
      </c>
      <c r="S409">
        <f t="shared" si="25"/>
        <v>-0.25435329828790432</v>
      </c>
      <c r="T409">
        <f t="shared" si="26"/>
        <v>0.10399668008577614</v>
      </c>
      <c r="U409" s="6">
        <v>0.22</v>
      </c>
      <c r="V409">
        <f t="array" ref="V409">CORREL(IFERROR(VALUE(TRIM(CLEAN($U$2:$U$1001))),0), IFERROR(VALUE(TRIM(CLEAN($P$2:$P$1001))),0))</f>
        <v>0.23135628536430677</v>
      </c>
    </row>
    <row r="410" spans="1:22" x14ac:dyDescent="0.25">
      <c r="A410">
        <v>409</v>
      </c>
      <c r="B410" s="1">
        <v>40562</v>
      </c>
      <c r="C410">
        <v>1</v>
      </c>
      <c r="D410">
        <v>0</v>
      </c>
      <c r="E410">
        <v>1</v>
      </c>
      <c r="F410">
        <v>0</v>
      </c>
      <c r="G410" t="b">
        <v>0</v>
      </c>
      <c r="H410">
        <v>3</v>
      </c>
      <c r="I410">
        <v>2</v>
      </c>
      <c r="J410">
        <v>0.22</v>
      </c>
      <c r="K410">
        <v>0.2727</v>
      </c>
      <c r="L410">
        <v>0.93</v>
      </c>
      <c r="M410">
        <v>0</v>
      </c>
      <c r="N410">
        <v>0</v>
      </c>
      <c r="O410">
        <v>3</v>
      </c>
      <c r="P410">
        <v>3</v>
      </c>
      <c r="Q410" t="str">
        <f t="shared" si="27"/>
        <v>Weekday</v>
      </c>
      <c r="R410" t="str">
        <f t="shared" si="24"/>
        <v>Mist/Cloudy</v>
      </c>
      <c r="S410">
        <f t="shared" si="25"/>
        <v>-0.25435329828790432</v>
      </c>
      <c r="T410">
        <f t="shared" si="26"/>
        <v>0.10399668008577614</v>
      </c>
      <c r="U410" s="6">
        <v>0.22</v>
      </c>
      <c r="V410">
        <f t="array" ref="V410">CORREL(IFERROR(VALUE(TRIM(CLEAN($U$2:$U$1001))),0), IFERROR(VALUE(TRIM(CLEAN($P$2:$P$1001))),0))</f>
        <v>0.23135628536430677</v>
      </c>
    </row>
    <row r="411" spans="1:22" x14ac:dyDescent="0.25">
      <c r="A411">
        <v>410</v>
      </c>
      <c r="B411" s="1">
        <v>40562</v>
      </c>
      <c r="C411">
        <v>1</v>
      </c>
      <c r="D411">
        <v>0</v>
      </c>
      <c r="E411">
        <v>1</v>
      </c>
      <c r="F411">
        <v>1</v>
      </c>
      <c r="G411" t="b">
        <v>0</v>
      </c>
      <c r="H411">
        <v>3</v>
      </c>
      <c r="I411">
        <v>3</v>
      </c>
      <c r="J411">
        <v>0.22</v>
      </c>
      <c r="K411">
        <v>0.2273</v>
      </c>
      <c r="L411">
        <v>0.93</v>
      </c>
      <c r="M411">
        <v>0.1343</v>
      </c>
      <c r="N411">
        <v>1</v>
      </c>
      <c r="O411">
        <v>6</v>
      </c>
      <c r="P411">
        <v>7</v>
      </c>
      <c r="Q411" t="str">
        <f t="shared" si="27"/>
        <v>Weekday</v>
      </c>
      <c r="R411" t="str">
        <f t="shared" si="24"/>
        <v>Light Snow/Rain</v>
      </c>
      <c r="S411">
        <f t="shared" si="25"/>
        <v>-0.25435329828790432</v>
      </c>
      <c r="T411">
        <f t="shared" si="26"/>
        <v>0.10399668008577614</v>
      </c>
      <c r="U411" s="6">
        <v>0.22</v>
      </c>
      <c r="V411">
        <f t="array" ref="V411">CORREL(IFERROR(VALUE(TRIM(CLEAN($U$2:$U$1001))),0), IFERROR(VALUE(TRIM(CLEAN($P$2:$P$1001))),0))</f>
        <v>0.23135628536430677</v>
      </c>
    </row>
    <row r="412" spans="1:22" x14ac:dyDescent="0.25">
      <c r="A412">
        <v>411</v>
      </c>
      <c r="B412" s="1">
        <v>40562</v>
      </c>
      <c r="C412">
        <v>1</v>
      </c>
      <c r="D412">
        <v>0</v>
      </c>
      <c r="E412">
        <v>1</v>
      </c>
      <c r="F412">
        <v>2</v>
      </c>
      <c r="G412" t="b">
        <v>0</v>
      </c>
      <c r="H412">
        <v>3</v>
      </c>
      <c r="I412">
        <v>3</v>
      </c>
      <c r="J412">
        <v>0.22</v>
      </c>
      <c r="K412">
        <v>0.2273</v>
      </c>
      <c r="L412">
        <v>0.93</v>
      </c>
      <c r="M412">
        <v>0.1343</v>
      </c>
      <c r="N412">
        <v>0</v>
      </c>
      <c r="O412">
        <v>3</v>
      </c>
      <c r="P412">
        <v>3</v>
      </c>
      <c r="Q412" t="str">
        <f t="shared" si="27"/>
        <v>Weekday</v>
      </c>
      <c r="R412" t="str">
        <f t="shared" si="24"/>
        <v>Light Snow/Rain</v>
      </c>
      <c r="S412">
        <f t="shared" si="25"/>
        <v>-0.25435329828790432</v>
      </c>
      <c r="T412">
        <f t="shared" si="26"/>
        <v>0.10399668008577614</v>
      </c>
      <c r="U412" s="6">
        <v>0.22</v>
      </c>
      <c r="V412">
        <f t="array" ref="V412">CORREL(IFERROR(VALUE(TRIM(CLEAN($U$2:$U$1001))),0), IFERROR(VALUE(TRIM(CLEAN($P$2:$P$1001))),0))</f>
        <v>0.23135628536430677</v>
      </c>
    </row>
    <row r="413" spans="1:22" x14ac:dyDescent="0.25">
      <c r="A413">
        <v>412</v>
      </c>
      <c r="B413" s="1">
        <v>40562</v>
      </c>
      <c r="C413">
        <v>1</v>
      </c>
      <c r="D413">
        <v>0</v>
      </c>
      <c r="E413">
        <v>1</v>
      </c>
      <c r="F413">
        <v>4</v>
      </c>
      <c r="G413" t="b">
        <v>0</v>
      </c>
      <c r="H413">
        <v>3</v>
      </c>
      <c r="I413">
        <v>3</v>
      </c>
      <c r="J413">
        <v>0.22</v>
      </c>
      <c r="K413">
        <v>0.2273</v>
      </c>
      <c r="L413">
        <v>0.93</v>
      </c>
      <c r="M413">
        <v>0.1343</v>
      </c>
      <c r="N413">
        <v>1</v>
      </c>
      <c r="O413">
        <v>1</v>
      </c>
      <c r="P413">
        <v>2</v>
      </c>
      <c r="Q413" t="str">
        <f t="shared" si="27"/>
        <v>Weekday</v>
      </c>
      <c r="R413" t="str">
        <f t="shared" si="24"/>
        <v>Light Snow/Rain</v>
      </c>
      <c r="S413">
        <f t="shared" si="25"/>
        <v>-0.25435329828790432</v>
      </c>
      <c r="T413">
        <f t="shared" si="26"/>
        <v>0.10399668008577614</v>
      </c>
      <c r="U413" s="6">
        <v>0.22</v>
      </c>
      <c r="V413">
        <f t="array" ref="V413">CORREL(IFERROR(VALUE(TRIM(CLEAN($U$2:$U$1001))),0), IFERROR(VALUE(TRIM(CLEAN($P$2:$P$1001))),0))</f>
        <v>0.23135628536430677</v>
      </c>
    </row>
    <row r="414" spans="1:22" x14ac:dyDescent="0.25">
      <c r="A414">
        <v>413</v>
      </c>
      <c r="B414" s="1">
        <v>40562</v>
      </c>
      <c r="C414">
        <v>1</v>
      </c>
      <c r="D414">
        <v>0</v>
      </c>
      <c r="E414">
        <v>1</v>
      </c>
      <c r="F414">
        <v>5</v>
      </c>
      <c r="G414" t="b">
        <v>0</v>
      </c>
      <c r="H414">
        <v>3</v>
      </c>
      <c r="I414">
        <v>2</v>
      </c>
      <c r="J414">
        <v>0.22</v>
      </c>
      <c r="K414">
        <v>0.2576</v>
      </c>
      <c r="L414">
        <v>0.93</v>
      </c>
      <c r="M414">
        <v>8.9599999999999999E-2</v>
      </c>
      <c r="N414">
        <v>0</v>
      </c>
      <c r="O414">
        <v>7</v>
      </c>
      <c r="P414">
        <v>7</v>
      </c>
      <c r="Q414" t="str">
        <f t="shared" si="27"/>
        <v>Weekend</v>
      </c>
      <c r="R414" t="str">
        <f t="shared" si="24"/>
        <v>Mist/Cloudy</v>
      </c>
      <c r="S414">
        <f t="shared" si="25"/>
        <v>-0.25435329828790432</v>
      </c>
      <c r="T414">
        <f t="shared" si="26"/>
        <v>0.10399668008577614</v>
      </c>
      <c r="U414" s="6">
        <v>0.22</v>
      </c>
      <c r="V414">
        <f t="array" ref="V414">CORREL(IFERROR(VALUE(TRIM(CLEAN($U$2:$U$1001))),0), IFERROR(VALUE(TRIM(CLEAN($P$2:$P$1001))),0))</f>
        <v>0.23135628536430677</v>
      </c>
    </row>
    <row r="415" spans="1:22" x14ac:dyDescent="0.25">
      <c r="A415">
        <v>414</v>
      </c>
      <c r="B415" s="1">
        <v>40562</v>
      </c>
      <c r="C415">
        <v>1</v>
      </c>
      <c r="D415">
        <v>0</v>
      </c>
      <c r="E415">
        <v>1</v>
      </c>
      <c r="F415">
        <v>6</v>
      </c>
      <c r="G415" t="b">
        <v>0</v>
      </c>
      <c r="H415">
        <v>3</v>
      </c>
      <c r="I415">
        <v>2</v>
      </c>
      <c r="J415">
        <v>0.22</v>
      </c>
      <c r="K415">
        <v>0.2576</v>
      </c>
      <c r="L415">
        <v>0.93</v>
      </c>
      <c r="M415">
        <v>8.9599999999999999E-2</v>
      </c>
      <c r="N415">
        <v>0</v>
      </c>
      <c r="O415">
        <v>32</v>
      </c>
      <c r="P415">
        <v>32</v>
      </c>
      <c r="Q415" t="str">
        <f t="shared" si="27"/>
        <v>Weekend</v>
      </c>
      <c r="R415" t="str">
        <f t="shared" si="24"/>
        <v>Mist/Cloudy</v>
      </c>
      <c r="S415">
        <f t="shared" si="25"/>
        <v>-0.25435329828790432</v>
      </c>
      <c r="T415">
        <f t="shared" si="26"/>
        <v>0.10399668008577614</v>
      </c>
      <c r="U415" s="6">
        <v>0.22</v>
      </c>
      <c r="V415">
        <f t="array" ref="V415">CORREL(IFERROR(VALUE(TRIM(CLEAN($U$2:$U$1001))),0), IFERROR(VALUE(TRIM(CLEAN($P$2:$P$1001))),0))</f>
        <v>0.23135628536430677</v>
      </c>
    </row>
    <row r="416" spans="1:22" x14ac:dyDescent="0.25">
      <c r="A416">
        <v>415</v>
      </c>
      <c r="B416" s="1">
        <v>40562</v>
      </c>
      <c r="C416">
        <v>1</v>
      </c>
      <c r="D416">
        <v>0</v>
      </c>
      <c r="E416">
        <v>1</v>
      </c>
      <c r="F416">
        <v>7</v>
      </c>
      <c r="G416" t="b">
        <v>0</v>
      </c>
      <c r="H416">
        <v>3</v>
      </c>
      <c r="I416">
        <v>2</v>
      </c>
      <c r="J416">
        <v>0.24</v>
      </c>
      <c r="K416">
        <v>0.2576</v>
      </c>
      <c r="L416">
        <v>0.92</v>
      </c>
      <c r="M416">
        <v>0.1045</v>
      </c>
      <c r="N416">
        <v>1</v>
      </c>
      <c r="O416">
        <v>89</v>
      </c>
      <c r="P416">
        <v>90</v>
      </c>
      <c r="Q416" t="str">
        <f t="shared" si="27"/>
        <v>Weekday</v>
      </c>
      <c r="R416" t="str">
        <f t="shared" si="24"/>
        <v>Mist/Cloudy</v>
      </c>
      <c r="S416">
        <f t="shared" si="25"/>
        <v>-0.25435329828790432</v>
      </c>
      <c r="T416">
        <f t="shared" si="26"/>
        <v>0.10399668008577614</v>
      </c>
      <c r="U416" s="6">
        <v>0.24</v>
      </c>
      <c r="V416">
        <f t="array" ref="V416">CORREL(IFERROR(VALUE(TRIM(CLEAN($U$2:$U$1001))),0), IFERROR(VALUE(TRIM(CLEAN($P$2:$P$1001))),0))</f>
        <v>0.23135628536430677</v>
      </c>
    </row>
    <row r="417" spans="1:22" x14ac:dyDescent="0.25">
      <c r="A417">
        <v>416</v>
      </c>
      <c r="B417" s="1">
        <v>40562</v>
      </c>
      <c r="C417">
        <v>1</v>
      </c>
      <c r="D417">
        <v>0</v>
      </c>
      <c r="E417">
        <v>1</v>
      </c>
      <c r="F417">
        <v>8</v>
      </c>
      <c r="G417" t="b">
        <v>0</v>
      </c>
      <c r="H417">
        <v>3</v>
      </c>
      <c r="I417">
        <v>2</v>
      </c>
      <c r="J417">
        <v>0.24</v>
      </c>
      <c r="K417">
        <v>0.2576</v>
      </c>
      <c r="L417">
        <v>0.93</v>
      </c>
      <c r="M417">
        <v>0.1045</v>
      </c>
      <c r="N417">
        <v>1</v>
      </c>
      <c r="O417">
        <v>196</v>
      </c>
      <c r="P417">
        <v>197</v>
      </c>
      <c r="Q417" t="str">
        <f t="shared" si="27"/>
        <v>Weekday</v>
      </c>
      <c r="R417" t="str">
        <f t="shared" si="24"/>
        <v>Mist/Cloudy</v>
      </c>
      <c r="S417">
        <f t="shared" si="25"/>
        <v>-0.25435329828790432</v>
      </c>
      <c r="T417">
        <f t="shared" si="26"/>
        <v>0.10399668008577614</v>
      </c>
      <c r="U417" s="6">
        <v>0.24</v>
      </c>
      <c r="V417">
        <f t="array" ref="V417">CORREL(IFERROR(VALUE(TRIM(CLEAN($U$2:$U$1001))),0), IFERROR(VALUE(TRIM(CLEAN($P$2:$P$1001))),0))</f>
        <v>0.23135628536430677</v>
      </c>
    </row>
    <row r="418" spans="1:22" x14ac:dyDescent="0.25">
      <c r="A418">
        <v>417</v>
      </c>
      <c r="B418" s="1">
        <v>40562</v>
      </c>
      <c r="C418">
        <v>1</v>
      </c>
      <c r="D418">
        <v>0</v>
      </c>
      <c r="E418">
        <v>1</v>
      </c>
      <c r="F418">
        <v>9</v>
      </c>
      <c r="G418" t="b">
        <v>0</v>
      </c>
      <c r="H418">
        <v>3</v>
      </c>
      <c r="I418">
        <v>2</v>
      </c>
      <c r="J418">
        <v>0.24</v>
      </c>
      <c r="K418">
        <v>0.2576</v>
      </c>
      <c r="L418">
        <v>0.93</v>
      </c>
      <c r="M418">
        <v>0.1045</v>
      </c>
      <c r="N418">
        <v>2</v>
      </c>
      <c r="O418">
        <v>107</v>
      </c>
      <c r="P418">
        <v>109</v>
      </c>
      <c r="Q418" t="str">
        <f t="shared" si="27"/>
        <v>Weekday</v>
      </c>
      <c r="R418" t="str">
        <f t="shared" si="24"/>
        <v>Mist/Cloudy</v>
      </c>
      <c r="S418">
        <f t="shared" si="25"/>
        <v>-0.25435329828790432</v>
      </c>
      <c r="T418">
        <f t="shared" si="26"/>
        <v>0.10399668008577614</v>
      </c>
      <c r="U418" s="6">
        <v>0.24</v>
      </c>
      <c r="V418">
        <f t="array" ref="V418">CORREL(IFERROR(VALUE(TRIM(CLEAN($U$2:$U$1001))),0), IFERROR(VALUE(TRIM(CLEAN($P$2:$P$1001))),0))</f>
        <v>0.23135628536430677</v>
      </c>
    </row>
    <row r="419" spans="1:22" x14ac:dyDescent="0.25">
      <c r="A419">
        <v>418</v>
      </c>
      <c r="B419" s="1">
        <v>40562</v>
      </c>
      <c r="C419">
        <v>1</v>
      </c>
      <c r="D419">
        <v>0</v>
      </c>
      <c r="E419">
        <v>1</v>
      </c>
      <c r="F419">
        <v>10</v>
      </c>
      <c r="G419" t="b">
        <v>0</v>
      </c>
      <c r="H419">
        <v>3</v>
      </c>
      <c r="I419">
        <v>2</v>
      </c>
      <c r="J419">
        <v>0.26</v>
      </c>
      <c r="K419">
        <v>0.2727</v>
      </c>
      <c r="L419">
        <v>0.93</v>
      </c>
      <c r="M419">
        <v>0.1343</v>
      </c>
      <c r="N419">
        <v>1</v>
      </c>
      <c r="O419">
        <v>46</v>
      </c>
      <c r="P419">
        <v>47</v>
      </c>
      <c r="Q419" t="str">
        <f t="shared" si="27"/>
        <v>Weekday</v>
      </c>
      <c r="R419" t="str">
        <f t="shared" si="24"/>
        <v>Mist/Cloudy</v>
      </c>
      <c r="S419">
        <f t="shared" si="25"/>
        <v>-0.25435329828790432</v>
      </c>
      <c r="T419">
        <f t="shared" si="26"/>
        <v>0.10399668008577614</v>
      </c>
      <c r="U419" s="6">
        <v>0.26</v>
      </c>
      <c r="V419">
        <f t="array" ref="V419">CORREL(IFERROR(VALUE(TRIM(CLEAN($U$2:$U$1001))),0), IFERROR(VALUE(TRIM(CLEAN($P$2:$P$1001))),0))</f>
        <v>0.23135628536430677</v>
      </c>
    </row>
    <row r="420" spans="1:22" x14ac:dyDescent="0.25">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c r="Q420" t="str">
        <f t="shared" si="27"/>
        <v>Weekday</v>
      </c>
      <c r="R420" t="str">
        <f t="shared" si="24"/>
        <v>Mist/Cloudy</v>
      </c>
      <c r="S420">
        <f t="shared" si="25"/>
        <v>-0.25435329828790432</v>
      </c>
      <c r="T420">
        <f t="shared" si="26"/>
        <v>0.10399668008577614</v>
      </c>
      <c r="U420" s="6">
        <v>0.28000000000000003</v>
      </c>
      <c r="V420">
        <f t="array" ref="V420">CORREL(IFERROR(VALUE(TRIM(CLEAN($U$2:$U$1001))),0), IFERROR(VALUE(TRIM(CLEAN($P$2:$P$1001))),0))</f>
        <v>0.23135628536430677</v>
      </c>
    </row>
    <row r="421" spans="1:22" x14ac:dyDescent="0.25">
      <c r="A421">
        <v>420</v>
      </c>
      <c r="B421" s="1">
        <v>40562</v>
      </c>
      <c r="C421">
        <v>1</v>
      </c>
      <c r="D421">
        <v>0</v>
      </c>
      <c r="E421">
        <v>1</v>
      </c>
      <c r="F421">
        <v>12</v>
      </c>
      <c r="G421" t="b">
        <v>0</v>
      </c>
      <c r="H421">
        <v>3</v>
      </c>
      <c r="I421">
        <v>2</v>
      </c>
      <c r="J421">
        <v>0.3</v>
      </c>
      <c r="K421">
        <v>0.31819999999999998</v>
      </c>
      <c r="L421">
        <v>0.81</v>
      </c>
      <c r="M421">
        <v>8.9599999999999999E-2</v>
      </c>
      <c r="N421">
        <v>5</v>
      </c>
      <c r="O421">
        <v>65</v>
      </c>
      <c r="P421">
        <v>70</v>
      </c>
      <c r="Q421" t="str">
        <f t="shared" si="27"/>
        <v>Weekend</v>
      </c>
      <c r="R421" t="str">
        <f t="shared" si="24"/>
        <v>Mist/Cloudy</v>
      </c>
      <c r="S421">
        <f t="shared" si="25"/>
        <v>-0.25435329828790432</v>
      </c>
      <c r="T421">
        <f t="shared" si="26"/>
        <v>0.10399668008577614</v>
      </c>
      <c r="U421" s="6">
        <v>0.3</v>
      </c>
      <c r="V421">
        <f t="array" ref="V421">CORREL(IFERROR(VALUE(TRIM(CLEAN($U$2:$U$1001))),0), IFERROR(VALUE(TRIM(CLEAN($P$2:$P$1001))),0))</f>
        <v>0.23135628536430677</v>
      </c>
    </row>
    <row r="422" spans="1:22" x14ac:dyDescent="0.25">
      <c r="A422">
        <v>421</v>
      </c>
      <c r="B422" s="1">
        <v>40562</v>
      </c>
      <c r="C422">
        <v>1</v>
      </c>
      <c r="D422">
        <v>0</v>
      </c>
      <c r="E422">
        <v>1</v>
      </c>
      <c r="F422">
        <v>13</v>
      </c>
      <c r="G422" t="b">
        <v>0</v>
      </c>
      <c r="H422">
        <v>3</v>
      </c>
      <c r="I422">
        <v>1</v>
      </c>
      <c r="J422">
        <v>0.4</v>
      </c>
      <c r="K422">
        <v>0.40910000000000002</v>
      </c>
      <c r="L422">
        <v>0.62</v>
      </c>
      <c r="M422">
        <v>0.28360000000000002</v>
      </c>
      <c r="N422">
        <v>11</v>
      </c>
      <c r="O422">
        <v>67</v>
      </c>
      <c r="P422">
        <v>78</v>
      </c>
      <c r="Q422" t="str">
        <f t="shared" si="27"/>
        <v>Weekend</v>
      </c>
      <c r="R422" t="str">
        <f t="shared" si="24"/>
        <v>Clear</v>
      </c>
      <c r="S422">
        <f t="shared" si="25"/>
        <v>-0.25435329828790432</v>
      </c>
      <c r="T422">
        <f t="shared" si="26"/>
        <v>0.10399668008577614</v>
      </c>
      <c r="U422" s="6">
        <v>0.4</v>
      </c>
      <c r="V422">
        <f t="array" ref="V422">CORREL(IFERROR(VALUE(TRIM(CLEAN($U$2:$U$1001))),0), IFERROR(VALUE(TRIM(CLEAN($P$2:$P$1001))),0))</f>
        <v>0.23135628536430677</v>
      </c>
    </row>
    <row r="423" spans="1:22" x14ac:dyDescent="0.25">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c r="Q423" t="str">
        <f t="shared" si="27"/>
        <v>Weekday</v>
      </c>
      <c r="R423" t="str">
        <f t="shared" si="24"/>
        <v>Clear</v>
      </c>
      <c r="S423">
        <f t="shared" si="25"/>
        <v>-0.25435329828790432</v>
      </c>
      <c r="T423">
        <f t="shared" si="26"/>
        <v>0.10399668008577614</v>
      </c>
      <c r="U423" s="6">
        <v>0.4</v>
      </c>
      <c r="V423">
        <f t="array" ref="V423">CORREL(IFERROR(VALUE(TRIM(CLEAN($U$2:$U$1001))),0), IFERROR(VALUE(TRIM(CLEAN($P$2:$P$1001))),0))</f>
        <v>0.23135628536430677</v>
      </c>
    </row>
    <row r="424" spans="1:22" x14ac:dyDescent="0.25">
      <c r="A424">
        <v>423</v>
      </c>
      <c r="B424" s="1">
        <v>40562</v>
      </c>
      <c r="C424">
        <v>1</v>
      </c>
      <c r="D424">
        <v>0</v>
      </c>
      <c r="E424">
        <v>1</v>
      </c>
      <c r="F424">
        <v>15</v>
      </c>
      <c r="G424" t="b">
        <v>0</v>
      </c>
      <c r="H424">
        <v>3</v>
      </c>
      <c r="I424">
        <v>1</v>
      </c>
      <c r="J424">
        <v>0.4</v>
      </c>
      <c r="K424">
        <v>0.40910000000000002</v>
      </c>
      <c r="L424">
        <v>0.54</v>
      </c>
      <c r="M424">
        <v>0.28360000000000002</v>
      </c>
      <c r="N424">
        <v>4</v>
      </c>
      <c r="O424">
        <v>78</v>
      </c>
      <c r="P424">
        <v>82</v>
      </c>
      <c r="Q424" t="str">
        <f t="shared" si="27"/>
        <v>Weekday</v>
      </c>
      <c r="R424" t="str">
        <f t="shared" si="24"/>
        <v>Clear</v>
      </c>
      <c r="S424">
        <f t="shared" si="25"/>
        <v>-0.25435329828790432</v>
      </c>
      <c r="T424">
        <f t="shared" si="26"/>
        <v>0.10399668008577614</v>
      </c>
      <c r="U424" s="6">
        <v>0.4</v>
      </c>
      <c r="V424">
        <f t="array" ref="V424">CORREL(IFERROR(VALUE(TRIM(CLEAN($U$2:$U$1001))),0), IFERROR(VALUE(TRIM(CLEAN($P$2:$P$1001))),0))</f>
        <v>0.23135628536430677</v>
      </c>
    </row>
    <row r="425" spans="1:22" x14ac:dyDescent="0.25">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c r="Q425" t="str">
        <f t="shared" si="27"/>
        <v>Weekday</v>
      </c>
      <c r="R425" t="str">
        <f t="shared" si="24"/>
        <v>Clear</v>
      </c>
      <c r="S425">
        <f t="shared" si="25"/>
        <v>-0.25435329828790432</v>
      </c>
      <c r="T425">
        <f t="shared" si="26"/>
        <v>0.10399668008577614</v>
      </c>
      <c r="U425" s="6">
        <v>0.38</v>
      </c>
      <c r="V425">
        <f t="array" ref="V425">CORREL(IFERROR(VALUE(TRIM(CLEAN($U$2:$U$1001))),0), IFERROR(VALUE(TRIM(CLEAN($P$2:$P$1001))),0))</f>
        <v>0.23135628536430677</v>
      </c>
    </row>
    <row r="426" spans="1:22" x14ac:dyDescent="0.25">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c r="Q426" t="str">
        <f t="shared" si="27"/>
        <v>Weekday</v>
      </c>
      <c r="R426" t="str">
        <f t="shared" si="24"/>
        <v>Clear</v>
      </c>
      <c r="S426">
        <f t="shared" si="25"/>
        <v>-0.25435329828790432</v>
      </c>
      <c r="T426">
        <f t="shared" si="26"/>
        <v>0.10399668008577614</v>
      </c>
      <c r="U426" s="6">
        <v>0.36</v>
      </c>
      <c r="V426">
        <f t="array" ref="V426">CORREL(IFERROR(VALUE(TRIM(CLEAN($U$2:$U$1001))),0), IFERROR(VALUE(TRIM(CLEAN($P$2:$P$1001))),0))</f>
        <v>0.23135628536430677</v>
      </c>
    </row>
    <row r="427" spans="1:22" x14ac:dyDescent="0.25">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c r="Q427" t="str">
        <f t="shared" si="27"/>
        <v>Weekday</v>
      </c>
      <c r="R427" t="str">
        <f t="shared" si="24"/>
        <v>Clear</v>
      </c>
      <c r="S427">
        <f t="shared" si="25"/>
        <v>-0.25435329828790432</v>
      </c>
      <c r="T427">
        <f t="shared" si="26"/>
        <v>0.10399668008577614</v>
      </c>
      <c r="U427" s="6">
        <v>0.34</v>
      </c>
      <c r="V427">
        <f t="array" ref="V427">CORREL(IFERROR(VALUE(TRIM(CLEAN($U$2:$U$1001))),0), IFERROR(VALUE(TRIM(CLEAN($P$2:$P$1001))),0))</f>
        <v>0.23135628536430677</v>
      </c>
    </row>
    <row r="428" spans="1:22" x14ac:dyDescent="0.25">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c r="Q428" t="str">
        <f t="shared" si="27"/>
        <v>Weekend</v>
      </c>
      <c r="R428" t="str">
        <f t="shared" si="24"/>
        <v>Clear</v>
      </c>
      <c r="S428">
        <f t="shared" si="25"/>
        <v>-0.25435329828790432</v>
      </c>
      <c r="T428">
        <f t="shared" si="26"/>
        <v>0.10399668008577614</v>
      </c>
      <c r="U428" s="6">
        <v>0.32</v>
      </c>
      <c r="V428">
        <f t="array" ref="V428">CORREL(IFERROR(VALUE(TRIM(CLEAN($U$2:$U$1001))),0), IFERROR(VALUE(TRIM(CLEAN($P$2:$P$1001))),0))</f>
        <v>0.23135628536430677</v>
      </c>
    </row>
    <row r="429" spans="1:22" x14ac:dyDescent="0.25">
      <c r="A429">
        <v>428</v>
      </c>
      <c r="B429" s="1">
        <v>40562</v>
      </c>
      <c r="C429">
        <v>1</v>
      </c>
      <c r="D429">
        <v>0</v>
      </c>
      <c r="E429">
        <v>1</v>
      </c>
      <c r="F429">
        <v>20</v>
      </c>
      <c r="G429" t="b">
        <v>0</v>
      </c>
      <c r="H429">
        <v>3</v>
      </c>
      <c r="I429">
        <v>1</v>
      </c>
      <c r="J429">
        <v>0.32</v>
      </c>
      <c r="K429">
        <v>0.30299999999999999</v>
      </c>
      <c r="L429">
        <v>0.49</v>
      </c>
      <c r="M429">
        <v>0.29849999999999999</v>
      </c>
      <c r="N429">
        <v>2</v>
      </c>
      <c r="O429">
        <v>74</v>
      </c>
      <c r="P429">
        <v>76</v>
      </c>
      <c r="Q429" t="str">
        <f t="shared" si="27"/>
        <v>Weekend</v>
      </c>
      <c r="R429" t="str">
        <f t="shared" si="24"/>
        <v>Clear</v>
      </c>
      <c r="S429">
        <f t="shared" si="25"/>
        <v>-0.25435329828790432</v>
      </c>
      <c r="T429">
        <f t="shared" si="26"/>
        <v>0.10399668008577614</v>
      </c>
      <c r="U429" s="6">
        <v>0.32</v>
      </c>
      <c r="V429">
        <f t="array" ref="V429">CORREL(IFERROR(VALUE(TRIM(CLEAN($U$2:$U$1001))),0), IFERROR(VALUE(TRIM(CLEAN($P$2:$P$1001))),0))</f>
        <v>0.23135628536430677</v>
      </c>
    </row>
    <row r="430" spans="1:22" x14ac:dyDescent="0.25">
      <c r="A430">
        <v>429</v>
      </c>
      <c r="B430" s="1">
        <v>40562</v>
      </c>
      <c r="C430">
        <v>1</v>
      </c>
      <c r="D430">
        <v>0</v>
      </c>
      <c r="E430">
        <v>1</v>
      </c>
      <c r="F430">
        <v>21</v>
      </c>
      <c r="G430" t="b">
        <v>0</v>
      </c>
      <c r="H430">
        <v>3</v>
      </c>
      <c r="I430">
        <v>1</v>
      </c>
      <c r="J430">
        <v>0.32</v>
      </c>
      <c r="K430">
        <v>0.28789999999999999</v>
      </c>
      <c r="L430">
        <v>0.49</v>
      </c>
      <c r="M430">
        <v>0.41789999999999999</v>
      </c>
      <c r="N430">
        <v>4</v>
      </c>
      <c r="O430">
        <v>55</v>
      </c>
      <c r="P430">
        <v>59</v>
      </c>
      <c r="Q430" t="str">
        <f t="shared" si="27"/>
        <v>Weekday</v>
      </c>
      <c r="R430" t="str">
        <f t="shared" si="24"/>
        <v>Clear</v>
      </c>
      <c r="S430">
        <f t="shared" si="25"/>
        <v>-0.25435329828790432</v>
      </c>
      <c r="T430">
        <f t="shared" si="26"/>
        <v>0.10399668008577614</v>
      </c>
      <c r="U430" s="6">
        <v>0.32</v>
      </c>
      <c r="V430">
        <f t="array" ref="V430">CORREL(IFERROR(VALUE(TRIM(CLEAN($U$2:$U$1001))),0), IFERROR(VALUE(TRIM(CLEAN($P$2:$P$1001))),0))</f>
        <v>0.23135628536430677</v>
      </c>
    </row>
    <row r="431" spans="1:22" x14ac:dyDescent="0.25">
      <c r="A431">
        <v>430</v>
      </c>
      <c r="B431" s="1">
        <v>40562</v>
      </c>
      <c r="C431">
        <v>1</v>
      </c>
      <c r="D431">
        <v>0</v>
      </c>
      <c r="E431">
        <v>1</v>
      </c>
      <c r="F431">
        <v>22</v>
      </c>
      <c r="G431" t="b">
        <v>0</v>
      </c>
      <c r="H431">
        <v>3</v>
      </c>
      <c r="I431">
        <v>1</v>
      </c>
      <c r="J431">
        <v>0.3</v>
      </c>
      <c r="K431">
        <v>0.30299999999999999</v>
      </c>
      <c r="L431">
        <v>0.52</v>
      </c>
      <c r="M431">
        <v>0.16420000000000001</v>
      </c>
      <c r="N431">
        <v>6</v>
      </c>
      <c r="O431">
        <v>53</v>
      </c>
      <c r="P431">
        <v>59</v>
      </c>
      <c r="Q431" t="str">
        <f t="shared" si="27"/>
        <v>Weekday</v>
      </c>
      <c r="R431" t="str">
        <f t="shared" si="24"/>
        <v>Clear</v>
      </c>
      <c r="S431">
        <f t="shared" si="25"/>
        <v>-0.25435329828790432</v>
      </c>
      <c r="T431">
        <f t="shared" si="26"/>
        <v>0.10399668008577614</v>
      </c>
      <c r="U431" s="6">
        <v>0.3</v>
      </c>
      <c r="V431">
        <f t="array" ref="V431">CORREL(IFERROR(VALUE(TRIM(CLEAN($U$2:$U$1001))),0), IFERROR(VALUE(TRIM(CLEAN($P$2:$P$1001))),0))</f>
        <v>0.23135628536430677</v>
      </c>
    </row>
    <row r="432" spans="1:22" x14ac:dyDescent="0.25">
      <c r="A432">
        <v>431</v>
      </c>
      <c r="B432" s="1">
        <v>40562</v>
      </c>
      <c r="C432">
        <v>1</v>
      </c>
      <c r="D432">
        <v>0</v>
      </c>
      <c r="E432">
        <v>1</v>
      </c>
      <c r="F432">
        <v>23</v>
      </c>
      <c r="G432" t="b">
        <v>0</v>
      </c>
      <c r="H432">
        <v>3</v>
      </c>
      <c r="I432">
        <v>1</v>
      </c>
      <c r="J432">
        <v>0.3</v>
      </c>
      <c r="K432">
        <v>0.2727</v>
      </c>
      <c r="L432">
        <v>0.52</v>
      </c>
      <c r="M432">
        <v>0.4627</v>
      </c>
      <c r="N432">
        <v>1</v>
      </c>
      <c r="O432">
        <v>27</v>
      </c>
      <c r="P432">
        <v>28</v>
      </c>
      <c r="Q432" t="str">
        <f t="shared" si="27"/>
        <v>Weekday</v>
      </c>
      <c r="R432" t="str">
        <f t="shared" si="24"/>
        <v>Clear</v>
      </c>
      <c r="S432">
        <f t="shared" si="25"/>
        <v>-0.25435329828790432</v>
      </c>
      <c r="T432">
        <f t="shared" si="26"/>
        <v>0.10399668008577614</v>
      </c>
      <c r="U432" s="6">
        <v>0.3</v>
      </c>
      <c r="V432">
        <f t="array" ref="V432">CORREL(IFERROR(VALUE(TRIM(CLEAN($U$2:$U$1001))),0), IFERROR(VALUE(TRIM(CLEAN($P$2:$P$1001))),0))</f>
        <v>0.23135628536430677</v>
      </c>
    </row>
    <row r="433" spans="1:22" x14ac:dyDescent="0.25">
      <c r="A433">
        <v>432</v>
      </c>
      <c r="B433" s="1">
        <v>40563</v>
      </c>
      <c r="C433">
        <v>1</v>
      </c>
      <c r="D433">
        <v>0</v>
      </c>
      <c r="E433">
        <v>1</v>
      </c>
      <c r="F433">
        <v>0</v>
      </c>
      <c r="G433" t="b">
        <v>0</v>
      </c>
      <c r="H433">
        <v>4</v>
      </c>
      <c r="I433">
        <v>1</v>
      </c>
      <c r="J433">
        <v>0.26</v>
      </c>
      <c r="K433">
        <v>0.2273</v>
      </c>
      <c r="L433">
        <v>0.56000000000000005</v>
      </c>
      <c r="M433">
        <v>0.3881</v>
      </c>
      <c r="N433">
        <v>5</v>
      </c>
      <c r="O433">
        <v>8</v>
      </c>
      <c r="P433">
        <v>13</v>
      </c>
      <c r="Q433" t="str">
        <f t="shared" si="27"/>
        <v>Weekday</v>
      </c>
      <c r="R433" t="str">
        <f t="shared" si="24"/>
        <v>Clear</v>
      </c>
      <c r="S433">
        <f t="shared" si="25"/>
        <v>-0.25435329828790432</v>
      </c>
      <c r="T433">
        <f t="shared" si="26"/>
        <v>0.10399668008577614</v>
      </c>
      <c r="U433" s="6">
        <v>0.26</v>
      </c>
      <c r="V433">
        <f t="array" ref="V433">CORREL(IFERROR(VALUE(TRIM(CLEAN($U$2:$U$1001))),0), IFERROR(VALUE(TRIM(CLEAN($P$2:$P$1001))),0))</f>
        <v>0.23135628536430677</v>
      </c>
    </row>
    <row r="434" spans="1:22" x14ac:dyDescent="0.25">
      <c r="A434">
        <v>433</v>
      </c>
      <c r="B434" s="1">
        <v>40563</v>
      </c>
      <c r="C434">
        <v>1</v>
      </c>
      <c r="D434">
        <v>0</v>
      </c>
      <c r="E434">
        <v>1</v>
      </c>
      <c r="F434">
        <v>1</v>
      </c>
      <c r="G434" t="b">
        <v>0</v>
      </c>
      <c r="H434">
        <v>4</v>
      </c>
      <c r="I434">
        <v>1</v>
      </c>
      <c r="J434">
        <v>0.26</v>
      </c>
      <c r="K434">
        <v>0.2727</v>
      </c>
      <c r="L434">
        <v>0.56000000000000005</v>
      </c>
      <c r="M434">
        <v>0</v>
      </c>
      <c r="N434">
        <v>2</v>
      </c>
      <c r="O434">
        <v>3</v>
      </c>
      <c r="P434">
        <v>5</v>
      </c>
      <c r="Q434" t="str">
        <f t="shared" si="27"/>
        <v>Weekday</v>
      </c>
      <c r="R434" t="str">
        <f t="shared" si="24"/>
        <v>Clear</v>
      </c>
      <c r="S434">
        <f t="shared" si="25"/>
        <v>-0.25435329828790432</v>
      </c>
      <c r="T434">
        <f t="shared" si="26"/>
        <v>0.10399668008577614</v>
      </c>
      <c r="U434" s="6">
        <v>0.26</v>
      </c>
      <c r="V434">
        <f t="array" ref="V434">CORREL(IFERROR(VALUE(TRIM(CLEAN($U$2:$U$1001))),0), IFERROR(VALUE(TRIM(CLEAN($P$2:$P$1001))),0))</f>
        <v>0.23135628536430677</v>
      </c>
    </row>
    <row r="435" spans="1:22" x14ac:dyDescent="0.25">
      <c r="A435">
        <v>434</v>
      </c>
      <c r="B435" s="1">
        <v>40563</v>
      </c>
      <c r="C435">
        <v>1</v>
      </c>
      <c r="D435">
        <v>0</v>
      </c>
      <c r="E435">
        <v>1</v>
      </c>
      <c r="F435">
        <v>2</v>
      </c>
      <c r="G435" t="b">
        <v>0</v>
      </c>
      <c r="H435">
        <v>4</v>
      </c>
      <c r="I435">
        <v>1</v>
      </c>
      <c r="J435">
        <v>0.26</v>
      </c>
      <c r="K435">
        <v>0.2727</v>
      </c>
      <c r="L435">
        <v>0.56000000000000005</v>
      </c>
      <c r="M435">
        <v>0</v>
      </c>
      <c r="N435">
        <v>0</v>
      </c>
      <c r="O435">
        <v>2</v>
      </c>
      <c r="P435">
        <v>2</v>
      </c>
      <c r="Q435" t="str">
        <f t="shared" si="27"/>
        <v>Weekend</v>
      </c>
      <c r="R435" t="str">
        <f t="shared" si="24"/>
        <v>Clear</v>
      </c>
      <c r="S435">
        <f t="shared" si="25"/>
        <v>-0.25435329828790432</v>
      </c>
      <c r="T435">
        <f t="shared" si="26"/>
        <v>0.10399668008577614</v>
      </c>
      <c r="U435" s="6">
        <v>0.26</v>
      </c>
      <c r="V435">
        <f t="array" ref="V435">CORREL(IFERROR(VALUE(TRIM(CLEAN($U$2:$U$1001))),0), IFERROR(VALUE(TRIM(CLEAN($P$2:$P$1001))),0))</f>
        <v>0.23135628536430677</v>
      </c>
    </row>
    <row r="436" spans="1:22" x14ac:dyDescent="0.25">
      <c r="A436">
        <v>435</v>
      </c>
      <c r="B436" s="1">
        <v>40563</v>
      </c>
      <c r="C436">
        <v>1</v>
      </c>
      <c r="D436">
        <v>0</v>
      </c>
      <c r="E436">
        <v>1</v>
      </c>
      <c r="F436">
        <v>3</v>
      </c>
      <c r="G436" t="b">
        <v>0</v>
      </c>
      <c r="H436">
        <v>4</v>
      </c>
      <c r="I436">
        <v>1</v>
      </c>
      <c r="J436">
        <v>0.26</v>
      </c>
      <c r="K436">
        <v>0.2576</v>
      </c>
      <c r="L436">
        <v>0.56000000000000005</v>
      </c>
      <c r="M436">
        <v>0.16420000000000001</v>
      </c>
      <c r="N436">
        <v>0</v>
      </c>
      <c r="O436">
        <v>1</v>
      </c>
      <c r="P436">
        <v>1</v>
      </c>
      <c r="Q436" t="str">
        <f t="shared" si="27"/>
        <v>Weekend</v>
      </c>
      <c r="R436" t="str">
        <f t="shared" si="24"/>
        <v>Clear</v>
      </c>
      <c r="S436">
        <f t="shared" si="25"/>
        <v>-0.25435329828790432</v>
      </c>
      <c r="T436">
        <f t="shared" si="26"/>
        <v>0.10399668008577614</v>
      </c>
      <c r="U436" s="6">
        <v>0.26</v>
      </c>
      <c r="V436">
        <f t="array" ref="V436">CORREL(IFERROR(VALUE(TRIM(CLEAN($U$2:$U$1001))),0), IFERROR(VALUE(TRIM(CLEAN($P$2:$P$1001))),0))</f>
        <v>0.23135628536430677</v>
      </c>
    </row>
    <row r="437" spans="1:22" x14ac:dyDescent="0.25">
      <c r="A437">
        <v>436</v>
      </c>
      <c r="B437" s="1">
        <v>40563</v>
      </c>
      <c r="C437">
        <v>1</v>
      </c>
      <c r="D437">
        <v>0</v>
      </c>
      <c r="E437">
        <v>1</v>
      </c>
      <c r="F437">
        <v>4</v>
      </c>
      <c r="G437" t="b">
        <v>0</v>
      </c>
      <c r="H437">
        <v>4</v>
      </c>
      <c r="I437">
        <v>1</v>
      </c>
      <c r="J437">
        <v>0.26</v>
      </c>
      <c r="K437">
        <v>0.2576</v>
      </c>
      <c r="L437">
        <v>0.56000000000000005</v>
      </c>
      <c r="M437">
        <v>0.16420000000000001</v>
      </c>
      <c r="N437">
        <v>0</v>
      </c>
      <c r="O437">
        <v>1</v>
      </c>
      <c r="P437">
        <v>1</v>
      </c>
      <c r="Q437" t="str">
        <f t="shared" si="27"/>
        <v>Weekday</v>
      </c>
      <c r="R437" t="str">
        <f t="shared" si="24"/>
        <v>Clear</v>
      </c>
      <c r="S437">
        <f t="shared" si="25"/>
        <v>-0.25435329828790432</v>
      </c>
      <c r="T437">
        <f t="shared" si="26"/>
        <v>0.10399668008577614</v>
      </c>
      <c r="U437" s="6">
        <v>0.26</v>
      </c>
      <c r="V437">
        <f t="array" ref="V437">CORREL(IFERROR(VALUE(TRIM(CLEAN($U$2:$U$1001))),0), IFERROR(VALUE(TRIM(CLEAN($P$2:$P$1001))),0))</f>
        <v>0.23135628536430677</v>
      </c>
    </row>
    <row r="438" spans="1:22" x14ac:dyDescent="0.25">
      <c r="A438">
        <v>437</v>
      </c>
      <c r="B438" s="1">
        <v>40563</v>
      </c>
      <c r="C438">
        <v>1</v>
      </c>
      <c r="D438">
        <v>0</v>
      </c>
      <c r="E438">
        <v>1</v>
      </c>
      <c r="F438">
        <v>5</v>
      </c>
      <c r="G438" t="b">
        <v>0</v>
      </c>
      <c r="H438">
        <v>4</v>
      </c>
      <c r="I438">
        <v>1</v>
      </c>
      <c r="J438">
        <v>0.24</v>
      </c>
      <c r="K438">
        <v>0.2273</v>
      </c>
      <c r="L438">
        <v>0.6</v>
      </c>
      <c r="M438">
        <v>0.22389999999999999</v>
      </c>
      <c r="N438">
        <v>0</v>
      </c>
      <c r="O438">
        <v>6</v>
      </c>
      <c r="P438">
        <v>6</v>
      </c>
      <c r="Q438" t="str">
        <f t="shared" si="27"/>
        <v>Weekday</v>
      </c>
      <c r="R438" t="str">
        <f t="shared" si="24"/>
        <v>Clear</v>
      </c>
      <c r="S438">
        <f t="shared" si="25"/>
        <v>-0.25435329828790432</v>
      </c>
      <c r="T438">
        <f t="shared" si="26"/>
        <v>0.10399668008577614</v>
      </c>
      <c r="U438" s="6">
        <v>0.24</v>
      </c>
      <c r="V438">
        <f t="array" ref="V438">CORREL(IFERROR(VALUE(TRIM(CLEAN($U$2:$U$1001))),0), IFERROR(VALUE(TRIM(CLEAN($P$2:$P$1001))),0))</f>
        <v>0.23135628536430677</v>
      </c>
    </row>
    <row r="439" spans="1:22" x14ac:dyDescent="0.25">
      <c r="A439">
        <v>438</v>
      </c>
      <c r="B439" s="1">
        <v>40563</v>
      </c>
      <c r="C439">
        <v>1</v>
      </c>
      <c r="D439">
        <v>0</v>
      </c>
      <c r="E439">
        <v>1</v>
      </c>
      <c r="F439">
        <v>6</v>
      </c>
      <c r="G439" t="b">
        <v>0</v>
      </c>
      <c r="H439">
        <v>4</v>
      </c>
      <c r="I439">
        <v>1</v>
      </c>
      <c r="J439">
        <v>0.22</v>
      </c>
      <c r="K439">
        <v>0.21210000000000001</v>
      </c>
      <c r="L439">
        <v>0.6</v>
      </c>
      <c r="M439">
        <v>0.22389999999999999</v>
      </c>
      <c r="N439">
        <v>0</v>
      </c>
      <c r="O439">
        <v>35</v>
      </c>
      <c r="P439">
        <v>35</v>
      </c>
      <c r="Q439" t="str">
        <f t="shared" si="27"/>
        <v>Weekday</v>
      </c>
      <c r="R439" t="str">
        <f t="shared" si="24"/>
        <v>Clear</v>
      </c>
      <c r="S439">
        <f t="shared" si="25"/>
        <v>-0.25435329828790432</v>
      </c>
      <c r="T439">
        <f t="shared" si="26"/>
        <v>0.10399668008577614</v>
      </c>
      <c r="U439" s="6">
        <v>0.22</v>
      </c>
      <c r="V439">
        <f t="array" ref="V439">CORREL(IFERROR(VALUE(TRIM(CLEAN($U$2:$U$1001))),0), IFERROR(VALUE(TRIM(CLEAN($P$2:$P$1001))),0))</f>
        <v>0.23135628536430677</v>
      </c>
    </row>
    <row r="440" spans="1:22" x14ac:dyDescent="0.25">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c r="Q440" t="str">
        <f t="shared" si="27"/>
        <v>Weekday</v>
      </c>
      <c r="R440" t="str">
        <f t="shared" si="24"/>
        <v>Clear</v>
      </c>
      <c r="S440">
        <f t="shared" si="25"/>
        <v>-0.25435329828790432</v>
      </c>
      <c r="T440">
        <f t="shared" si="26"/>
        <v>0.10399668008577614</v>
      </c>
      <c r="U440" s="6">
        <v>0.22</v>
      </c>
      <c r="V440">
        <f t="array" ref="V440">CORREL(IFERROR(VALUE(TRIM(CLEAN($U$2:$U$1001))),0), IFERROR(VALUE(TRIM(CLEAN($P$2:$P$1001))),0))</f>
        <v>0.23135628536430677</v>
      </c>
    </row>
    <row r="441" spans="1:22" x14ac:dyDescent="0.25">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c r="Q441" t="str">
        <f t="shared" si="27"/>
        <v>Weekday</v>
      </c>
      <c r="R441" t="str">
        <f t="shared" si="24"/>
        <v>Clear</v>
      </c>
      <c r="S441">
        <f t="shared" si="25"/>
        <v>-0.25435329828790432</v>
      </c>
      <c r="T441">
        <f t="shared" si="26"/>
        <v>0.10399668008577614</v>
      </c>
      <c r="U441" s="6">
        <v>0.22</v>
      </c>
      <c r="V441">
        <f t="array" ref="V441">CORREL(IFERROR(VALUE(TRIM(CLEAN($U$2:$U$1001))),0), IFERROR(VALUE(TRIM(CLEAN($P$2:$P$1001))),0))</f>
        <v>0.23135628536430677</v>
      </c>
    </row>
    <row r="442" spans="1:22" x14ac:dyDescent="0.25">
      <c r="A442">
        <v>441</v>
      </c>
      <c r="B442" s="1">
        <v>40563</v>
      </c>
      <c r="C442">
        <v>1</v>
      </c>
      <c r="D442">
        <v>0</v>
      </c>
      <c r="E442">
        <v>1</v>
      </c>
      <c r="F442">
        <v>9</v>
      </c>
      <c r="G442" t="b">
        <v>0</v>
      </c>
      <c r="H442">
        <v>4</v>
      </c>
      <c r="I442">
        <v>2</v>
      </c>
      <c r="J442">
        <v>0.24</v>
      </c>
      <c r="K442">
        <v>0.2273</v>
      </c>
      <c r="L442">
        <v>0.52</v>
      </c>
      <c r="M442">
        <v>0.22389999999999999</v>
      </c>
      <c r="N442">
        <v>3</v>
      </c>
      <c r="O442">
        <v>140</v>
      </c>
      <c r="P442">
        <v>143</v>
      </c>
      <c r="Q442" t="str">
        <f t="shared" si="27"/>
        <v>Weekend</v>
      </c>
      <c r="R442" t="str">
        <f t="shared" si="24"/>
        <v>Mist/Cloudy</v>
      </c>
      <c r="S442">
        <f t="shared" si="25"/>
        <v>-0.25435329828790432</v>
      </c>
      <c r="T442">
        <f t="shared" si="26"/>
        <v>0.10399668008577614</v>
      </c>
      <c r="U442" s="6">
        <v>0.24</v>
      </c>
      <c r="V442">
        <f t="array" ref="V442">CORREL(IFERROR(VALUE(TRIM(CLEAN($U$2:$U$1001))),0), IFERROR(VALUE(TRIM(CLEAN($P$2:$P$1001))),0))</f>
        <v>0.23135628536430677</v>
      </c>
    </row>
    <row r="443" spans="1:22" x14ac:dyDescent="0.25">
      <c r="A443">
        <v>442</v>
      </c>
      <c r="B443" s="1">
        <v>40563</v>
      </c>
      <c r="C443">
        <v>1</v>
      </c>
      <c r="D443">
        <v>0</v>
      </c>
      <c r="E443">
        <v>1</v>
      </c>
      <c r="F443">
        <v>10</v>
      </c>
      <c r="G443" t="b">
        <v>0</v>
      </c>
      <c r="H443">
        <v>4</v>
      </c>
      <c r="I443">
        <v>1</v>
      </c>
      <c r="J443">
        <v>0.26</v>
      </c>
      <c r="K443">
        <v>0.2273</v>
      </c>
      <c r="L443">
        <v>0.48</v>
      </c>
      <c r="M443">
        <v>0.29849999999999999</v>
      </c>
      <c r="N443">
        <v>1</v>
      </c>
      <c r="O443">
        <v>56</v>
      </c>
      <c r="P443">
        <v>57</v>
      </c>
      <c r="Q443" t="str">
        <f t="shared" si="27"/>
        <v>Weekend</v>
      </c>
      <c r="R443" t="str">
        <f t="shared" si="24"/>
        <v>Clear</v>
      </c>
      <c r="S443">
        <f t="shared" si="25"/>
        <v>-0.25435329828790432</v>
      </c>
      <c r="T443">
        <f t="shared" si="26"/>
        <v>0.10399668008577614</v>
      </c>
      <c r="U443" s="6">
        <v>0.26</v>
      </c>
      <c r="V443">
        <f t="array" ref="V443">CORREL(IFERROR(VALUE(TRIM(CLEAN($U$2:$U$1001))),0), IFERROR(VALUE(TRIM(CLEAN($P$2:$P$1001))),0))</f>
        <v>0.23135628536430677</v>
      </c>
    </row>
    <row r="444" spans="1:22" x14ac:dyDescent="0.25">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c r="Q444" t="str">
        <f t="shared" si="27"/>
        <v>Weekday</v>
      </c>
      <c r="R444" t="str">
        <f t="shared" si="24"/>
        <v>Mist/Cloudy</v>
      </c>
      <c r="S444">
        <f t="shared" si="25"/>
        <v>-0.25435329828790432</v>
      </c>
      <c r="T444">
        <f t="shared" si="26"/>
        <v>0.10399668008577614</v>
      </c>
      <c r="U444" s="6">
        <v>0.28000000000000003</v>
      </c>
      <c r="V444">
        <f t="array" ref="V444">CORREL(IFERROR(VALUE(TRIM(CLEAN($U$2:$U$1001))),0), IFERROR(VALUE(TRIM(CLEAN($P$2:$P$1001))),0))</f>
        <v>0.23135628536430677</v>
      </c>
    </row>
    <row r="445" spans="1:22" x14ac:dyDescent="0.25">
      <c r="A445">
        <v>444</v>
      </c>
      <c r="B445" s="1">
        <v>40563</v>
      </c>
      <c r="C445">
        <v>1</v>
      </c>
      <c r="D445">
        <v>0</v>
      </c>
      <c r="E445">
        <v>1</v>
      </c>
      <c r="F445">
        <v>12</v>
      </c>
      <c r="G445" t="b">
        <v>0</v>
      </c>
      <c r="H445">
        <v>4</v>
      </c>
      <c r="I445">
        <v>2</v>
      </c>
      <c r="J445">
        <v>0.3</v>
      </c>
      <c r="K445">
        <v>0.33329999999999999</v>
      </c>
      <c r="L445">
        <v>0.42</v>
      </c>
      <c r="M445">
        <v>0</v>
      </c>
      <c r="N445">
        <v>7</v>
      </c>
      <c r="O445">
        <v>77</v>
      </c>
      <c r="P445">
        <v>84</v>
      </c>
      <c r="Q445" t="str">
        <f t="shared" si="27"/>
        <v>Weekday</v>
      </c>
      <c r="R445" t="str">
        <f t="shared" si="24"/>
        <v>Mist/Cloudy</v>
      </c>
      <c r="S445">
        <f t="shared" si="25"/>
        <v>-0.25435329828790432</v>
      </c>
      <c r="T445">
        <f t="shared" si="26"/>
        <v>0.10399668008577614</v>
      </c>
      <c r="U445" s="6">
        <v>0.3</v>
      </c>
      <c r="V445">
        <f t="array" ref="V445">CORREL(IFERROR(VALUE(TRIM(CLEAN($U$2:$U$1001))),0), IFERROR(VALUE(TRIM(CLEAN($P$2:$P$1001))),0))</f>
        <v>0.23135628536430677</v>
      </c>
    </row>
    <row r="446" spans="1:22" x14ac:dyDescent="0.25">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c r="Q446" t="str">
        <f t="shared" si="27"/>
        <v>Weekday</v>
      </c>
      <c r="R446" t="str">
        <f t="shared" si="24"/>
        <v>Mist/Cloudy</v>
      </c>
      <c r="S446">
        <f t="shared" si="25"/>
        <v>-0.25435329828790432</v>
      </c>
      <c r="T446">
        <f t="shared" si="26"/>
        <v>0.10399668008577614</v>
      </c>
      <c r="U446" s="6">
        <v>0.28000000000000003</v>
      </c>
      <c r="V446">
        <f t="array" ref="V446">CORREL(IFERROR(VALUE(TRIM(CLEAN($U$2:$U$1001))),0), IFERROR(VALUE(TRIM(CLEAN($P$2:$P$1001))),0))</f>
        <v>0.23135628536430677</v>
      </c>
    </row>
    <row r="447" spans="1:22" x14ac:dyDescent="0.25">
      <c r="A447">
        <v>446</v>
      </c>
      <c r="B447" s="1">
        <v>40563</v>
      </c>
      <c r="C447">
        <v>1</v>
      </c>
      <c r="D447">
        <v>0</v>
      </c>
      <c r="E447">
        <v>1</v>
      </c>
      <c r="F447">
        <v>14</v>
      </c>
      <c r="G447" t="b">
        <v>0</v>
      </c>
      <c r="H447">
        <v>4</v>
      </c>
      <c r="I447">
        <v>2</v>
      </c>
      <c r="J447">
        <v>0.3</v>
      </c>
      <c r="K447">
        <v>0.30299999999999999</v>
      </c>
      <c r="L447">
        <v>0.45</v>
      </c>
      <c r="M447">
        <v>0.1343</v>
      </c>
      <c r="N447">
        <v>6</v>
      </c>
      <c r="O447">
        <v>75</v>
      </c>
      <c r="P447">
        <v>81</v>
      </c>
      <c r="Q447" t="str">
        <f t="shared" si="27"/>
        <v>Weekday</v>
      </c>
      <c r="R447" t="str">
        <f t="shared" si="24"/>
        <v>Mist/Cloudy</v>
      </c>
      <c r="S447">
        <f t="shared" si="25"/>
        <v>-0.25435329828790432</v>
      </c>
      <c r="T447">
        <f t="shared" si="26"/>
        <v>0.10399668008577614</v>
      </c>
      <c r="U447" s="6">
        <v>0.3</v>
      </c>
      <c r="V447">
        <f t="array" ref="V447">CORREL(IFERROR(VALUE(TRIM(CLEAN($U$2:$U$1001))),0), IFERROR(VALUE(TRIM(CLEAN($P$2:$P$1001))),0))</f>
        <v>0.23135628536430677</v>
      </c>
    </row>
    <row r="448" spans="1:22" x14ac:dyDescent="0.25">
      <c r="A448">
        <v>447</v>
      </c>
      <c r="B448" s="1">
        <v>40563</v>
      </c>
      <c r="C448">
        <v>1</v>
      </c>
      <c r="D448">
        <v>0</v>
      </c>
      <c r="E448">
        <v>1</v>
      </c>
      <c r="F448">
        <v>15</v>
      </c>
      <c r="G448" t="b">
        <v>0</v>
      </c>
      <c r="H448">
        <v>4</v>
      </c>
      <c r="I448">
        <v>2</v>
      </c>
      <c r="J448">
        <v>0.32</v>
      </c>
      <c r="K448">
        <v>0.31819999999999998</v>
      </c>
      <c r="L448">
        <v>0.45</v>
      </c>
      <c r="M448">
        <v>0.19400000000000001</v>
      </c>
      <c r="N448">
        <v>8</v>
      </c>
      <c r="O448">
        <v>62</v>
      </c>
      <c r="P448">
        <v>70</v>
      </c>
      <c r="Q448" t="str">
        <f t="shared" si="27"/>
        <v>Weekday</v>
      </c>
      <c r="R448" t="str">
        <f t="shared" si="24"/>
        <v>Mist/Cloudy</v>
      </c>
      <c r="S448">
        <f t="shared" si="25"/>
        <v>-0.25435329828790432</v>
      </c>
      <c r="T448">
        <f t="shared" si="26"/>
        <v>0.10399668008577614</v>
      </c>
      <c r="U448" s="6">
        <v>0.32</v>
      </c>
      <c r="V448">
        <f t="array" ref="V448">CORREL(IFERROR(VALUE(TRIM(CLEAN($U$2:$U$1001))),0), IFERROR(VALUE(TRIM(CLEAN($P$2:$P$1001))),0))</f>
        <v>0.23135628536430677</v>
      </c>
    </row>
    <row r="449" spans="1:22" x14ac:dyDescent="0.25">
      <c r="A449">
        <v>448</v>
      </c>
      <c r="B449" s="1">
        <v>40563</v>
      </c>
      <c r="C449">
        <v>1</v>
      </c>
      <c r="D449">
        <v>0</v>
      </c>
      <c r="E449">
        <v>1</v>
      </c>
      <c r="F449">
        <v>16</v>
      </c>
      <c r="G449" t="b">
        <v>0</v>
      </c>
      <c r="H449">
        <v>4</v>
      </c>
      <c r="I449">
        <v>2</v>
      </c>
      <c r="J449">
        <v>0.3</v>
      </c>
      <c r="K449">
        <v>0.30299999999999999</v>
      </c>
      <c r="L449">
        <v>0.49</v>
      </c>
      <c r="M449">
        <v>0.1343</v>
      </c>
      <c r="N449">
        <v>8</v>
      </c>
      <c r="O449">
        <v>83</v>
      </c>
      <c r="P449">
        <v>91</v>
      </c>
      <c r="Q449" t="str">
        <f t="shared" si="27"/>
        <v>Weekend</v>
      </c>
      <c r="R449" t="str">
        <f t="shared" si="24"/>
        <v>Mist/Cloudy</v>
      </c>
      <c r="S449">
        <f t="shared" si="25"/>
        <v>-0.25435329828790432</v>
      </c>
      <c r="T449">
        <f t="shared" si="26"/>
        <v>0.10399668008577614</v>
      </c>
      <c r="U449" s="6">
        <v>0.3</v>
      </c>
      <c r="V449">
        <f t="array" ref="V449">CORREL(IFERROR(VALUE(TRIM(CLEAN($U$2:$U$1001))),0), IFERROR(VALUE(TRIM(CLEAN($P$2:$P$1001))),0))</f>
        <v>0.23135628536430677</v>
      </c>
    </row>
    <row r="450" spans="1:22" x14ac:dyDescent="0.25">
      <c r="A450">
        <v>449</v>
      </c>
      <c r="B450" s="1">
        <v>40563</v>
      </c>
      <c r="C450">
        <v>1</v>
      </c>
      <c r="D450">
        <v>0</v>
      </c>
      <c r="E450">
        <v>1</v>
      </c>
      <c r="F450">
        <v>17</v>
      </c>
      <c r="G450" t="b">
        <v>0</v>
      </c>
      <c r="H450">
        <v>4</v>
      </c>
      <c r="I450">
        <v>2</v>
      </c>
      <c r="J450">
        <v>0.3</v>
      </c>
      <c r="K450">
        <v>0.31819999999999998</v>
      </c>
      <c r="L450">
        <v>0.49</v>
      </c>
      <c r="M450">
        <v>0.1045</v>
      </c>
      <c r="N450">
        <v>8</v>
      </c>
      <c r="O450">
        <v>207</v>
      </c>
      <c r="P450">
        <v>215</v>
      </c>
      <c r="Q450" t="str">
        <f t="shared" si="27"/>
        <v>Weekend</v>
      </c>
      <c r="R450" t="str">
        <f t="shared" ref="R450:R513" si="28">IF(I450=1, "Clear", IF(I450=2, "Mist/Cloudy", IF(I450=3, "Light Snow/Rain", "Heavy Rain")))</f>
        <v>Mist/Cloudy</v>
      </c>
      <c r="S450">
        <f t="shared" ref="S450:S513" si="29">CORREL($L$2:$L$1001, $P$2:$P$1001)</f>
        <v>-0.25435329828790432</v>
      </c>
      <c r="T450">
        <f t="shared" ref="T450:T513" si="30">CORREL($M$2:$M$1001, $P$2:$P$1001)</f>
        <v>0.10399668008577614</v>
      </c>
      <c r="U450" s="6">
        <v>0.3</v>
      </c>
      <c r="V450">
        <f t="array" ref="V450">CORREL(IFERROR(VALUE(TRIM(CLEAN($U$2:$U$1001))),0), IFERROR(VALUE(TRIM(CLEAN($P$2:$P$1001))),0))</f>
        <v>0.23135628536430677</v>
      </c>
    </row>
    <row r="451" spans="1:22" x14ac:dyDescent="0.25">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c r="Q451" t="str">
        <f t="shared" ref="Q451:Q514" si="31">IF(WEEKDAY(A451,2)&gt;5,"Weekend","Weekday")</f>
        <v>Weekday</v>
      </c>
      <c r="R451" t="str">
        <f t="shared" si="28"/>
        <v>Mist/Cloudy</v>
      </c>
      <c r="S451">
        <f t="shared" si="29"/>
        <v>-0.25435329828790432</v>
      </c>
      <c r="T451">
        <f t="shared" si="30"/>
        <v>0.10399668008577614</v>
      </c>
      <c r="U451" s="6">
        <v>0.26</v>
      </c>
      <c r="V451">
        <f t="array" ref="V451">CORREL(IFERROR(VALUE(TRIM(CLEAN($U$2:$U$1001))),0), IFERROR(VALUE(TRIM(CLEAN($P$2:$P$1001))),0))</f>
        <v>0.23135628536430677</v>
      </c>
    </row>
    <row r="452" spans="1:22" x14ac:dyDescent="0.25">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c r="Q452" t="str">
        <f t="shared" si="31"/>
        <v>Weekday</v>
      </c>
      <c r="R452" t="str">
        <f t="shared" si="28"/>
        <v>Clear</v>
      </c>
      <c r="S452">
        <f t="shared" si="29"/>
        <v>-0.25435329828790432</v>
      </c>
      <c r="T452">
        <f t="shared" si="30"/>
        <v>0.10399668008577614</v>
      </c>
      <c r="U452" s="6">
        <v>0.26</v>
      </c>
      <c r="V452">
        <f t="array" ref="V452">CORREL(IFERROR(VALUE(TRIM(CLEAN($U$2:$U$1001))),0), IFERROR(VALUE(TRIM(CLEAN($P$2:$P$1001))),0))</f>
        <v>0.23135628536430677</v>
      </c>
    </row>
    <row r="453" spans="1:22" x14ac:dyDescent="0.25">
      <c r="A453">
        <v>452</v>
      </c>
      <c r="B453" s="1">
        <v>40563</v>
      </c>
      <c r="C453">
        <v>1</v>
      </c>
      <c r="D453">
        <v>0</v>
      </c>
      <c r="E453">
        <v>1</v>
      </c>
      <c r="F453">
        <v>20</v>
      </c>
      <c r="G453" t="b">
        <v>0</v>
      </c>
      <c r="H453">
        <v>4</v>
      </c>
      <c r="I453">
        <v>2</v>
      </c>
      <c r="J453">
        <v>0.26</v>
      </c>
      <c r="K453">
        <v>0.2424</v>
      </c>
      <c r="L453">
        <v>0.6</v>
      </c>
      <c r="M453">
        <v>0.28360000000000002</v>
      </c>
      <c r="N453">
        <v>2</v>
      </c>
      <c r="O453">
        <v>124</v>
      </c>
      <c r="P453">
        <v>126</v>
      </c>
      <c r="Q453" t="str">
        <f t="shared" si="31"/>
        <v>Weekday</v>
      </c>
      <c r="R453" t="str">
        <f t="shared" si="28"/>
        <v>Mist/Cloudy</v>
      </c>
      <c r="S453">
        <f t="shared" si="29"/>
        <v>-0.25435329828790432</v>
      </c>
      <c r="T453">
        <f t="shared" si="30"/>
        <v>0.10399668008577614</v>
      </c>
      <c r="U453" s="6">
        <v>0.26</v>
      </c>
      <c r="V453">
        <f t="array" ref="V453">CORREL(IFERROR(VALUE(TRIM(CLEAN($U$2:$U$1001))),0), IFERROR(VALUE(TRIM(CLEAN($P$2:$P$1001))),0))</f>
        <v>0.23135628536430677</v>
      </c>
    </row>
    <row r="454" spans="1:22" x14ac:dyDescent="0.25">
      <c r="A454">
        <v>453</v>
      </c>
      <c r="B454" s="1">
        <v>40563</v>
      </c>
      <c r="C454">
        <v>1</v>
      </c>
      <c r="D454">
        <v>0</v>
      </c>
      <c r="E454">
        <v>1</v>
      </c>
      <c r="F454">
        <v>21</v>
      </c>
      <c r="G454" t="b">
        <v>0</v>
      </c>
      <c r="H454">
        <v>4</v>
      </c>
      <c r="I454">
        <v>2</v>
      </c>
      <c r="J454">
        <v>0.24</v>
      </c>
      <c r="K454">
        <v>0.2273</v>
      </c>
      <c r="L454">
        <v>0.6</v>
      </c>
      <c r="M454">
        <v>0.25369999999999998</v>
      </c>
      <c r="N454">
        <v>3</v>
      </c>
      <c r="O454">
        <v>54</v>
      </c>
      <c r="P454">
        <v>57</v>
      </c>
      <c r="Q454" t="str">
        <f t="shared" si="31"/>
        <v>Weekday</v>
      </c>
      <c r="R454" t="str">
        <f t="shared" si="28"/>
        <v>Mist/Cloudy</v>
      </c>
      <c r="S454">
        <f t="shared" si="29"/>
        <v>-0.25435329828790432</v>
      </c>
      <c r="T454">
        <f t="shared" si="30"/>
        <v>0.10399668008577614</v>
      </c>
      <c r="U454" s="6">
        <v>0.24</v>
      </c>
      <c r="V454">
        <f t="array" ref="V454">CORREL(IFERROR(VALUE(TRIM(CLEAN($U$2:$U$1001))),0), IFERROR(VALUE(TRIM(CLEAN($P$2:$P$1001))),0))</f>
        <v>0.23135628536430677</v>
      </c>
    </row>
    <row r="455" spans="1:22" x14ac:dyDescent="0.25">
      <c r="A455">
        <v>454</v>
      </c>
      <c r="B455" s="1">
        <v>40563</v>
      </c>
      <c r="C455">
        <v>1</v>
      </c>
      <c r="D455">
        <v>0</v>
      </c>
      <c r="E455">
        <v>1</v>
      </c>
      <c r="F455">
        <v>22</v>
      </c>
      <c r="G455" t="b">
        <v>0</v>
      </c>
      <c r="H455">
        <v>4</v>
      </c>
      <c r="I455">
        <v>2</v>
      </c>
      <c r="J455">
        <v>0.24</v>
      </c>
      <c r="K455">
        <v>0.21210000000000001</v>
      </c>
      <c r="L455">
        <v>0.65</v>
      </c>
      <c r="M455">
        <v>0.28360000000000002</v>
      </c>
      <c r="N455">
        <v>0</v>
      </c>
      <c r="O455">
        <v>56</v>
      </c>
      <c r="P455">
        <v>56</v>
      </c>
      <c r="Q455" t="str">
        <f t="shared" si="31"/>
        <v>Weekday</v>
      </c>
      <c r="R455" t="str">
        <f t="shared" si="28"/>
        <v>Mist/Cloudy</v>
      </c>
      <c r="S455">
        <f t="shared" si="29"/>
        <v>-0.25435329828790432</v>
      </c>
      <c r="T455">
        <f t="shared" si="30"/>
        <v>0.10399668008577614</v>
      </c>
      <c r="U455" s="6">
        <v>0.24</v>
      </c>
      <c r="V455">
        <f t="array" ref="V455">CORREL(IFERROR(VALUE(TRIM(CLEAN($U$2:$U$1001))),0), IFERROR(VALUE(TRIM(CLEAN($P$2:$P$1001))),0))</f>
        <v>0.23135628536430677</v>
      </c>
    </row>
    <row r="456" spans="1:22" x14ac:dyDescent="0.25">
      <c r="A456">
        <v>455</v>
      </c>
      <c r="B456" s="1">
        <v>40563</v>
      </c>
      <c r="C456">
        <v>1</v>
      </c>
      <c r="D456">
        <v>0</v>
      </c>
      <c r="E456">
        <v>1</v>
      </c>
      <c r="F456">
        <v>23</v>
      </c>
      <c r="G456" t="b">
        <v>0</v>
      </c>
      <c r="H456">
        <v>4</v>
      </c>
      <c r="I456">
        <v>2</v>
      </c>
      <c r="J456">
        <v>0.24</v>
      </c>
      <c r="K456">
        <v>0.21210000000000001</v>
      </c>
      <c r="L456">
        <v>0.65</v>
      </c>
      <c r="M456">
        <v>0.32840000000000003</v>
      </c>
      <c r="N456">
        <v>3</v>
      </c>
      <c r="O456">
        <v>28</v>
      </c>
      <c r="P456">
        <v>31</v>
      </c>
      <c r="Q456" t="str">
        <f t="shared" si="31"/>
        <v>Weekend</v>
      </c>
      <c r="R456" t="str">
        <f t="shared" si="28"/>
        <v>Mist/Cloudy</v>
      </c>
      <c r="S456">
        <f t="shared" si="29"/>
        <v>-0.25435329828790432</v>
      </c>
      <c r="T456">
        <f t="shared" si="30"/>
        <v>0.10399668008577614</v>
      </c>
      <c r="U456" s="6">
        <v>0.24</v>
      </c>
      <c r="V456">
        <f t="array" ref="V456">CORREL(IFERROR(VALUE(TRIM(CLEAN($U$2:$U$1001))),0), IFERROR(VALUE(TRIM(CLEAN($P$2:$P$1001))),0))</f>
        <v>0.23135628536430677</v>
      </c>
    </row>
    <row r="457" spans="1:22" x14ac:dyDescent="0.25">
      <c r="A457">
        <v>456</v>
      </c>
      <c r="B457" s="1">
        <v>40564</v>
      </c>
      <c r="C457">
        <v>1</v>
      </c>
      <c r="D457">
        <v>0</v>
      </c>
      <c r="E457">
        <v>1</v>
      </c>
      <c r="F457">
        <v>0</v>
      </c>
      <c r="G457" t="b">
        <v>0</v>
      </c>
      <c r="H457">
        <v>5</v>
      </c>
      <c r="I457">
        <v>2</v>
      </c>
      <c r="J457">
        <v>0.24</v>
      </c>
      <c r="K457">
        <v>0.2273</v>
      </c>
      <c r="L457">
        <v>0.7</v>
      </c>
      <c r="M457">
        <v>0.25369999999999998</v>
      </c>
      <c r="N457">
        <v>1</v>
      </c>
      <c r="O457">
        <v>20</v>
      </c>
      <c r="P457">
        <v>21</v>
      </c>
      <c r="Q457" t="str">
        <f t="shared" si="31"/>
        <v>Weekend</v>
      </c>
      <c r="R457" t="str">
        <f t="shared" si="28"/>
        <v>Mist/Cloudy</v>
      </c>
      <c r="S457">
        <f t="shared" si="29"/>
        <v>-0.25435329828790432</v>
      </c>
      <c r="T457">
        <f t="shared" si="30"/>
        <v>0.10399668008577614</v>
      </c>
      <c r="U457" s="6">
        <v>0.24</v>
      </c>
      <c r="V457">
        <f t="array" ref="V457">CORREL(IFERROR(VALUE(TRIM(CLEAN($U$2:$U$1001))),0), IFERROR(VALUE(TRIM(CLEAN($P$2:$P$1001))),0))</f>
        <v>0.23135628536430677</v>
      </c>
    </row>
    <row r="458" spans="1:22" x14ac:dyDescent="0.25">
      <c r="A458">
        <v>457</v>
      </c>
      <c r="B458" s="1">
        <v>40564</v>
      </c>
      <c r="C458">
        <v>1</v>
      </c>
      <c r="D458">
        <v>0</v>
      </c>
      <c r="E458">
        <v>1</v>
      </c>
      <c r="F458">
        <v>1</v>
      </c>
      <c r="G458" t="b">
        <v>0</v>
      </c>
      <c r="H458">
        <v>5</v>
      </c>
      <c r="I458">
        <v>2</v>
      </c>
      <c r="J458">
        <v>0.24</v>
      </c>
      <c r="K458">
        <v>0.2273</v>
      </c>
      <c r="L458">
        <v>0.7</v>
      </c>
      <c r="M458">
        <v>0.25369999999999998</v>
      </c>
      <c r="N458">
        <v>0</v>
      </c>
      <c r="O458">
        <v>6</v>
      </c>
      <c r="P458">
        <v>6</v>
      </c>
      <c r="Q458" t="str">
        <f t="shared" si="31"/>
        <v>Weekday</v>
      </c>
      <c r="R458" t="str">
        <f t="shared" si="28"/>
        <v>Mist/Cloudy</v>
      </c>
      <c r="S458">
        <f t="shared" si="29"/>
        <v>-0.25435329828790432</v>
      </c>
      <c r="T458">
        <f t="shared" si="30"/>
        <v>0.10399668008577614</v>
      </c>
      <c r="U458" s="6">
        <v>0.24</v>
      </c>
      <c r="V458">
        <f t="array" ref="V458">CORREL(IFERROR(VALUE(TRIM(CLEAN($U$2:$U$1001))),0), IFERROR(VALUE(TRIM(CLEAN($P$2:$P$1001))),0))</f>
        <v>0.23135628536430677</v>
      </c>
    </row>
    <row r="459" spans="1:22" x14ac:dyDescent="0.25">
      <c r="A459">
        <v>458</v>
      </c>
      <c r="B459" s="1">
        <v>40564</v>
      </c>
      <c r="C459">
        <v>1</v>
      </c>
      <c r="D459">
        <v>0</v>
      </c>
      <c r="E459">
        <v>1</v>
      </c>
      <c r="F459">
        <v>2</v>
      </c>
      <c r="G459" t="b">
        <v>0</v>
      </c>
      <c r="H459">
        <v>5</v>
      </c>
      <c r="I459">
        <v>3</v>
      </c>
      <c r="J459">
        <v>0.24</v>
      </c>
      <c r="K459">
        <v>0.2424</v>
      </c>
      <c r="L459">
        <v>0.75</v>
      </c>
      <c r="M459">
        <v>0.16420000000000001</v>
      </c>
      <c r="N459">
        <v>0</v>
      </c>
      <c r="O459">
        <v>2</v>
      </c>
      <c r="P459">
        <v>2</v>
      </c>
      <c r="Q459" t="str">
        <f t="shared" si="31"/>
        <v>Weekday</v>
      </c>
      <c r="R459" t="str">
        <f t="shared" si="28"/>
        <v>Light Snow/Rain</v>
      </c>
      <c r="S459">
        <f t="shared" si="29"/>
        <v>-0.25435329828790432</v>
      </c>
      <c r="T459">
        <f t="shared" si="30"/>
        <v>0.10399668008577614</v>
      </c>
      <c r="U459" s="6">
        <v>0.24</v>
      </c>
      <c r="V459">
        <f t="array" ref="V459">CORREL(IFERROR(VALUE(TRIM(CLEAN($U$2:$U$1001))),0), IFERROR(VALUE(TRIM(CLEAN($P$2:$P$1001))),0))</f>
        <v>0.23135628536430677</v>
      </c>
    </row>
    <row r="460" spans="1:22" x14ac:dyDescent="0.25">
      <c r="A460">
        <v>459</v>
      </c>
      <c r="B460" s="1">
        <v>40564</v>
      </c>
      <c r="C460">
        <v>1</v>
      </c>
      <c r="D460">
        <v>0</v>
      </c>
      <c r="E460">
        <v>1</v>
      </c>
      <c r="F460">
        <v>3</v>
      </c>
      <c r="G460" t="b">
        <v>0</v>
      </c>
      <c r="H460">
        <v>5</v>
      </c>
      <c r="I460">
        <v>3</v>
      </c>
      <c r="J460">
        <v>0.22</v>
      </c>
      <c r="K460">
        <v>0.21210000000000001</v>
      </c>
      <c r="L460">
        <v>0.8</v>
      </c>
      <c r="M460">
        <v>0.29849999999999999</v>
      </c>
      <c r="N460">
        <v>0</v>
      </c>
      <c r="O460">
        <v>1</v>
      </c>
      <c r="P460">
        <v>1</v>
      </c>
      <c r="Q460" t="str">
        <f t="shared" si="31"/>
        <v>Weekday</v>
      </c>
      <c r="R460" t="str">
        <f t="shared" si="28"/>
        <v>Light Snow/Rain</v>
      </c>
      <c r="S460">
        <f t="shared" si="29"/>
        <v>-0.25435329828790432</v>
      </c>
      <c r="T460">
        <f t="shared" si="30"/>
        <v>0.10399668008577614</v>
      </c>
      <c r="U460" s="6">
        <v>0.22</v>
      </c>
      <c r="V460">
        <f t="array" ref="V460">CORREL(IFERROR(VALUE(TRIM(CLEAN($U$2:$U$1001))),0), IFERROR(VALUE(TRIM(CLEAN($P$2:$P$1001))),0))</f>
        <v>0.23135628536430677</v>
      </c>
    </row>
    <row r="461" spans="1:22" x14ac:dyDescent="0.25">
      <c r="A461">
        <v>460</v>
      </c>
      <c r="B461" s="1">
        <v>40564</v>
      </c>
      <c r="C461">
        <v>1</v>
      </c>
      <c r="D461">
        <v>0</v>
      </c>
      <c r="E461">
        <v>1</v>
      </c>
      <c r="F461">
        <v>4</v>
      </c>
      <c r="G461" t="b">
        <v>0</v>
      </c>
      <c r="H461">
        <v>5</v>
      </c>
      <c r="I461">
        <v>2</v>
      </c>
      <c r="J461">
        <v>0.22</v>
      </c>
      <c r="K461">
        <v>0.2576</v>
      </c>
      <c r="L461">
        <v>0.87</v>
      </c>
      <c r="M461">
        <v>8.9599999999999999E-2</v>
      </c>
      <c r="N461">
        <v>0</v>
      </c>
      <c r="O461">
        <v>1</v>
      </c>
      <c r="P461">
        <v>1</v>
      </c>
      <c r="Q461" t="str">
        <f t="shared" si="31"/>
        <v>Weekday</v>
      </c>
      <c r="R461" t="str">
        <f t="shared" si="28"/>
        <v>Mist/Cloudy</v>
      </c>
      <c r="S461">
        <f t="shared" si="29"/>
        <v>-0.25435329828790432</v>
      </c>
      <c r="T461">
        <f t="shared" si="30"/>
        <v>0.10399668008577614</v>
      </c>
      <c r="U461" s="6">
        <v>0.22</v>
      </c>
      <c r="V461">
        <f t="array" ref="V461">CORREL(IFERROR(VALUE(TRIM(CLEAN($U$2:$U$1001))),0), IFERROR(VALUE(TRIM(CLEAN($P$2:$P$1001))),0))</f>
        <v>0.23135628536430677</v>
      </c>
    </row>
    <row r="462" spans="1:22" x14ac:dyDescent="0.25">
      <c r="A462">
        <v>461</v>
      </c>
      <c r="B462" s="1">
        <v>40564</v>
      </c>
      <c r="C462">
        <v>1</v>
      </c>
      <c r="D462">
        <v>0</v>
      </c>
      <c r="E462">
        <v>1</v>
      </c>
      <c r="F462">
        <v>5</v>
      </c>
      <c r="G462" t="b">
        <v>0</v>
      </c>
      <c r="H462">
        <v>5</v>
      </c>
      <c r="I462">
        <v>1</v>
      </c>
      <c r="J462">
        <v>0.24</v>
      </c>
      <c r="K462">
        <v>0.19700000000000001</v>
      </c>
      <c r="L462">
        <v>0.6</v>
      </c>
      <c r="M462">
        <v>0.41789999999999999</v>
      </c>
      <c r="N462">
        <v>1</v>
      </c>
      <c r="O462">
        <v>4</v>
      </c>
      <c r="P462">
        <v>5</v>
      </c>
      <c r="Q462" t="str">
        <f t="shared" si="31"/>
        <v>Weekday</v>
      </c>
      <c r="R462" t="str">
        <f t="shared" si="28"/>
        <v>Clear</v>
      </c>
      <c r="S462">
        <f t="shared" si="29"/>
        <v>-0.25435329828790432</v>
      </c>
      <c r="T462">
        <f t="shared" si="30"/>
        <v>0.10399668008577614</v>
      </c>
      <c r="U462" s="6">
        <v>0.24</v>
      </c>
      <c r="V462">
        <f t="array" ref="V462">CORREL(IFERROR(VALUE(TRIM(CLEAN($U$2:$U$1001))),0), IFERROR(VALUE(TRIM(CLEAN($P$2:$P$1001))),0))</f>
        <v>0.23135628536430677</v>
      </c>
    </row>
    <row r="463" spans="1:22" x14ac:dyDescent="0.25">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c r="Q463" t="str">
        <f t="shared" si="31"/>
        <v>Weekend</v>
      </c>
      <c r="R463" t="str">
        <f t="shared" si="28"/>
        <v>Clear</v>
      </c>
      <c r="S463">
        <f t="shared" si="29"/>
        <v>-0.25435329828790432</v>
      </c>
      <c r="T463">
        <f t="shared" si="30"/>
        <v>0.10399668008577614</v>
      </c>
      <c r="U463" s="6">
        <v>0.22</v>
      </c>
      <c r="V463">
        <f t="array" ref="V463">CORREL(IFERROR(VALUE(TRIM(CLEAN($U$2:$U$1001))),0), IFERROR(VALUE(TRIM(CLEAN($P$2:$P$1001))),0))</f>
        <v>0.23135628536430677</v>
      </c>
    </row>
    <row r="464" spans="1:22" x14ac:dyDescent="0.25">
      <c r="A464">
        <v>463</v>
      </c>
      <c r="B464" s="1">
        <v>40564</v>
      </c>
      <c r="C464">
        <v>1</v>
      </c>
      <c r="D464">
        <v>0</v>
      </c>
      <c r="E464">
        <v>1</v>
      </c>
      <c r="F464">
        <v>7</v>
      </c>
      <c r="G464" t="b">
        <v>0</v>
      </c>
      <c r="H464">
        <v>5</v>
      </c>
      <c r="I464">
        <v>1</v>
      </c>
      <c r="J464">
        <v>0.2</v>
      </c>
      <c r="K464">
        <v>0.18179999999999999</v>
      </c>
      <c r="L464">
        <v>0.51</v>
      </c>
      <c r="M464">
        <v>0.28360000000000002</v>
      </c>
      <c r="N464">
        <v>2</v>
      </c>
      <c r="O464">
        <v>66</v>
      </c>
      <c r="P464">
        <v>68</v>
      </c>
      <c r="Q464" t="str">
        <f t="shared" si="31"/>
        <v>Weekend</v>
      </c>
      <c r="R464" t="str">
        <f t="shared" si="28"/>
        <v>Clear</v>
      </c>
      <c r="S464">
        <f t="shared" si="29"/>
        <v>-0.25435329828790432</v>
      </c>
      <c r="T464">
        <f t="shared" si="30"/>
        <v>0.10399668008577614</v>
      </c>
      <c r="U464" s="6">
        <v>0.2</v>
      </c>
      <c r="V464">
        <f t="array" ref="V464">CORREL(IFERROR(VALUE(TRIM(CLEAN($U$2:$U$1001))),0), IFERROR(VALUE(TRIM(CLEAN($P$2:$P$1001))),0))</f>
        <v>0.23135628536430677</v>
      </c>
    </row>
    <row r="465" spans="1:22" x14ac:dyDescent="0.25">
      <c r="A465">
        <v>464</v>
      </c>
      <c r="B465" s="1">
        <v>40564</v>
      </c>
      <c r="C465">
        <v>1</v>
      </c>
      <c r="D465">
        <v>0</v>
      </c>
      <c r="E465">
        <v>1</v>
      </c>
      <c r="F465">
        <v>8</v>
      </c>
      <c r="G465" t="b">
        <v>0</v>
      </c>
      <c r="H465">
        <v>5</v>
      </c>
      <c r="I465">
        <v>1</v>
      </c>
      <c r="J465">
        <v>0.2</v>
      </c>
      <c r="K465">
        <v>0.18179999999999999</v>
      </c>
      <c r="L465">
        <v>0.47</v>
      </c>
      <c r="M465">
        <v>0.32840000000000003</v>
      </c>
      <c r="N465">
        <v>7</v>
      </c>
      <c r="O465">
        <v>210</v>
      </c>
      <c r="P465">
        <v>217</v>
      </c>
      <c r="Q465" t="str">
        <f t="shared" si="31"/>
        <v>Weekday</v>
      </c>
      <c r="R465" t="str">
        <f t="shared" si="28"/>
        <v>Clear</v>
      </c>
      <c r="S465">
        <f t="shared" si="29"/>
        <v>-0.25435329828790432</v>
      </c>
      <c r="T465">
        <f t="shared" si="30"/>
        <v>0.10399668008577614</v>
      </c>
      <c r="U465" s="6">
        <v>0.2</v>
      </c>
      <c r="V465">
        <f t="array" ref="V465">CORREL(IFERROR(VALUE(TRIM(CLEAN($U$2:$U$1001))),0), IFERROR(VALUE(TRIM(CLEAN($P$2:$P$1001))),0))</f>
        <v>0.23135628536430677</v>
      </c>
    </row>
    <row r="466" spans="1:22" x14ac:dyDescent="0.25">
      <c r="A466">
        <v>465</v>
      </c>
      <c r="B466" s="1">
        <v>40564</v>
      </c>
      <c r="C466">
        <v>1</v>
      </c>
      <c r="D466">
        <v>0</v>
      </c>
      <c r="E466">
        <v>1</v>
      </c>
      <c r="F466">
        <v>9</v>
      </c>
      <c r="G466" t="b">
        <v>0</v>
      </c>
      <c r="H466">
        <v>5</v>
      </c>
      <c r="I466">
        <v>1</v>
      </c>
      <c r="J466">
        <v>0.2</v>
      </c>
      <c r="K466">
        <v>0.18179999999999999</v>
      </c>
      <c r="L466">
        <v>0.51</v>
      </c>
      <c r="M466">
        <v>0.35820000000000002</v>
      </c>
      <c r="N466">
        <v>7</v>
      </c>
      <c r="O466">
        <v>159</v>
      </c>
      <c r="P466">
        <v>166</v>
      </c>
      <c r="Q466" t="str">
        <f t="shared" si="31"/>
        <v>Weekday</v>
      </c>
      <c r="R466" t="str">
        <f t="shared" si="28"/>
        <v>Clear</v>
      </c>
      <c r="S466">
        <f t="shared" si="29"/>
        <v>-0.25435329828790432</v>
      </c>
      <c r="T466">
        <f t="shared" si="30"/>
        <v>0.10399668008577614</v>
      </c>
      <c r="U466" s="6">
        <v>0.2</v>
      </c>
      <c r="V466">
        <f t="array" ref="V466">CORREL(IFERROR(VALUE(TRIM(CLEAN($U$2:$U$1001))),0), IFERROR(VALUE(TRIM(CLEAN($P$2:$P$1001))),0))</f>
        <v>0.23135628536430677</v>
      </c>
    </row>
    <row r="467" spans="1:22" x14ac:dyDescent="0.25">
      <c r="A467">
        <v>466</v>
      </c>
      <c r="B467" s="1">
        <v>40564</v>
      </c>
      <c r="C467">
        <v>1</v>
      </c>
      <c r="D467">
        <v>0</v>
      </c>
      <c r="E467">
        <v>1</v>
      </c>
      <c r="F467">
        <v>10</v>
      </c>
      <c r="G467" t="b">
        <v>0</v>
      </c>
      <c r="H467">
        <v>5</v>
      </c>
      <c r="I467">
        <v>1</v>
      </c>
      <c r="J467">
        <v>0.2</v>
      </c>
      <c r="K467">
        <v>0.16669999999999999</v>
      </c>
      <c r="L467">
        <v>0.47</v>
      </c>
      <c r="M467">
        <v>0.4627</v>
      </c>
      <c r="N467">
        <v>6</v>
      </c>
      <c r="O467">
        <v>57</v>
      </c>
      <c r="P467">
        <v>63</v>
      </c>
      <c r="Q467" t="str">
        <f t="shared" si="31"/>
        <v>Weekday</v>
      </c>
      <c r="R467" t="str">
        <f t="shared" si="28"/>
        <v>Clear</v>
      </c>
      <c r="S467">
        <f t="shared" si="29"/>
        <v>-0.25435329828790432</v>
      </c>
      <c r="T467">
        <f t="shared" si="30"/>
        <v>0.10399668008577614</v>
      </c>
      <c r="U467" s="6">
        <v>0.2</v>
      </c>
      <c r="V467">
        <f t="array" ref="V467">CORREL(IFERROR(VALUE(TRIM(CLEAN($U$2:$U$1001))),0), IFERROR(VALUE(TRIM(CLEAN($P$2:$P$1001))),0))</f>
        <v>0.23135628536430677</v>
      </c>
    </row>
    <row r="468" spans="1:22" x14ac:dyDescent="0.25">
      <c r="A468">
        <v>467</v>
      </c>
      <c r="B468" s="1">
        <v>40564</v>
      </c>
      <c r="C468">
        <v>1</v>
      </c>
      <c r="D468">
        <v>0</v>
      </c>
      <c r="E468">
        <v>1</v>
      </c>
      <c r="F468">
        <v>11</v>
      </c>
      <c r="G468" t="b">
        <v>0</v>
      </c>
      <c r="H468">
        <v>5</v>
      </c>
      <c r="I468">
        <v>1</v>
      </c>
      <c r="J468">
        <v>0.22</v>
      </c>
      <c r="K468">
        <v>0.18179999999999999</v>
      </c>
      <c r="L468">
        <v>0.41</v>
      </c>
      <c r="M468">
        <v>0.4627</v>
      </c>
      <c r="N468">
        <v>6</v>
      </c>
      <c r="O468">
        <v>53</v>
      </c>
      <c r="P468">
        <v>59</v>
      </c>
      <c r="Q468" t="str">
        <f t="shared" si="31"/>
        <v>Weekday</v>
      </c>
      <c r="R468" t="str">
        <f t="shared" si="28"/>
        <v>Clear</v>
      </c>
      <c r="S468">
        <f t="shared" si="29"/>
        <v>-0.25435329828790432</v>
      </c>
      <c r="T468">
        <f t="shared" si="30"/>
        <v>0.10399668008577614</v>
      </c>
      <c r="U468" s="6">
        <v>0.22</v>
      </c>
      <c r="V468">
        <f t="array" ref="V468">CORREL(IFERROR(VALUE(TRIM(CLEAN($U$2:$U$1001))),0), IFERROR(VALUE(TRIM(CLEAN($P$2:$P$1001))),0))</f>
        <v>0.23135628536430677</v>
      </c>
    </row>
    <row r="469" spans="1:22" x14ac:dyDescent="0.25">
      <c r="A469">
        <v>468</v>
      </c>
      <c r="B469" s="1">
        <v>40564</v>
      </c>
      <c r="C469">
        <v>1</v>
      </c>
      <c r="D469">
        <v>0</v>
      </c>
      <c r="E469">
        <v>1</v>
      </c>
      <c r="F469">
        <v>12</v>
      </c>
      <c r="G469" t="b">
        <v>0</v>
      </c>
      <c r="H469">
        <v>5</v>
      </c>
      <c r="I469">
        <v>1</v>
      </c>
      <c r="J469">
        <v>0.22</v>
      </c>
      <c r="K469">
        <v>0.18179999999999999</v>
      </c>
      <c r="L469">
        <v>0.27</v>
      </c>
      <c r="M469">
        <v>0.58209999999999995</v>
      </c>
      <c r="N469">
        <v>11</v>
      </c>
      <c r="O469">
        <v>67</v>
      </c>
      <c r="P469">
        <v>78</v>
      </c>
      <c r="Q469" t="str">
        <f t="shared" si="31"/>
        <v>Weekday</v>
      </c>
      <c r="R469" t="str">
        <f t="shared" si="28"/>
        <v>Clear</v>
      </c>
      <c r="S469">
        <f t="shared" si="29"/>
        <v>-0.25435329828790432</v>
      </c>
      <c r="T469">
        <f t="shared" si="30"/>
        <v>0.10399668008577614</v>
      </c>
      <c r="U469" s="6">
        <v>0.22</v>
      </c>
      <c r="V469">
        <f t="array" ref="V469">CORREL(IFERROR(VALUE(TRIM(CLEAN($U$2:$U$1001))),0), IFERROR(VALUE(TRIM(CLEAN($P$2:$P$1001))),0))</f>
        <v>0.23135628536430677</v>
      </c>
    </row>
    <row r="470" spans="1:22" x14ac:dyDescent="0.25">
      <c r="A470">
        <v>469</v>
      </c>
      <c r="B470" s="1">
        <v>40564</v>
      </c>
      <c r="C470">
        <v>1</v>
      </c>
      <c r="D470">
        <v>0</v>
      </c>
      <c r="E470">
        <v>1</v>
      </c>
      <c r="F470">
        <v>13</v>
      </c>
      <c r="G470" t="b">
        <v>0</v>
      </c>
      <c r="H470">
        <v>5</v>
      </c>
      <c r="I470">
        <v>1</v>
      </c>
      <c r="J470">
        <v>0.2</v>
      </c>
      <c r="K470">
        <v>0.1515</v>
      </c>
      <c r="L470">
        <v>0.21</v>
      </c>
      <c r="M470">
        <v>0.58209999999999995</v>
      </c>
      <c r="N470">
        <v>8</v>
      </c>
      <c r="O470">
        <v>65</v>
      </c>
      <c r="P470">
        <v>73</v>
      </c>
      <c r="Q470" t="str">
        <f t="shared" si="31"/>
        <v>Weekend</v>
      </c>
      <c r="R470" t="str">
        <f t="shared" si="28"/>
        <v>Clear</v>
      </c>
      <c r="S470">
        <f t="shared" si="29"/>
        <v>-0.25435329828790432</v>
      </c>
      <c r="T470">
        <f t="shared" si="30"/>
        <v>0.10399668008577614</v>
      </c>
      <c r="U470" s="6">
        <v>0.2</v>
      </c>
      <c r="V470">
        <f t="array" ref="V470">CORREL(IFERROR(VALUE(TRIM(CLEAN($U$2:$U$1001))),0), IFERROR(VALUE(TRIM(CLEAN($P$2:$P$1001))),0))</f>
        <v>0.23135628536430677</v>
      </c>
    </row>
    <row r="471" spans="1:22" x14ac:dyDescent="0.25">
      <c r="A471">
        <v>470</v>
      </c>
      <c r="B471" s="1">
        <v>40564</v>
      </c>
      <c r="C471">
        <v>1</v>
      </c>
      <c r="D471">
        <v>0</v>
      </c>
      <c r="E471">
        <v>1</v>
      </c>
      <c r="F471">
        <v>14</v>
      </c>
      <c r="G471" t="b">
        <v>0</v>
      </c>
      <c r="H471">
        <v>5</v>
      </c>
      <c r="I471">
        <v>1</v>
      </c>
      <c r="J471">
        <v>0.2</v>
      </c>
      <c r="K471">
        <v>0.1515</v>
      </c>
      <c r="L471">
        <v>0.25</v>
      </c>
      <c r="M471">
        <v>0.52239999999999998</v>
      </c>
      <c r="N471">
        <v>6</v>
      </c>
      <c r="O471">
        <v>56</v>
      </c>
      <c r="P471">
        <v>62</v>
      </c>
      <c r="Q471" t="str">
        <f t="shared" si="31"/>
        <v>Weekend</v>
      </c>
      <c r="R471" t="str">
        <f t="shared" si="28"/>
        <v>Clear</v>
      </c>
      <c r="S471">
        <f t="shared" si="29"/>
        <v>-0.25435329828790432</v>
      </c>
      <c r="T471">
        <f t="shared" si="30"/>
        <v>0.10399668008577614</v>
      </c>
      <c r="U471" s="6">
        <v>0.2</v>
      </c>
      <c r="V471">
        <f t="array" ref="V471">CORREL(IFERROR(VALUE(TRIM(CLEAN($U$2:$U$1001))),0), IFERROR(VALUE(TRIM(CLEAN($P$2:$P$1001))),0))</f>
        <v>0.23135628536430677</v>
      </c>
    </row>
    <row r="472" spans="1:22" x14ac:dyDescent="0.25">
      <c r="A472">
        <v>471</v>
      </c>
      <c r="B472" s="1">
        <v>40564</v>
      </c>
      <c r="C472">
        <v>1</v>
      </c>
      <c r="D472">
        <v>0</v>
      </c>
      <c r="E472">
        <v>1</v>
      </c>
      <c r="F472">
        <v>15</v>
      </c>
      <c r="G472" t="b">
        <v>0</v>
      </c>
      <c r="H472">
        <v>5</v>
      </c>
      <c r="I472">
        <v>1</v>
      </c>
      <c r="J472">
        <v>0.16</v>
      </c>
      <c r="K472">
        <v>0.1212</v>
      </c>
      <c r="L472">
        <v>0.26</v>
      </c>
      <c r="M472">
        <v>0.44779999999999998</v>
      </c>
      <c r="N472">
        <v>4</v>
      </c>
      <c r="O472">
        <v>61</v>
      </c>
      <c r="P472">
        <v>65</v>
      </c>
      <c r="Q472" t="str">
        <f t="shared" si="31"/>
        <v>Weekday</v>
      </c>
      <c r="R472" t="str">
        <f t="shared" si="28"/>
        <v>Clear</v>
      </c>
      <c r="S472">
        <f t="shared" si="29"/>
        <v>-0.25435329828790432</v>
      </c>
      <c r="T472">
        <f t="shared" si="30"/>
        <v>0.10399668008577614</v>
      </c>
      <c r="U472" s="6">
        <v>0.16</v>
      </c>
      <c r="V472">
        <f t="array" ref="V472">CORREL(IFERROR(VALUE(TRIM(CLEAN($U$2:$U$1001))),0), IFERROR(VALUE(TRIM(CLEAN($P$2:$P$1001))),0))</f>
        <v>0.23135628536430677</v>
      </c>
    </row>
    <row r="473" spans="1:22" x14ac:dyDescent="0.25">
      <c r="A473">
        <v>472</v>
      </c>
      <c r="B473" s="1">
        <v>40564</v>
      </c>
      <c r="C473">
        <v>1</v>
      </c>
      <c r="D473">
        <v>0</v>
      </c>
      <c r="E473">
        <v>1</v>
      </c>
      <c r="F473">
        <v>16</v>
      </c>
      <c r="G473" t="b">
        <v>0</v>
      </c>
      <c r="H473">
        <v>5</v>
      </c>
      <c r="I473">
        <v>1</v>
      </c>
      <c r="J473">
        <v>0.16</v>
      </c>
      <c r="K473">
        <v>0.13639999999999999</v>
      </c>
      <c r="L473">
        <v>0.26</v>
      </c>
      <c r="M473">
        <v>0.35820000000000002</v>
      </c>
      <c r="N473">
        <v>0</v>
      </c>
      <c r="O473">
        <v>97</v>
      </c>
      <c r="P473">
        <v>97</v>
      </c>
      <c r="Q473" t="str">
        <f t="shared" si="31"/>
        <v>Weekday</v>
      </c>
      <c r="R473" t="str">
        <f t="shared" si="28"/>
        <v>Clear</v>
      </c>
      <c r="S473">
        <f t="shared" si="29"/>
        <v>-0.25435329828790432</v>
      </c>
      <c r="T473">
        <f t="shared" si="30"/>
        <v>0.10399668008577614</v>
      </c>
      <c r="U473" s="6">
        <v>0.16</v>
      </c>
      <c r="V473">
        <f t="array" ref="V473">CORREL(IFERROR(VALUE(TRIM(CLEAN($U$2:$U$1001))),0), IFERROR(VALUE(TRIM(CLEAN($P$2:$P$1001))),0))</f>
        <v>0.23135628536430677</v>
      </c>
    </row>
    <row r="474" spans="1:22" x14ac:dyDescent="0.25">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c r="Q474" t="str">
        <f t="shared" si="31"/>
        <v>Weekday</v>
      </c>
      <c r="R474" t="str">
        <f t="shared" si="28"/>
        <v>Clear</v>
      </c>
      <c r="S474">
        <f t="shared" si="29"/>
        <v>-0.25435329828790432</v>
      </c>
      <c r="T474">
        <f t="shared" si="30"/>
        <v>0.10399668008577614</v>
      </c>
      <c r="U474" s="6">
        <v>0.14000000000000001</v>
      </c>
      <c r="V474">
        <f t="array" ref="V474">CORREL(IFERROR(VALUE(TRIM(CLEAN($U$2:$U$1001))),0), IFERROR(VALUE(TRIM(CLEAN($P$2:$P$1001))),0))</f>
        <v>0.23135628536430677</v>
      </c>
    </row>
    <row r="475" spans="1:22" x14ac:dyDescent="0.25">
      <c r="A475">
        <v>474</v>
      </c>
      <c r="B475" s="1">
        <v>40564</v>
      </c>
      <c r="C475">
        <v>1</v>
      </c>
      <c r="D475">
        <v>0</v>
      </c>
      <c r="E475">
        <v>1</v>
      </c>
      <c r="F475">
        <v>18</v>
      </c>
      <c r="G475" t="b">
        <v>0</v>
      </c>
      <c r="H475">
        <v>5</v>
      </c>
      <c r="I475">
        <v>1</v>
      </c>
      <c r="J475">
        <v>0.12</v>
      </c>
      <c r="K475">
        <v>0.1212</v>
      </c>
      <c r="L475">
        <v>0.3</v>
      </c>
      <c r="M475">
        <v>0.25369999999999998</v>
      </c>
      <c r="N475">
        <v>1</v>
      </c>
      <c r="O475">
        <v>119</v>
      </c>
      <c r="P475">
        <v>120</v>
      </c>
      <c r="Q475" t="str">
        <f t="shared" si="31"/>
        <v>Weekday</v>
      </c>
      <c r="R475" t="str">
        <f t="shared" si="28"/>
        <v>Clear</v>
      </c>
      <c r="S475">
        <f t="shared" si="29"/>
        <v>-0.25435329828790432</v>
      </c>
      <c r="T475">
        <f t="shared" si="30"/>
        <v>0.10399668008577614</v>
      </c>
      <c r="U475" s="6">
        <v>0.12</v>
      </c>
      <c r="V475">
        <f t="array" ref="V475">CORREL(IFERROR(VALUE(TRIM(CLEAN($U$2:$U$1001))),0), IFERROR(VALUE(TRIM(CLEAN($P$2:$P$1001))),0))</f>
        <v>0.23135628536430677</v>
      </c>
    </row>
    <row r="476" spans="1:22" x14ac:dyDescent="0.25">
      <c r="A476">
        <v>475</v>
      </c>
      <c r="B476" s="1">
        <v>40564</v>
      </c>
      <c r="C476">
        <v>1</v>
      </c>
      <c r="D476">
        <v>0</v>
      </c>
      <c r="E476">
        <v>1</v>
      </c>
      <c r="F476">
        <v>19</v>
      </c>
      <c r="G476" t="b">
        <v>0</v>
      </c>
      <c r="H476">
        <v>5</v>
      </c>
      <c r="I476">
        <v>1</v>
      </c>
      <c r="J476">
        <v>0.12</v>
      </c>
      <c r="K476">
        <v>0.1061</v>
      </c>
      <c r="L476">
        <v>0.3</v>
      </c>
      <c r="M476">
        <v>0.32840000000000003</v>
      </c>
      <c r="N476">
        <v>3</v>
      </c>
      <c r="O476">
        <v>93</v>
      </c>
      <c r="P476">
        <v>96</v>
      </c>
      <c r="Q476" t="str">
        <f t="shared" si="31"/>
        <v>Weekday</v>
      </c>
      <c r="R476" t="str">
        <f t="shared" si="28"/>
        <v>Clear</v>
      </c>
      <c r="S476">
        <f t="shared" si="29"/>
        <v>-0.25435329828790432</v>
      </c>
      <c r="T476">
        <f t="shared" si="30"/>
        <v>0.10399668008577614</v>
      </c>
      <c r="U476" s="6">
        <v>0.12</v>
      </c>
      <c r="V476">
        <f t="array" ref="V476">CORREL(IFERROR(VALUE(TRIM(CLEAN($U$2:$U$1001))),0), IFERROR(VALUE(TRIM(CLEAN($P$2:$P$1001))),0))</f>
        <v>0.23135628536430677</v>
      </c>
    </row>
    <row r="477" spans="1:22" x14ac:dyDescent="0.25">
      <c r="A477">
        <v>476</v>
      </c>
      <c r="B477" s="1">
        <v>40564</v>
      </c>
      <c r="C477">
        <v>1</v>
      </c>
      <c r="D477">
        <v>0</v>
      </c>
      <c r="E477">
        <v>1</v>
      </c>
      <c r="F477">
        <v>20</v>
      </c>
      <c r="G477" t="b">
        <v>0</v>
      </c>
      <c r="H477">
        <v>5</v>
      </c>
      <c r="I477">
        <v>1</v>
      </c>
      <c r="J477">
        <v>0.1</v>
      </c>
      <c r="K477">
        <v>7.5800000000000006E-2</v>
      </c>
      <c r="L477">
        <v>0.33</v>
      </c>
      <c r="M477">
        <v>0.41789999999999999</v>
      </c>
      <c r="N477">
        <v>1</v>
      </c>
      <c r="O477">
        <v>52</v>
      </c>
      <c r="P477">
        <v>53</v>
      </c>
      <c r="Q477" t="str">
        <f t="shared" si="31"/>
        <v>Weekend</v>
      </c>
      <c r="R477" t="str">
        <f t="shared" si="28"/>
        <v>Clear</v>
      </c>
      <c r="S477">
        <f t="shared" si="29"/>
        <v>-0.25435329828790432</v>
      </c>
      <c r="T477">
        <f t="shared" si="30"/>
        <v>0.10399668008577614</v>
      </c>
      <c r="U477" s="6">
        <v>0.1</v>
      </c>
      <c r="V477">
        <f t="array" ref="V477">CORREL(IFERROR(VALUE(TRIM(CLEAN($U$2:$U$1001))),0), IFERROR(VALUE(TRIM(CLEAN($P$2:$P$1001))),0))</f>
        <v>0.23135628536430677</v>
      </c>
    </row>
    <row r="478" spans="1:22" x14ac:dyDescent="0.25">
      <c r="A478">
        <v>477</v>
      </c>
      <c r="B478" s="1">
        <v>40564</v>
      </c>
      <c r="C478">
        <v>1</v>
      </c>
      <c r="D478">
        <v>0</v>
      </c>
      <c r="E478">
        <v>1</v>
      </c>
      <c r="F478">
        <v>21</v>
      </c>
      <c r="G478" t="b">
        <v>0</v>
      </c>
      <c r="H478">
        <v>5</v>
      </c>
      <c r="I478">
        <v>1</v>
      </c>
      <c r="J478">
        <v>0.08</v>
      </c>
      <c r="K478">
        <v>7.5800000000000006E-2</v>
      </c>
      <c r="L478">
        <v>0.38</v>
      </c>
      <c r="M478">
        <v>0.28360000000000002</v>
      </c>
      <c r="N478">
        <v>0</v>
      </c>
      <c r="O478">
        <v>41</v>
      </c>
      <c r="P478">
        <v>41</v>
      </c>
      <c r="Q478" t="str">
        <f t="shared" si="31"/>
        <v>Weekend</v>
      </c>
      <c r="R478" t="str">
        <f t="shared" si="28"/>
        <v>Clear</v>
      </c>
      <c r="S478">
        <f t="shared" si="29"/>
        <v>-0.25435329828790432</v>
      </c>
      <c r="T478">
        <f t="shared" si="30"/>
        <v>0.10399668008577614</v>
      </c>
      <c r="U478" s="6">
        <v>0.08</v>
      </c>
      <c r="V478">
        <f t="array" ref="V478">CORREL(IFERROR(VALUE(TRIM(CLEAN($U$2:$U$1001))),0), IFERROR(VALUE(TRIM(CLEAN($P$2:$P$1001))),0))</f>
        <v>0.23135628536430677</v>
      </c>
    </row>
    <row r="479" spans="1:22" x14ac:dyDescent="0.25">
      <c r="A479">
        <v>478</v>
      </c>
      <c r="B479" s="1">
        <v>40564</v>
      </c>
      <c r="C479">
        <v>1</v>
      </c>
      <c r="D479">
        <v>0</v>
      </c>
      <c r="E479">
        <v>1</v>
      </c>
      <c r="F479">
        <v>22</v>
      </c>
      <c r="G479" t="b">
        <v>0</v>
      </c>
      <c r="H479">
        <v>5</v>
      </c>
      <c r="I479">
        <v>1</v>
      </c>
      <c r="J479">
        <v>0.06</v>
      </c>
      <c r="K479">
        <v>3.0300000000000001E-2</v>
      </c>
      <c r="L479">
        <v>0.41</v>
      </c>
      <c r="M479">
        <v>0.3881</v>
      </c>
      <c r="N479">
        <v>1</v>
      </c>
      <c r="O479">
        <v>33</v>
      </c>
      <c r="P479">
        <v>34</v>
      </c>
      <c r="Q479" t="str">
        <f t="shared" si="31"/>
        <v>Weekday</v>
      </c>
      <c r="R479" t="str">
        <f t="shared" si="28"/>
        <v>Clear</v>
      </c>
      <c r="S479">
        <f t="shared" si="29"/>
        <v>-0.25435329828790432</v>
      </c>
      <c r="T479">
        <f t="shared" si="30"/>
        <v>0.10399668008577614</v>
      </c>
      <c r="U479" s="6">
        <v>0.06</v>
      </c>
      <c r="V479">
        <f t="array" ref="V479">CORREL(IFERROR(VALUE(TRIM(CLEAN($U$2:$U$1001))),0), IFERROR(VALUE(TRIM(CLEAN($P$2:$P$1001))),0))</f>
        <v>0.23135628536430677</v>
      </c>
    </row>
    <row r="480" spans="1:22" x14ac:dyDescent="0.25">
      <c r="A480">
        <v>479</v>
      </c>
      <c r="B480" s="1">
        <v>40564</v>
      </c>
      <c r="C480">
        <v>1</v>
      </c>
      <c r="D480">
        <v>0</v>
      </c>
      <c r="E480">
        <v>1</v>
      </c>
      <c r="F480">
        <v>23</v>
      </c>
      <c r="G480" t="b">
        <v>0</v>
      </c>
      <c r="H480">
        <v>5</v>
      </c>
      <c r="I480">
        <v>1</v>
      </c>
      <c r="J480">
        <v>0.06</v>
      </c>
      <c r="K480">
        <v>4.5499999999999999E-2</v>
      </c>
      <c r="L480">
        <v>0.38</v>
      </c>
      <c r="M480">
        <v>0.32840000000000003</v>
      </c>
      <c r="N480">
        <v>0</v>
      </c>
      <c r="O480">
        <v>27</v>
      </c>
      <c r="P480">
        <v>27</v>
      </c>
      <c r="Q480" t="str">
        <f t="shared" si="31"/>
        <v>Weekday</v>
      </c>
      <c r="R480" t="str">
        <f t="shared" si="28"/>
        <v>Clear</v>
      </c>
      <c r="S480">
        <f t="shared" si="29"/>
        <v>-0.25435329828790432</v>
      </c>
      <c r="T480">
        <f t="shared" si="30"/>
        <v>0.10399668008577614</v>
      </c>
      <c r="U480" s="6">
        <v>0.06</v>
      </c>
      <c r="V480">
        <f t="array" ref="V480">CORREL(IFERROR(VALUE(TRIM(CLEAN($U$2:$U$1001))),0), IFERROR(VALUE(TRIM(CLEAN($P$2:$P$1001))),0))</f>
        <v>0.23135628536430677</v>
      </c>
    </row>
    <row r="481" spans="1:22" x14ac:dyDescent="0.25">
      <c r="A481">
        <v>480</v>
      </c>
      <c r="B481" s="1">
        <v>40565</v>
      </c>
      <c r="C481">
        <v>1</v>
      </c>
      <c r="D481">
        <v>0</v>
      </c>
      <c r="E481">
        <v>1</v>
      </c>
      <c r="F481">
        <v>0</v>
      </c>
      <c r="G481" t="b">
        <v>0</v>
      </c>
      <c r="H481">
        <v>6</v>
      </c>
      <c r="I481">
        <v>1</v>
      </c>
      <c r="J481">
        <v>0.04</v>
      </c>
      <c r="K481">
        <v>3.0300000000000001E-2</v>
      </c>
      <c r="L481">
        <v>0.45</v>
      </c>
      <c r="M481">
        <v>0.25369999999999998</v>
      </c>
      <c r="N481">
        <v>0</v>
      </c>
      <c r="O481">
        <v>13</v>
      </c>
      <c r="P481">
        <v>13</v>
      </c>
      <c r="Q481" t="str">
        <f t="shared" si="31"/>
        <v>Weekday</v>
      </c>
      <c r="R481" t="str">
        <f t="shared" si="28"/>
        <v>Clear</v>
      </c>
      <c r="S481">
        <f t="shared" si="29"/>
        <v>-0.25435329828790432</v>
      </c>
      <c r="T481">
        <f t="shared" si="30"/>
        <v>0.10399668008577614</v>
      </c>
      <c r="U481" s="6">
        <v>0.04</v>
      </c>
      <c r="V481">
        <f t="array" ref="V481">CORREL(IFERROR(VALUE(TRIM(CLEAN($U$2:$U$1001))),0), IFERROR(VALUE(TRIM(CLEAN($P$2:$P$1001))),0))</f>
        <v>0.23135628536430677</v>
      </c>
    </row>
    <row r="482" spans="1:22" x14ac:dyDescent="0.25">
      <c r="A482">
        <v>481</v>
      </c>
      <c r="B482" s="1">
        <v>40565</v>
      </c>
      <c r="C482">
        <v>1</v>
      </c>
      <c r="D482">
        <v>0</v>
      </c>
      <c r="E482">
        <v>1</v>
      </c>
      <c r="F482">
        <v>1</v>
      </c>
      <c r="G482" t="b">
        <v>0</v>
      </c>
      <c r="H482">
        <v>6</v>
      </c>
      <c r="I482">
        <v>2</v>
      </c>
      <c r="J482">
        <v>0.04</v>
      </c>
      <c r="K482">
        <v>0</v>
      </c>
      <c r="L482">
        <v>0.41</v>
      </c>
      <c r="M482">
        <v>0.3881</v>
      </c>
      <c r="N482">
        <v>3</v>
      </c>
      <c r="O482">
        <v>9</v>
      </c>
      <c r="P482">
        <v>12</v>
      </c>
      <c r="Q482" t="str">
        <f t="shared" si="31"/>
        <v>Weekday</v>
      </c>
      <c r="R482" t="str">
        <f t="shared" si="28"/>
        <v>Mist/Cloudy</v>
      </c>
      <c r="S482">
        <f t="shared" si="29"/>
        <v>-0.25435329828790432</v>
      </c>
      <c r="T482">
        <f t="shared" si="30"/>
        <v>0.10399668008577614</v>
      </c>
      <c r="U482" s="6">
        <v>0.04</v>
      </c>
      <c r="V482">
        <f t="array" ref="V482">CORREL(IFERROR(VALUE(TRIM(CLEAN($U$2:$U$1001))),0), IFERROR(VALUE(TRIM(CLEAN($P$2:$P$1001))),0))</f>
        <v>0.23135628536430677</v>
      </c>
    </row>
    <row r="483" spans="1:22" x14ac:dyDescent="0.25">
      <c r="A483">
        <v>482</v>
      </c>
      <c r="B483" s="1">
        <v>40565</v>
      </c>
      <c r="C483">
        <v>1</v>
      </c>
      <c r="D483">
        <v>0</v>
      </c>
      <c r="E483">
        <v>1</v>
      </c>
      <c r="F483">
        <v>2</v>
      </c>
      <c r="G483" t="b">
        <v>0</v>
      </c>
      <c r="H483">
        <v>6</v>
      </c>
      <c r="I483">
        <v>2</v>
      </c>
      <c r="J483">
        <v>0.04</v>
      </c>
      <c r="K483">
        <v>3.0300000000000001E-2</v>
      </c>
      <c r="L483">
        <v>0.41</v>
      </c>
      <c r="M483">
        <v>0.25369999999999998</v>
      </c>
      <c r="N483">
        <v>0</v>
      </c>
      <c r="O483">
        <v>11</v>
      </c>
      <c r="P483">
        <v>11</v>
      </c>
      <c r="Q483" t="str">
        <f t="shared" si="31"/>
        <v>Weekday</v>
      </c>
      <c r="R483" t="str">
        <f t="shared" si="28"/>
        <v>Mist/Cloudy</v>
      </c>
      <c r="S483">
        <f t="shared" si="29"/>
        <v>-0.25435329828790432</v>
      </c>
      <c r="T483">
        <f t="shared" si="30"/>
        <v>0.10399668008577614</v>
      </c>
      <c r="U483" s="6">
        <v>0.04</v>
      </c>
      <c r="V483">
        <f t="array" ref="V483">CORREL(IFERROR(VALUE(TRIM(CLEAN($U$2:$U$1001))),0), IFERROR(VALUE(TRIM(CLEAN($P$2:$P$1001))),0))</f>
        <v>0.23135628536430677</v>
      </c>
    </row>
    <row r="484" spans="1:22" x14ac:dyDescent="0.25">
      <c r="A484">
        <v>483</v>
      </c>
      <c r="B484" s="1">
        <v>40565</v>
      </c>
      <c r="C484">
        <v>1</v>
      </c>
      <c r="D484">
        <v>0</v>
      </c>
      <c r="E484">
        <v>1</v>
      </c>
      <c r="F484">
        <v>3</v>
      </c>
      <c r="G484" t="b">
        <v>0</v>
      </c>
      <c r="H484">
        <v>6</v>
      </c>
      <c r="I484">
        <v>2</v>
      </c>
      <c r="J484">
        <v>0.04</v>
      </c>
      <c r="K484">
        <v>3.0300000000000001E-2</v>
      </c>
      <c r="L484">
        <v>0.41</v>
      </c>
      <c r="M484">
        <v>0.28360000000000002</v>
      </c>
      <c r="N484">
        <v>1</v>
      </c>
      <c r="O484">
        <v>6</v>
      </c>
      <c r="P484">
        <v>7</v>
      </c>
      <c r="Q484" t="str">
        <f t="shared" si="31"/>
        <v>Weekend</v>
      </c>
      <c r="R484" t="str">
        <f t="shared" si="28"/>
        <v>Mist/Cloudy</v>
      </c>
      <c r="S484">
        <f t="shared" si="29"/>
        <v>-0.25435329828790432</v>
      </c>
      <c r="T484">
        <f t="shared" si="30"/>
        <v>0.10399668008577614</v>
      </c>
      <c r="U484" s="6">
        <v>0.04</v>
      </c>
      <c r="V484">
        <f t="array" ref="V484">CORREL(IFERROR(VALUE(TRIM(CLEAN($U$2:$U$1001))),0), IFERROR(VALUE(TRIM(CLEAN($P$2:$P$1001))),0))</f>
        <v>0.23135628536430677</v>
      </c>
    </row>
    <row r="485" spans="1:22" x14ac:dyDescent="0.25">
      <c r="A485">
        <v>484</v>
      </c>
      <c r="B485" s="1">
        <v>40565</v>
      </c>
      <c r="C485">
        <v>1</v>
      </c>
      <c r="D485">
        <v>0</v>
      </c>
      <c r="E485">
        <v>1</v>
      </c>
      <c r="F485">
        <v>4</v>
      </c>
      <c r="G485" t="b">
        <v>0</v>
      </c>
      <c r="H485">
        <v>6</v>
      </c>
      <c r="I485">
        <v>2</v>
      </c>
      <c r="J485">
        <v>0.02</v>
      </c>
      <c r="K485">
        <v>1.52E-2</v>
      </c>
      <c r="L485">
        <v>0.48</v>
      </c>
      <c r="M485">
        <v>0.29849999999999999</v>
      </c>
      <c r="N485">
        <v>0</v>
      </c>
      <c r="O485">
        <v>3</v>
      </c>
      <c r="P485">
        <v>3</v>
      </c>
      <c r="Q485" t="str">
        <f t="shared" si="31"/>
        <v>Weekend</v>
      </c>
      <c r="R485" t="str">
        <f t="shared" si="28"/>
        <v>Mist/Cloudy</v>
      </c>
      <c r="S485">
        <f t="shared" si="29"/>
        <v>-0.25435329828790432</v>
      </c>
      <c r="T485">
        <f t="shared" si="30"/>
        <v>0.10399668008577614</v>
      </c>
      <c r="U485" s="6">
        <v>0.02</v>
      </c>
      <c r="V485">
        <f t="array" ref="V485">CORREL(IFERROR(VALUE(TRIM(CLEAN($U$2:$U$1001))),0), IFERROR(VALUE(TRIM(CLEAN($P$2:$P$1001))),0))</f>
        <v>0.23135628536430677</v>
      </c>
    </row>
    <row r="486" spans="1:22" x14ac:dyDescent="0.25">
      <c r="A486">
        <v>485</v>
      </c>
      <c r="B486" s="1">
        <v>40565</v>
      </c>
      <c r="C486">
        <v>1</v>
      </c>
      <c r="D486">
        <v>0</v>
      </c>
      <c r="E486">
        <v>1</v>
      </c>
      <c r="F486">
        <v>6</v>
      </c>
      <c r="G486" t="b">
        <v>0</v>
      </c>
      <c r="H486">
        <v>6</v>
      </c>
      <c r="I486">
        <v>2</v>
      </c>
      <c r="J486">
        <v>0.02</v>
      </c>
      <c r="K486">
        <v>3.0300000000000001E-2</v>
      </c>
      <c r="L486">
        <v>0.44</v>
      </c>
      <c r="M486">
        <v>0.22389999999999999</v>
      </c>
      <c r="N486">
        <v>0</v>
      </c>
      <c r="O486">
        <v>2</v>
      </c>
      <c r="P486">
        <v>2</v>
      </c>
      <c r="Q486" t="str">
        <f t="shared" si="31"/>
        <v>Weekday</v>
      </c>
      <c r="R486" t="str">
        <f t="shared" si="28"/>
        <v>Mist/Cloudy</v>
      </c>
      <c r="S486">
        <f t="shared" si="29"/>
        <v>-0.25435329828790432</v>
      </c>
      <c r="T486">
        <f t="shared" si="30"/>
        <v>0.10399668008577614</v>
      </c>
      <c r="U486" s="6">
        <v>0.02</v>
      </c>
      <c r="V486">
        <f t="array" ref="V486">CORREL(IFERROR(VALUE(TRIM(CLEAN($U$2:$U$1001))),0), IFERROR(VALUE(TRIM(CLEAN($P$2:$P$1001))),0))</f>
        <v>0.23135628536430677</v>
      </c>
    </row>
    <row r="487" spans="1:22" x14ac:dyDescent="0.25">
      <c r="A487">
        <v>486</v>
      </c>
      <c r="B487" s="1">
        <v>40565</v>
      </c>
      <c r="C487">
        <v>1</v>
      </c>
      <c r="D487">
        <v>0</v>
      </c>
      <c r="E487">
        <v>1</v>
      </c>
      <c r="F487">
        <v>7</v>
      </c>
      <c r="G487" t="b">
        <v>0</v>
      </c>
      <c r="H487">
        <v>6</v>
      </c>
      <c r="I487">
        <v>1</v>
      </c>
      <c r="J487">
        <v>0.02</v>
      </c>
      <c r="K487">
        <v>1.52E-2</v>
      </c>
      <c r="L487">
        <v>0.44</v>
      </c>
      <c r="M487">
        <v>0.28360000000000002</v>
      </c>
      <c r="N487">
        <v>0</v>
      </c>
      <c r="O487">
        <v>8</v>
      </c>
      <c r="P487">
        <v>8</v>
      </c>
      <c r="Q487" t="str">
        <f t="shared" si="31"/>
        <v>Weekday</v>
      </c>
      <c r="R487" t="str">
        <f t="shared" si="28"/>
        <v>Clear</v>
      </c>
      <c r="S487">
        <f t="shared" si="29"/>
        <v>-0.25435329828790432</v>
      </c>
      <c r="T487">
        <f t="shared" si="30"/>
        <v>0.10399668008577614</v>
      </c>
      <c r="U487" s="6">
        <v>0.02</v>
      </c>
      <c r="V487">
        <f t="array" ref="V487">CORREL(IFERROR(VALUE(TRIM(CLEAN($U$2:$U$1001))),0), IFERROR(VALUE(TRIM(CLEAN($P$2:$P$1001))),0))</f>
        <v>0.23135628536430677</v>
      </c>
    </row>
    <row r="488" spans="1:22" x14ac:dyDescent="0.25">
      <c r="A488">
        <v>487</v>
      </c>
      <c r="B488" s="1">
        <v>40565</v>
      </c>
      <c r="C488">
        <v>1</v>
      </c>
      <c r="D488">
        <v>0</v>
      </c>
      <c r="E488">
        <v>1</v>
      </c>
      <c r="F488">
        <v>8</v>
      </c>
      <c r="G488" t="b">
        <v>0</v>
      </c>
      <c r="H488">
        <v>6</v>
      </c>
      <c r="I488">
        <v>1</v>
      </c>
      <c r="J488">
        <v>0.02</v>
      </c>
      <c r="K488">
        <v>0</v>
      </c>
      <c r="L488">
        <v>0.44</v>
      </c>
      <c r="M488">
        <v>0.32840000000000003</v>
      </c>
      <c r="N488">
        <v>1</v>
      </c>
      <c r="O488">
        <v>26</v>
      </c>
      <c r="P488">
        <v>27</v>
      </c>
      <c r="Q488" t="str">
        <f t="shared" si="31"/>
        <v>Weekday</v>
      </c>
      <c r="R488" t="str">
        <f t="shared" si="28"/>
        <v>Clear</v>
      </c>
      <c r="S488">
        <f t="shared" si="29"/>
        <v>-0.25435329828790432</v>
      </c>
      <c r="T488">
        <f t="shared" si="30"/>
        <v>0.10399668008577614</v>
      </c>
      <c r="U488" s="6">
        <v>0.02</v>
      </c>
      <c r="V488">
        <f t="array" ref="V488">CORREL(IFERROR(VALUE(TRIM(CLEAN($U$2:$U$1001))),0), IFERROR(VALUE(TRIM(CLEAN($P$2:$P$1001))),0))</f>
        <v>0.23135628536430677</v>
      </c>
    </row>
    <row r="489" spans="1:22" x14ac:dyDescent="0.25">
      <c r="A489">
        <v>488</v>
      </c>
      <c r="B489" s="1">
        <v>40565</v>
      </c>
      <c r="C489">
        <v>1</v>
      </c>
      <c r="D489">
        <v>0</v>
      </c>
      <c r="E489">
        <v>1</v>
      </c>
      <c r="F489">
        <v>9</v>
      </c>
      <c r="G489" t="b">
        <v>0</v>
      </c>
      <c r="H489">
        <v>6</v>
      </c>
      <c r="I489">
        <v>1</v>
      </c>
      <c r="J489">
        <v>0.04</v>
      </c>
      <c r="K489">
        <v>3.0300000000000001E-2</v>
      </c>
      <c r="L489">
        <v>0.41</v>
      </c>
      <c r="M489">
        <v>0.25369999999999998</v>
      </c>
      <c r="N489">
        <v>3</v>
      </c>
      <c r="O489">
        <v>37</v>
      </c>
      <c r="P489">
        <v>40</v>
      </c>
      <c r="Q489" t="str">
        <f t="shared" si="31"/>
        <v>Weekday</v>
      </c>
      <c r="R489" t="str">
        <f t="shared" si="28"/>
        <v>Clear</v>
      </c>
      <c r="S489">
        <f t="shared" si="29"/>
        <v>-0.25435329828790432</v>
      </c>
      <c r="T489">
        <f t="shared" si="30"/>
        <v>0.10399668008577614</v>
      </c>
      <c r="U489" s="6">
        <v>0.04</v>
      </c>
      <c r="V489">
        <f t="array" ref="V489">CORREL(IFERROR(VALUE(TRIM(CLEAN($U$2:$U$1001))),0), IFERROR(VALUE(TRIM(CLEAN($P$2:$P$1001))),0))</f>
        <v>0.23135628536430677</v>
      </c>
    </row>
    <row r="490" spans="1:22" x14ac:dyDescent="0.25">
      <c r="A490">
        <v>489</v>
      </c>
      <c r="B490" s="1">
        <v>40565</v>
      </c>
      <c r="C490">
        <v>1</v>
      </c>
      <c r="D490">
        <v>0</v>
      </c>
      <c r="E490">
        <v>1</v>
      </c>
      <c r="F490">
        <v>10</v>
      </c>
      <c r="G490" t="b">
        <v>0</v>
      </c>
      <c r="H490">
        <v>6</v>
      </c>
      <c r="I490">
        <v>2</v>
      </c>
      <c r="J490">
        <v>0.04</v>
      </c>
      <c r="K490">
        <v>6.0600000000000001E-2</v>
      </c>
      <c r="L490">
        <v>0.41</v>
      </c>
      <c r="M490">
        <v>0.16420000000000001</v>
      </c>
      <c r="N490">
        <v>3</v>
      </c>
      <c r="O490">
        <v>50</v>
      </c>
      <c r="P490">
        <v>53</v>
      </c>
      <c r="Q490" t="str">
        <f t="shared" si="31"/>
        <v>Weekday</v>
      </c>
      <c r="R490" t="str">
        <f t="shared" si="28"/>
        <v>Mist/Cloudy</v>
      </c>
      <c r="S490">
        <f t="shared" si="29"/>
        <v>-0.25435329828790432</v>
      </c>
      <c r="T490">
        <f t="shared" si="30"/>
        <v>0.10399668008577614</v>
      </c>
      <c r="U490" s="6">
        <v>0.04</v>
      </c>
      <c r="V490">
        <f t="array" ref="V490">CORREL(IFERROR(VALUE(TRIM(CLEAN($U$2:$U$1001))),0), IFERROR(VALUE(TRIM(CLEAN($P$2:$P$1001))),0))</f>
        <v>0.23135628536430677</v>
      </c>
    </row>
    <row r="491" spans="1:22" x14ac:dyDescent="0.25">
      <c r="A491">
        <v>490</v>
      </c>
      <c r="B491" s="1">
        <v>40565</v>
      </c>
      <c r="C491">
        <v>1</v>
      </c>
      <c r="D491">
        <v>0</v>
      </c>
      <c r="E491">
        <v>1</v>
      </c>
      <c r="F491">
        <v>11</v>
      </c>
      <c r="G491" t="b">
        <v>0</v>
      </c>
      <c r="H491">
        <v>6</v>
      </c>
      <c r="I491">
        <v>2</v>
      </c>
      <c r="J491">
        <v>0.06</v>
      </c>
      <c r="K491">
        <v>7.5800000000000006E-2</v>
      </c>
      <c r="L491">
        <v>0.38</v>
      </c>
      <c r="M491">
        <v>0.1343</v>
      </c>
      <c r="N491">
        <v>4</v>
      </c>
      <c r="O491">
        <v>59</v>
      </c>
      <c r="P491">
        <v>63</v>
      </c>
      <c r="Q491" t="str">
        <f t="shared" si="31"/>
        <v>Weekend</v>
      </c>
      <c r="R491" t="str">
        <f t="shared" si="28"/>
        <v>Mist/Cloudy</v>
      </c>
      <c r="S491">
        <f t="shared" si="29"/>
        <v>-0.25435329828790432</v>
      </c>
      <c r="T491">
        <f t="shared" si="30"/>
        <v>0.10399668008577614</v>
      </c>
      <c r="U491" s="6">
        <v>0.06</v>
      </c>
      <c r="V491">
        <f t="array" ref="V491">CORREL(IFERROR(VALUE(TRIM(CLEAN($U$2:$U$1001))),0), IFERROR(VALUE(TRIM(CLEAN($P$2:$P$1001))),0))</f>
        <v>0.23135628536430677</v>
      </c>
    </row>
    <row r="492" spans="1:22" x14ac:dyDescent="0.25">
      <c r="A492">
        <v>491</v>
      </c>
      <c r="B492" s="1">
        <v>40565</v>
      </c>
      <c r="C492">
        <v>1</v>
      </c>
      <c r="D492">
        <v>0</v>
      </c>
      <c r="E492">
        <v>1</v>
      </c>
      <c r="F492">
        <v>12</v>
      </c>
      <c r="G492" t="b">
        <v>0</v>
      </c>
      <c r="H492">
        <v>6</v>
      </c>
      <c r="I492">
        <v>2</v>
      </c>
      <c r="J492">
        <v>0.06</v>
      </c>
      <c r="K492">
        <v>0.1061</v>
      </c>
      <c r="L492">
        <v>0.38</v>
      </c>
      <c r="M492">
        <v>0.1045</v>
      </c>
      <c r="N492">
        <v>10</v>
      </c>
      <c r="O492">
        <v>60</v>
      </c>
      <c r="P492">
        <v>70</v>
      </c>
      <c r="Q492" t="str">
        <f t="shared" si="31"/>
        <v>Weekend</v>
      </c>
      <c r="R492" t="str">
        <f t="shared" si="28"/>
        <v>Mist/Cloudy</v>
      </c>
      <c r="S492">
        <f t="shared" si="29"/>
        <v>-0.25435329828790432</v>
      </c>
      <c r="T492">
        <f t="shared" si="30"/>
        <v>0.10399668008577614</v>
      </c>
      <c r="U492" s="6">
        <v>0.06</v>
      </c>
      <c r="V492">
        <f t="array" ref="V492">CORREL(IFERROR(VALUE(TRIM(CLEAN($U$2:$U$1001))),0), IFERROR(VALUE(TRIM(CLEAN($P$2:$P$1001))),0))</f>
        <v>0.23135628536430677</v>
      </c>
    </row>
    <row r="493" spans="1:22" x14ac:dyDescent="0.25">
      <c r="A493">
        <v>492</v>
      </c>
      <c r="B493" s="1">
        <v>40565</v>
      </c>
      <c r="C493">
        <v>1</v>
      </c>
      <c r="D493">
        <v>0</v>
      </c>
      <c r="E493">
        <v>1</v>
      </c>
      <c r="F493">
        <v>13</v>
      </c>
      <c r="G493" t="b">
        <v>0</v>
      </c>
      <c r="H493">
        <v>6</v>
      </c>
      <c r="I493">
        <v>1</v>
      </c>
      <c r="J493">
        <v>0.08</v>
      </c>
      <c r="K493">
        <v>0.16669999999999999</v>
      </c>
      <c r="L493">
        <v>0.35</v>
      </c>
      <c r="M493">
        <v>0</v>
      </c>
      <c r="N493">
        <v>12</v>
      </c>
      <c r="O493">
        <v>72</v>
      </c>
      <c r="P493">
        <v>84</v>
      </c>
      <c r="Q493" t="str">
        <f t="shared" si="31"/>
        <v>Weekday</v>
      </c>
      <c r="R493" t="str">
        <f t="shared" si="28"/>
        <v>Clear</v>
      </c>
      <c r="S493">
        <f t="shared" si="29"/>
        <v>-0.25435329828790432</v>
      </c>
      <c r="T493">
        <f t="shared" si="30"/>
        <v>0.10399668008577614</v>
      </c>
      <c r="U493" s="6">
        <v>0.08</v>
      </c>
      <c r="V493">
        <f t="array" ref="V493">CORREL(IFERROR(VALUE(TRIM(CLEAN($U$2:$U$1001))),0), IFERROR(VALUE(TRIM(CLEAN($P$2:$P$1001))),0))</f>
        <v>0.23135628536430677</v>
      </c>
    </row>
    <row r="494" spans="1:22" x14ac:dyDescent="0.25">
      <c r="A494">
        <v>493</v>
      </c>
      <c r="B494" s="1">
        <v>40565</v>
      </c>
      <c r="C494">
        <v>1</v>
      </c>
      <c r="D494">
        <v>0</v>
      </c>
      <c r="E494">
        <v>1</v>
      </c>
      <c r="F494">
        <v>14</v>
      </c>
      <c r="G494" t="b">
        <v>0</v>
      </c>
      <c r="H494">
        <v>6</v>
      </c>
      <c r="I494">
        <v>1</v>
      </c>
      <c r="J494">
        <v>0.1</v>
      </c>
      <c r="K494">
        <v>0.13639999999999999</v>
      </c>
      <c r="L494">
        <v>0.33</v>
      </c>
      <c r="M494">
        <v>0.1045</v>
      </c>
      <c r="N494">
        <v>11</v>
      </c>
      <c r="O494">
        <v>64</v>
      </c>
      <c r="P494">
        <v>75</v>
      </c>
      <c r="Q494" t="str">
        <f t="shared" si="31"/>
        <v>Weekday</v>
      </c>
      <c r="R494" t="str">
        <f t="shared" si="28"/>
        <v>Clear</v>
      </c>
      <c r="S494">
        <f t="shared" si="29"/>
        <v>-0.25435329828790432</v>
      </c>
      <c r="T494">
        <f t="shared" si="30"/>
        <v>0.10399668008577614</v>
      </c>
      <c r="U494" s="6">
        <v>0.1</v>
      </c>
      <c r="V494">
        <f t="array" ref="V494">CORREL(IFERROR(VALUE(TRIM(CLEAN($U$2:$U$1001))),0), IFERROR(VALUE(TRIM(CLEAN($P$2:$P$1001))),0))</f>
        <v>0.23135628536430677</v>
      </c>
    </row>
    <row r="495" spans="1:22" x14ac:dyDescent="0.25">
      <c r="A495">
        <v>494</v>
      </c>
      <c r="B495" s="1">
        <v>40565</v>
      </c>
      <c r="C495">
        <v>1</v>
      </c>
      <c r="D495">
        <v>0</v>
      </c>
      <c r="E495">
        <v>1</v>
      </c>
      <c r="F495">
        <v>15</v>
      </c>
      <c r="G495" t="b">
        <v>0</v>
      </c>
      <c r="H495">
        <v>6</v>
      </c>
      <c r="I495">
        <v>1</v>
      </c>
      <c r="J495">
        <v>0.12</v>
      </c>
      <c r="K495">
        <v>0.1515</v>
      </c>
      <c r="L495">
        <v>0.28000000000000003</v>
      </c>
      <c r="M495">
        <v>0</v>
      </c>
      <c r="N495">
        <v>10</v>
      </c>
      <c r="O495">
        <v>93</v>
      </c>
      <c r="P495">
        <v>103</v>
      </c>
      <c r="Q495" t="str">
        <f t="shared" si="31"/>
        <v>Weekday</v>
      </c>
      <c r="R495" t="str">
        <f t="shared" si="28"/>
        <v>Clear</v>
      </c>
      <c r="S495">
        <f t="shared" si="29"/>
        <v>-0.25435329828790432</v>
      </c>
      <c r="T495">
        <f t="shared" si="30"/>
        <v>0.10399668008577614</v>
      </c>
      <c r="U495" s="6">
        <v>0.12</v>
      </c>
      <c r="V495">
        <f t="array" ref="V495">CORREL(IFERROR(VALUE(TRIM(CLEAN($U$2:$U$1001))),0), IFERROR(VALUE(TRIM(CLEAN($P$2:$P$1001))),0))</f>
        <v>0.23135628536430677</v>
      </c>
    </row>
    <row r="496" spans="1:22" x14ac:dyDescent="0.25">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c r="Q496" t="str">
        <f t="shared" si="31"/>
        <v>Weekday</v>
      </c>
      <c r="R496" t="str">
        <f t="shared" si="28"/>
        <v>Clear</v>
      </c>
      <c r="S496">
        <f t="shared" si="29"/>
        <v>-0.25435329828790432</v>
      </c>
      <c r="T496">
        <f t="shared" si="30"/>
        <v>0.10399668008577614</v>
      </c>
      <c r="U496" s="6">
        <v>0.12</v>
      </c>
      <c r="V496">
        <f t="array" ref="V496">CORREL(IFERROR(VALUE(TRIM(CLEAN($U$2:$U$1001))),0), IFERROR(VALUE(TRIM(CLEAN($P$2:$P$1001))),0))</f>
        <v>0.23135628536430677</v>
      </c>
    </row>
    <row r="497" spans="1:22" x14ac:dyDescent="0.25">
      <c r="A497">
        <v>496</v>
      </c>
      <c r="B497" s="1">
        <v>40565</v>
      </c>
      <c r="C497">
        <v>1</v>
      </c>
      <c r="D497">
        <v>0</v>
      </c>
      <c r="E497">
        <v>1</v>
      </c>
      <c r="F497">
        <v>17</v>
      </c>
      <c r="G497" t="b">
        <v>0</v>
      </c>
      <c r="H497">
        <v>6</v>
      </c>
      <c r="I497">
        <v>1</v>
      </c>
      <c r="J497">
        <v>0.12</v>
      </c>
      <c r="K497">
        <v>0.19700000000000001</v>
      </c>
      <c r="L497">
        <v>0.28000000000000003</v>
      </c>
      <c r="M497">
        <v>0</v>
      </c>
      <c r="N497">
        <v>8</v>
      </c>
      <c r="O497">
        <v>59</v>
      </c>
      <c r="P497">
        <v>67</v>
      </c>
      <c r="Q497" t="str">
        <f t="shared" si="31"/>
        <v>Weekday</v>
      </c>
      <c r="R497" t="str">
        <f t="shared" si="28"/>
        <v>Clear</v>
      </c>
      <c r="S497">
        <f t="shared" si="29"/>
        <v>-0.25435329828790432</v>
      </c>
      <c r="T497">
        <f t="shared" si="30"/>
        <v>0.10399668008577614</v>
      </c>
      <c r="U497" s="6">
        <v>0.12</v>
      </c>
      <c r="V497">
        <f t="array" ref="V497">CORREL(IFERROR(VALUE(TRIM(CLEAN($U$2:$U$1001))),0), IFERROR(VALUE(TRIM(CLEAN($P$2:$P$1001))),0))</f>
        <v>0.23135628536430677</v>
      </c>
    </row>
    <row r="498" spans="1:22" x14ac:dyDescent="0.25">
      <c r="A498">
        <v>497</v>
      </c>
      <c r="B498" s="1">
        <v>40565</v>
      </c>
      <c r="C498">
        <v>1</v>
      </c>
      <c r="D498">
        <v>0</v>
      </c>
      <c r="E498">
        <v>1</v>
      </c>
      <c r="F498">
        <v>18</v>
      </c>
      <c r="G498" t="b">
        <v>0</v>
      </c>
      <c r="H498">
        <v>6</v>
      </c>
      <c r="I498">
        <v>1</v>
      </c>
      <c r="J498">
        <v>0.08</v>
      </c>
      <c r="K498">
        <v>9.0899999999999995E-2</v>
      </c>
      <c r="L498">
        <v>0.35</v>
      </c>
      <c r="M498">
        <v>0.19400000000000001</v>
      </c>
      <c r="N498">
        <v>0</v>
      </c>
      <c r="O498">
        <v>54</v>
      </c>
      <c r="P498">
        <v>54</v>
      </c>
      <c r="Q498" t="str">
        <f t="shared" si="31"/>
        <v>Weekend</v>
      </c>
      <c r="R498" t="str">
        <f t="shared" si="28"/>
        <v>Clear</v>
      </c>
      <c r="S498">
        <f t="shared" si="29"/>
        <v>-0.25435329828790432</v>
      </c>
      <c r="T498">
        <f t="shared" si="30"/>
        <v>0.10399668008577614</v>
      </c>
      <c r="U498" s="6">
        <v>0.08</v>
      </c>
      <c r="V498">
        <f t="array" ref="V498">CORREL(IFERROR(VALUE(TRIM(CLEAN($U$2:$U$1001))),0), IFERROR(VALUE(TRIM(CLEAN($P$2:$P$1001))),0))</f>
        <v>0.23135628536430677</v>
      </c>
    </row>
    <row r="499" spans="1:22" x14ac:dyDescent="0.25">
      <c r="A499">
        <v>498</v>
      </c>
      <c r="B499" s="1">
        <v>40565</v>
      </c>
      <c r="C499">
        <v>1</v>
      </c>
      <c r="D499">
        <v>0</v>
      </c>
      <c r="E499">
        <v>1</v>
      </c>
      <c r="F499">
        <v>19</v>
      </c>
      <c r="G499" t="b">
        <v>0</v>
      </c>
      <c r="H499">
        <v>6</v>
      </c>
      <c r="I499">
        <v>1</v>
      </c>
      <c r="J499">
        <v>0.08</v>
      </c>
      <c r="K499">
        <v>0.1061</v>
      </c>
      <c r="L499">
        <v>0.35</v>
      </c>
      <c r="M499">
        <v>0.1343</v>
      </c>
      <c r="N499">
        <v>6</v>
      </c>
      <c r="O499">
        <v>53</v>
      </c>
      <c r="P499">
        <v>59</v>
      </c>
      <c r="Q499" t="str">
        <f t="shared" si="31"/>
        <v>Weekend</v>
      </c>
      <c r="R499" t="str">
        <f t="shared" si="28"/>
        <v>Clear</v>
      </c>
      <c r="S499">
        <f t="shared" si="29"/>
        <v>-0.25435329828790432</v>
      </c>
      <c r="T499">
        <f t="shared" si="30"/>
        <v>0.10399668008577614</v>
      </c>
      <c r="U499" s="6">
        <v>0.08</v>
      </c>
      <c r="V499">
        <f t="array" ref="V499">CORREL(IFERROR(VALUE(TRIM(CLEAN($U$2:$U$1001))),0), IFERROR(VALUE(TRIM(CLEAN($P$2:$P$1001))),0))</f>
        <v>0.23135628536430677</v>
      </c>
    </row>
    <row r="500" spans="1:22" x14ac:dyDescent="0.25">
      <c r="A500">
        <v>499</v>
      </c>
      <c r="B500" s="1">
        <v>40565</v>
      </c>
      <c r="C500">
        <v>1</v>
      </c>
      <c r="D500">
        <v>0</v>
      </c>
      <c r="E500">
        <v>1</v>
      </c>
      <c r="F500">
        <v>20</v>
      </c>
      <c r="G500" t="b">
        <v>0</v>
      </c>
      <c r="H500">
        <v>6</v>
      </c>
      <c r="I500">
        <v>1</v>
      </c>
      <c r="J500">
        <v>0.06</v>
      </c>
      <c r="K500">
        <v>7.5800000000000006E-2</v>
      </c>
      <c r="L500">
        <v>0.45</v>
      </c>
      <c r="M500">
        <v>0.16420000000000001</v>
      </c>
      <c r="N500">
        <v>1</v>
      </c>
      <c r="O500">
        <v>44</v>
      </c>
      <c r="P500">
        <v>45</v>
      </c>
      <c r="Q500" t="str">
        <f t="shared" si="31"/>
        <v>Weekday</v>
      </c>
      <c r="R500" t="str">
        <f t="shared" si="28"/>
        <v>Clear</v>
      </c>
      <c r="S500">
        <f t="shared" si="29"/>
        <v>-0.25435329828790432</v>
      </c>
      <c r="T500">
        <f t="shared" si="30"/>
        <v>0.10399668008577614</v>
      </c>
      <c r="U500" s="6">
        <v>0.06</v>
      </c>
      <c r="V500">
        <f t="array" ref="V500">CORREL(IFERROR(VALUE(TRIM(CLEAN($U$2:$U$1001))),0), IFERROR(VALUE(TRIM(CLEAN($P$2:$P$1001))),0))</f>
        <v>0.23135628536430677</v>
      </c>
    </row>
    <row r="501" spans="1:22" x14ac:dyDescent="0.25">
      <c r="A501">
        <v>500</v>
      </c>
      <c r="B501" s="1">
        <v>40565</v>
      </c>
      <c r="C501">
        <v>1</v>
      </c>
      <c r="D501">
        <v>0</v>
      </c>
      <c r="E501">
        <v>1</v>
      </c>
      <c r="F501">
        <v>21</v>
      </c>
      <c r="G501" t="b">
        <v>0</v>
      </c>
      <c r="H501">
        <v>6</v>
      </c>
      <c r="I501">
        <v>1</v>
      </c>
      <c r="J501">
        <v>0.06</v>
      </c>
      <c r="K501">
        <v>0.1061</v>
      </c>
      <c r="L501">
        <v>0.41</v>
      </c>
      <c r="M501">
        <v>8.9599999999999999E-2</v>
      </c>
      <c r="N501">
        <v>0</v>
      </c>
      <c r="O501">
        <v>39</v>
      </c>
      <c r="P501">
        <v>39</v>
      </c>
      <c r="Q501" t="str">
        <f t="shared" si="31"/>
        <v>Weekday</v>
      </c>
      <c r="R501" t="str">
        <f t="shared" si="28"/>
        <v>Clear</v>
      </c>
      <c r="S501">
        <f t="shared" si="29"/>
        <v>-0.25435329828790432</v>
      </c>
      <c r="T501">
        <f t="shared" si="30"/>
        <v>0.10399668008577614</v>
      </c>
      <c r="U501" s="6">
        <v>0.06</v>
      </c>
      <c r="V501">
        <f t="array" ref="V501">CORREL(IFERROR(VALUE(TRIM(CLEAN($U$2:$U$1001))),0), IFERROR(VALUE(TRIM(CLEAN($P$2:$P$1001))),0))</f>
        <v>0.23135628536430677</v>
      </c>
    </row>
    <row r="502" spans="1:22" x14ac:dyDescent="0.25">
      <c r="A502">
        <v>501</v>
      </c>
      <c r="B502" s="1">
        <v>40565</v>
      </c>
      <c r="C502">
        <v>1</v>
      </c>
      <c r="D502">
        <v>0</v>
      </c>
      <c r="E502">
        <v>1</v>
      </c>
      <c r="F502">
        <v>22</v>
      </c>
      <c r="G502" t="b">
        <v>0</v>
      </c>
      <c r="H502">
        <v>6</v>
      </c>
      <c r="I502">
        <v>1</v>
      </c>
      <c r="J502">
        <v>0.06</v>
      </c>
      <c r="K502">
        <v>0.1515</v>
      </c>
      <c r="L502">
        <v>0.49</v>
      </c>
      <c r="M502">
        <v>0</v>
      </c>
      <c r="N502">
        <v>7</v>
      </c>
      <c r="O502">
        <v>23</v>
      </c>
      <c r="P502">
        <v>30</v>
      </c>
      <c r="Q502" t="str">
        <f t="shared" si="31"/>
        <v>Weekday</v>
      </c>
      <c r="R502" t="str">
        <f t="shared" si="28"/>
        <v>Clear</v>
      </c>
      <c r="S502">
        <f t="shared" si="29"/>
        <v>-0.25435329828790432</v>
      </c>
      <c r="T502">
        <f t="shared" si="30"/>
        <v>0.10399668008577614</v>
      </c>
      <c r="U502" s="6">
        <v>0.06</v>
      </c>
      <c r="V502">
        <f t="array" ref="V502">CORREL(IFERROR(VALUE(TRIM(CLEAN($U$2:$U$1001))),0), IFERROR(VALUE(TRIM(CLEAN($P$2:$P$1001))),0))</f>
        <v>0.23135628536430677</v>
      </c>
    </row>
    <row r="503" spans="1:22" x14ac:dyDescent="0.25">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c r="Q503" t="str">
        <f t="shared" si="31"/>
        <v>Weekday</v>
      </c>
      <c r="R503" t="str">
        <f t="shared" si="28"/>
        <v>Clear</v>
      </c>
      <c r="S503">
        <f t="shared" si="29"/>
        <v>-0.25435329828790432</v>
      </c>
      <c r="T503">
        <f t="shared" si="30"/>
        <v>0.10399668008577614</v>
      </c>
      <c r="U503" s="6">
        <v>0.04</v>
      </c>
      <c r="V503">
        <f t="array" ref="V503">CORREL(IFERROR(VALUE(TRIM(CLEAN($U$2:$U$1001))),0), IFERROR(VALUE(TRIM(CLEAN($P$2:$P$1001))),0))</f>
        <v>0.23135628536430677</v>
      </c>
    </row>
    <row r="504" spans="1:22" x14ac:dyDescent="0.25">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c r="Q504" t="str">
        <f t="shared" si="31"/>
        <v>Weekday</v>
      </c>
      <c r="R504" t="str">
        <f t="shared" si="28"/>
        <v>Clear</v>
      </c>
      <c r="S504">
        <f t="shared" si="29"/>
        <v>-0.25435329828790432</v>
      </c>
      <c r="T504">
        <f t="shared" si="30"/>
        <v>0.10399668008577614</v>
      </c>
      <c r="U504" s="6">
        <v>0.04</v>
      </c>
      <c r="V504">
        <f t="array" ref="V504">CORREL(IFERROR(VALUE(TRIM(CLEAN($U$2:$U$1001))),0), IFERROR(VALUE(TRIM(CLEAN($P$2:$P$1001))),0))</f>
        <v>0.23135628536430677</v>
      </c>
    </row>
    <row r="505" spans="1:22" x14ac:dyDescent="0.25">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c r="Q505" t="str">
        <f t="shared" si="31"/>
        <v>Weekend</v>
      </c>
      <c r="R505" t="str">
        <f t="shared" si="28"/>
        <v>Clear</v>
      </c>
      <c r="S505">
        <f t="shared" si="29"/>
        <v>-0.25435329828790432</v>
      </c>
      <c r="T505">
        <f t="shared" si="30"/>
        <v>0.10399668008577614</v>
      </c>
      <c r="U505" s="6">
        <v>0.04</v>
      </c>
      <c r="V505">
        <f t="array" ref="V505">CORREL(IFERROR(VALUE(TRIM(CLEAN($U$2:$U$1001))),0), IFERROR(VALUE(TRIM(CLEAN($P$2:$P$1001))),0))</f>
        <v>0.23135628536430677</v>
      </c>
    </row>
    <row r="506" spans="1:22" x14ac:dyDescent="0.25">
      <c r="A506">
        <v>505</v>
      </c>
      <c r="B506" s="1">
        <v>40566</v>
      </c>
      <c r="C506">
        <v>1</v>
      </c>
      <c r="D506">
        <v>0</v>
      </c>
      <c r="E506">
        <v>1</v>
      </c>
      <c r="F506">
        <v>2</v>
      </c>
      <c r="G506" t="b">
        <v>0</v>
      </c>
      <c r="H506">
        <v>0</v>
      </c>
      <c r="I506">
        <v>1</v>
      </c>
      <c r="J506">
        <v>0.02</v>
      </c>
      <c r="K506">
        <v>6.0600000000000001E-2</v>
      </c>
      <c r="L506">
        <v>0.62</v>
      </c>
      <c r="M506">
        <v>0.1343</v>
      </c>
      <c r="N506">
        <v>3</v>
      </c>
      <c r="O506">
        <v>15</v>
      </c>
      <c r="P506">
        <v>18</v>
      </c>
      <c r="Q506" t="str">
        <f t="shared" si="31"/>
        <v>Weekend</v>
      </c>
      <c r="R506" t="str">
        <f t="shared" si="28"/>
        <v>Clear</v>
      </c>
      <c r="S506">
        <f t="shared" si="29"/>
        <v>-0.25435329828790432</v>
      </c>
      <c r="T506">
        <f t="shared" si="30"/>
        <v>0.10399668008577614</v>
      </c>
      <c r="U506" s="6">
        <v>0.02</v>
      </c>
      <c r="V506">
        <f t="array" ref="V506">CORREL(IFERROR(VALUE(TRIM(CLEAN($U$2:$U$1001))),0), IFERROR(VALUE(TRIM(CLEAN($P$2:$P$1001))),0))</f>
        <v>0.23135628536430677</v>
      </c>
    </row>
    <row r="507" spans="1:22" x14ac:dyDescent="0.25">
      <c r="A507">
        <v>506</v>
      </c>
      <c r="B507" s="1">
        <v>40566</v>
      </c>
      <c r="C507">
        <v>1</v>
      </c>
      <c r="D507">
        <v>0</v>
      </c>
      <c r="E507">
        <v>1</v>
      </c>
      <c r="F507">
        <v>3</v>
      </c>
      <c r="G507" t="b">
        <v>0</v>
      </c>
      <c r="H507">
        <v>0</v>
      </c>
      <c r="I507">
        <v>1</v>
      </c>
      <c r="J507">
        <v>0.02</v>
      </c>
      <c r="K507">
        <v>6.0600000000000001E-2</v>
      </c>
      <c r="L507">
        <v>0.62</v>
      </c>
      <c r="M507">
        <v>0.1343</v>
      </c>
      <c r="N507">
        <v>1</v>
      </c>
      <c r="O507">
        <v>4</v>
      </c>
      <c r="P507">
        <v>5</v>
      </c>
      <c r="Q507" t="str">
        <f t="shared" si="31"/>
        <v>Weekday</v>
      </c>
      <c r="R507" t="str">
        <f t="shared" si="28"/>
        <v>Clear</v>
      </c>
      <c r="S507">
        <f t="shared" si="29"/>
        <v>-0.25435329828790432</v>
      </c>
      <c r="T507">
        <f t="shared" si="30"/>
        <v>0.10399668008577614</v>
      </c>
      <c r="U507" s="6">
        <v>0.02</v>
      </c>
      <c r="V507">
        <f t="array" ref="V507">CORREL(IFERROR(VALUE(TRIM(CLEAN($U$2:$U$1001))),0), IFERROR(VALUE(TRIM(CLEAN($P$2:$P$1001))),0))</f>
        <v>0.23135628536430677</v>
      </c>
    </row>
    <row r="508" spans="1:22" x14ac:dyDescent="0.25">
      <c r="A508">
        <v>507</v>
      </c>
      <c r="B508" s="1">
        <v>40566</v>
      </c>
      <c r="C508">
        <v>1</v>
      </c>
      <c r="D508">
        <v>0</v>
      </c>
      <c r="E508">
        <v>1</v>
      </c>
      <c r="F508">
        <v>5</v>
      </c>
      <c r="G508" t="b">
        <v>0</v>
      </c>
      <c r="H508">
        <v>0</v>
      </c>
      <c r="I508">
        <v>2</v>
      </c>
      <c r="J508">
        <v>0.04</v>
      </c>
      <c r="K508">
        <v>7.5800000000000006E-2</v>
      </c>
      <c r="L508">
        <v>0.56999999999999995</v>
      </c>
      <c r="M508">
        <v>0.1045</v>
      </c>
      <c r="N508">
        <v>0</v>
      </c>
      <c r="O508">
        <v>3</v>
      </c>
      <c r="P508">
        <v>3</v>
      </c>
      <c r="Q508" t="str">
        <f t="shared" si="31"/>
        <v>Weekday</v>
      </c>
      <c r="R508" t="str">
        <f t="shared" si="28"/>
        <v>Mist/Cloudy</v>
      </c>
      <c r="S508">
        <f t="shared" si="29"/>
        <v>-0.25435329828790432</v>
      </c>
      <c r="T508">
        <f t="shared" si="30"/>
        <v>0.10399668008577614</v>
      </c>
      <c r="U508" s="6">
        <v>0.04</v>
      </c>
      <c r="V508">
        <f t="array" ref="V508">CORREL(IFERROR(VALUE(TRIM(CLEAN($U$2:$U$1001))),0), IFERROR(VALUE(TRIM(CLEAN($P$2:$P$1001))),0))</f>
        <v>0.23135628536430677</v>
      </c>
    </row>
    <row r="509" spans="1:22" x14ac:dyDescent="0.25">
      <c r="A509">
        <v>508</v>
      </c>
      <c r="B509" s="1">
        <v>40566</v>
      </c>
      <c r="C509">
        <v>1</v>
      </c>
      <c r="D509">
        <v>0</v>
      </c>
      <c r="E509">
        <v>1</v>
      </c>
      <c r="F509">
        <v>6</v>
      </c>
      <c r="G509" t="b">
        <v>0</v>
      </c>
      <c r="H509">
        <v>0</v>
      </c>
      <c r="I509">
        <v>2</v>
      </c>
      <c r="J509">
        <v>0.04</v>
      </c>
      <c r="K509">
        <v>7.5800000000000006E-2</v>
      </c>
      <c r="L509">
        <v>0.56999999999999995</v>
      </c>
      <c r="M509">
        <v>0.1045</v>
      </c>
      <c r="N509">
        <v>0</v>
      </c>
      <c r="O509">
        <v>1</v>
      </c>
      <c r="P509">
        <v>1</v>
      </c>
      <c r="Q509" t="str">
        <f t="shared" si="31"/>
        <v>Weekday</v>
      </c>
      <c r="R509" t="str">
        <f t="shared" si="28"/>
        <v>Mist/Cloudy</v>
      </c>
      <c r="S509">
        <f t="shared" si="29"/>
        <v>-0.25435329828790432</v>
      </c>
      <c r="T509">
        <f t="shared" si="30"/>
        <v>0.10399668008577614</v>
      </c>
      <c r="U509" s="6">
        <v>0.04</v>
      </c>
      <c r="V509">
        <f t="array" ref="V509">CORREL(IFERROR(VALUE(TRIM(CLEAN($U$2:$U$1001))),0), IFERROR(VALUE(TRIM(CLEAN($P$2:$P$1001))),0))</f>
        <v>0.23135628536430677</v>
      </c>
    </row>
    <row r="510" spans="1:22" x14ac:dyDescent="0.25">
      <c r="A510">
        <v>509</v>
      </c>
      <c r="B510" s="1">
        <v>40566</v>
      </c>
      <c r="C510">
        <v>1</v>
      </c>
      <c r="D510">
        <v>0</v>
      </c>
      <c r="E510">
        <v>1</v>
      </c>
      <c r="F510">
        <v>7</v>
      </c>
      <c r="G510" t="b">
        <v>0</v>
      </c>
      <c r="H510">
        <v>0</v>
      </c>
      <c r="I510">
        <v>1</v>
      </c>
      <c r="J510">
        <v>0.08</v>
      </c>
      <c r="K510">
        <v>0.1061</v>
      </c>
      <c r="L510">
        <v>0.57999999999999996</v>
      </c>
      <c r="M510">
        <v>0.16420000000000001</v>
      </c>
      <c r="N510">
        <v>1</v>
      </c>
      <c r="O510">
        <v>1</v>
      </c>
      <c r="P510">
        <v>2</v>
      </c>
      <c r="Q510" t="str">
        <f t="shared" si="31"/>
        <v>Weekday</v>
      </c>
      <c r="R510" t="str">
        <f t="shared" si="28"/>
        <v>Clear</v>
      </c>
      <c r="S510">
        <f t="shared" si="29"/>
        <v>-0.25435329828790432</v>
      </c>
      <c r="T510">
        <f t="shared" si="30"/>
        <v>0.10399668008577614</v>
      </c>
      <c r="U510" s="6">
        <v>0.08</v>
      </c>
      <c r="V510">
        <f t="array" ref="V510">CORREL(IFERROR(VALUE(TRIM(CLEAN($U$2:$U$1001))),0), IFERROR(VALUE(TRIM(CLEAN($P$2:$P$1001))),0))</f>
        <v>0.23135628536430677</v>
      </c>
    </row>
    <row r="511" spans="1:22" x14ac:dyDescent="0.25">
      <c r="A511">
        <v>510</v>
      </c>
      <c r="B511" s="1">
        <v>40566</v>
      </c>
      <c r="C511">
        <v>1</v>
      </c>
      <c r="D511">
        <v>0</v>
      </c>
      <c r="E511">
        <v>1</v>
      </c>
      <c r="F511">
        <v>8</v>
      </c>
      <c r="G511" t="b">
        <v>0</v>
      </c>
      <c r="H511">
        <v>0</v>
      </c>
      <c r="I511">
        <v>1</v>
      </c>
      <c r="J511">
        <v>0.06</v>
      </c>
      <c r="K511">
        <v>7.5800000000000006E-2</v>
      </c>
      <c r="L511">
        <v>0.62</v>
      </c>
      <c r="M511">
        <v>0.16420000000000001</v>
      </c>
      <c r="N511">
        <v>2</v>
      </c>
      <c r="O511">
        <v>17</v>
      </c>
      <c r="P511">
        <v>19</v>
      </c>
      <c r="Q511" t="str">
        <f t="shared" si="31"/>
        <v>Weekday</v>
      </c>
      <c r="R511" t="str">
        <f t="shared" si="28"/>
        <v>Clear</v>
      </c>
      <c r="S511">
        <f t="shared" si="29"/>
        <v>-0.25435329828790432</v>
      </c>
      <c r="T511">
        <f t="shared" si="30"/>
        <v>0.10399668008577614</v>
      </c>
      <c r="U511" s="6">
        <v>0.06</v>
      </c>
      <c r="V511">
        <f t="array" ref="V511">CORREL(IFERROR(VALUE(TRIM(CLEAN($U$2:$U$1001))),0), IFERROR(VALUE(TRIM(CLEAN($P$2:$P$1001))),0))</f>
        <v>0.23135628536430677</v>
      </c>
    </row>
    <row r="512" spans="1:22" x14ac:dyDescent="0.25">
      <c r="A512">
        <v>511</v>
      </c>
      <c r="B512" s="1">
        <v>40566</v>
      </c>
      <c r="C512">
        <v>1</v>
      </c>
      <c r="D512">
        <v>0</v>
      </c>
      <c r="E512">
        <v>1</v>
      </c>
      <c r="F512">
        <v>9</v>
      </c>
      <c r="G512" t="b">
        <v>0</v>
      </c>
      <c r="H512">
        <v>0</v>
      </c>
      <c r="I512">
        <v>1</v>
      </c>
      <c r="J512">
        <v>0.1</v>
      </c>
      <c r="K512">
        <v>7.5800000000000006E-2</v>
      </c>
      <c r="L512">
        <v>0.54</v>
      </c>
      <c r="M512">
        <v>0.35820000000000002</v>
      </c>
      <c r="N512">
        <v>3</v>
      </c>
      <c r="O512">
        <v>25</v>
      </c>
      <c r="P512">
        <v>28</v>
      </c>
      <c r="Q512" t="str">
        <f t="shared" si="31"/>
        <v>Weekend</v>
      </c>
      <c r="R512" t="str">
        <f t="shared" si="28"/>
        <v>Clear</v>
      </c>
      <c r="S512">
        <f t="shared" si="29"/>
        <v>-0.25435329828790432</v>
      </c>
      <c r="T512">
        <f t="shared" si="30"/>
        <v>0.10399668008577614</v>
      </c>
      <c r="U512" s="6">
        <v>0.1</v>
      </c>
      <c r="V512">
        <f t="array" ref="V512">CORREL(IFERROR(VALUE(TRIM(CLEAN($U$2:$U$1001))),0), IFERROR(VALUE(TRIM(CLEAN($P$2:$P$1001))),0))</f>
        <v>0.23135628536430677</v>
      </c>
    </row>
    <row r="513" spans="1:22" x14ac:dyDescent="0.25">
      <c r="A513">
        <v>512</v>
      </c>
      <c r="B513" s="1">
        <v>40566</v>
      </c>
      <c r="C513">
        <v>1</v>
      </c>
      <c r="D513">
        <v>0</v>
      </c>
      <c r="E513">
        <v>1</v>
      </c>
      <c r="F513">
        <v>10</v>
      </c>
      <c r="G513" t="b">
        <v>0</v>
      </c>
      <c r="H513">
        <v>0</v>
      </c>
      <c r="I513">
        <v>1</v>
      </c>
      <c r="J513">
        <v>0.14000000000000001</v>
      </c>
      <c r="K513">
        <v>0.1061</v>
      </c>
      <c r="L513">
        <v>0.46</v>
      </c>
      <c r="M513">
        <v>0.3881</v>
      </c>
      <c r="N513">
        <v>7</v>
      </c>
      <c r="O513">
        <v>51</v>
      </c>
      <c r="P513">
        <v>58</v>
      </c>
      <c r="Q513" t="str">
        <f t="shared" si="31"/>
        <v>Weekend</v>
      </c>
      <c r="R513" t="str">
        <f t="shared" si="28"/>
        <v>Clear</v>
      </c>
      <c r="S513">
        <f t="shared" si="29"/>
        <v>-0.25435329828790432</v>
      </c>
      <c r="T513">
        <f t="shared" si="30"/>
        <v>0.10399668008577614</v>
      </c>
      <c r="U513" s="6">
        <v>0.14000000000000001</v>
      </c>
      <c r="V513">
        <f t="array" ref="V513">CORREL(IFERROR(VALUE(TRIM(CLEAN($U$2:$U$1001))),0), IFERROR(VALUE(TRIM(CLEAN($P$2:$P$1001))),0))</f>
        <v>0.23135628536430677</v>
      </c>
    </row>
    <row r="514" spans="1:22" x14ac:dyDescent="0.25">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c r="Q514" t="str">
        <f t="shared" si="31"/>
        <v>Weekday</v>
      </c>
      <c r="R514" t="str">
        <f t="shared" ref="R514:R577" si="32">IF(I514=1, "Clear", IF(I514=2, "Mist/Cloudy", IF(I514=3, "Light Snow/Rain", "Heavy Rain")))</f>
        <v>Clear</v>
      </c>
      <c r="S514">
        <f t="shared" ref="S514:S577" si="33">CORREL($L$2:$L$1001, $P$2:$P$1001)</f>
        <v>-0.25435329828790432</v>
      </c>
      <c r="T514">
        <f t="shared" ref="T514:T577" si="34">CORREL($M$2:$M$1001, $P$2:$P$1001)</f>
        <v>0.10399668008577614</v>
      </c>
      <c r="U514" s="6">
        <v>0.14000000000000001</v>
      </c>
      <c r="V514">
        <f t="array" ref="V514">CORREL(IFERROR(VALUE(TRIM(CLEAN($U$2:$U$1001))),0), IFERROR(VALUE(TRIM(CLEAN($P$2:$P$1001))),0))</f>
        <v>0.23135628536430677</v>
      </c>
    </row>
    <row r="515" spans="1:22" x14ac:dyDescent="0.25">
      <c r="A515">
        <v>514</v>
      </c>
      <c r="B515" s="1">
        <v>40566</v>
      </c>
      <c r="C515">
        <v>1</v>
      </c>
      <c r="D515">
        <v>0</v>
      </c>
      <c r="E515">
        <v>1</v>
      </c>
      <c r="F515">
        <v>12</v>
      </c>
      <c r="G515" t="b">
        <v>0</v>
      </c>
      <c r="H515">
        <v>0</v>
      </c>
      <c r="I515">
        <v>1</v>
      </c>
      <c r="J515">
        <v>0.16</v>
      </c>
      <c r="K515">
        <v>0.1212</v>
      </c>
      <c r="L515">
        <v>0.37</v>
      </c>
      <c r="M515">
        <v>0.4627</v>
      </c>
      <c r="N515">
        <v>24</v>
      </c>
      <c r="O515">
        <v>92</v>
      </c>
      <c r="P515">
        <v>116</v>
      </c>
      <c r="Q515" t="str">
        <f t="shared" ref="Q515:Q578" si="35">IF(WEEKDAY(A515,2)&gt;5,"Weekend","Weekday")</f>
        <v>Weekday</v>
      </c>
      <c r="R515" t="str">
        <f t="shared" si="32"/>
        <v>Clear</v>
      </c>
      <c r="S515">
        <f t="shared" si="33"/>
        <v>-0.25435329828790432</v>
      </c>
      <c r="T515">
        <f t="shared" si="34"/>
        <v>0.10399668008577614</v>
      </c>
      <c r="U515" s="6">
        <v>0.16</v>
      </c>
      <c r="V515">
        <f t="array" ref="V515">CORREL(IFERROR(VALUE(TRIM(CLEAN($U$2:$U$1001))),0), IFERROR(VALUE(TRIM(CLEAN($P$2:$P$1001))),0))</f>
        <v>0.23135628536430677</v>
      </c>
    </row>
    <row r="516" spans="1:22" x14ac:dyDescent="0.25">
      <c r="A516">
        <v>515</v>
      </c>
      <c r="B516" s="1">
        <v>40566</v>
      </c>
      <c r="C516">
        <v>1</v>
      </c>
      <c r="D516">
        <v>0</v>
      </c>
      <c r="E516">
        <v>1</v>
      </c>
      <c r="F516">
        <v>13</v>
      </c>
      <c r="G516" t="b">
        <v>0</v>
      </c>
      <c r="H516">
        <v>0</v>
      </c>
      <c r="I516">
        <v>1</v>
      </c>
      <c r="J516">
        <v>0.14000000000000001</v>
      </c>
      <c r="K516">
        <v>0.1061</v>
      </c>
      <c r="L516">
        <v>0.33</v>
      </c>
      <c r="M516">
        <v>0.3881</v>
      </c>
      <c r="N516">
        <v>12</v>
      </c>
      <c r="O516">
        <v>75</v>
      </c>
      <c r="P516">
        <v>87</v>
      </c>
      <c r="Q516" t="str">
        <f t="shared" si="35"/>
        <v>Weekday</v>
      </c>
      <c r="R516" t="str">
        <f t="shared" si="32"/>
        <v>Clear</v>
      </c>
      <c r="S516">
        <f t="shared" si="33"/>
        <v>-0.25435329828790432</v>
      </c>
      <c r="T516">
        <f t="shared" si="34"/>
        <v>0.10399668008577614</v>
      </c>
      <c r="U516" s="6">
        <v>0.14000000000000001</v>
      </c>
      <c r="V516">
        <f t="array" ref="V516">CORREL(IFERROR(VALUE(TRIM(CLEAN($U$2:$U$1001))),0), IFERROR(VALUE(TRIM(CLEAN($P$2:$P$1001))),0))</f>
        <v>0.23135628536430677</v>
      </c>
    </row>
    <row r="517" spans="1:22" x14ac:dyDescent="0.25">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c r="Q517" t="str">
        <f t="shared" si="35"/>
        <v>Weekday</v>
      </c>
      <c r="R517" t="str">
        <f t="shared" si="32"/>
        <v>Clear</v>
      </c>
      <c r="S517">
        <f t="shared" si="33"/>
        <v>-0.25435329828790432</v>
      </c>
      <c r="T517">
        <f t="shared" si="34"/>
        <v>0.10399668008577614</v>
      </c>
      <c r="U517" s="6">
        <v>0.16</v>
      </c>
      <c r="V517">
        <f t="array" ref="V517">CORREL(IFERROR(VALUE(TRIM(CLEAN($U$2:$U$1001))),0), IFERROR(VALUE(TRIM(CLEAN($P$2:$P$1001))),0))</f>
        <v>0.23135628536430677</v>
      </c>
    </row>
    <row r="518" spans="1:22" x14ac:dyDescent="0.25">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c r="Q518" t="str">
        <f t="shared" si="35"/>
        <v>Weekday</v>
      </c>
      <c r="R518" t="str">
        <f t="shared" si="32"/>
        <v>Clear</v>
      </c>
      <c r="S518">
        <f t="shared" si="33"/>
        <v>-0.25435329828790432</v>
      </c>
      <c r="T518">
        <f t="shared" si="34"/>
        <v>0.10399668008577614</v>
      </c>
      <c r="U518" s="6">
        <v>0.16</v>
      </c>
      <c r="V518">
        <f t="array" ref="V518">CORREL(IFERROR(VALUE(TRIM(CLEAN($U$2:$U$1001))),0), IFERROR(VALUE(TRIM(CLEAN($P$2:$P$1001))),0))</f>
        <v>0.23135628536430677</v>
      </c>
    </row>
    <row r="519" spans="1:22" x14ac:dyDescent="0.25">
      <c r="A519">
        <v>518</v>
      </c>
      <c r="B519" s="1">
        <v>40566</v>
      </c>
      <c r="C519">
        <v>1</v>
      </c>
      <c r="D519">
        <v>0</v>
      </c>
      <c r="E519">
        <v>1</v>
      </c>
      <c r="F519">
        <v>16</v>
      </c>
      <c r="G519" t="b">
        <v>0</v>
      </c>
      <c r="H519">
        <v>0</v>
      </c>
      <c r="I519">
        <v>1</v>
      </c>
      <c r="J519">
        <v>0.16</v>
      </c>
      <c r="K519">
        <v>0.13639999999999999</v>
      </c>
      <c r="L519">
        <v>0.26</v>
      </c>
      <c r="M519">
        <v>0.32840000000000003</v>
      </c>
      <c r="N519">
        <v>9</v>
      </c>
      <c r="O519">
        <v>56</v>
      </c>
      <c r="P519">
        <v>65</v>
      </c>
      <c r="Q519" t="str">
        <f t="shared" si="35"/>
        <v>Weekend</v>
      </c>
      <c r="R519" t="str">
        <f t="shared" si="32"/>
        <v>Clear</v>
      </c>
      <c r="S519">
        <f t="shared" si="33"/>
        <v>-0.25435329828790432</v>
      </c>
      <c r="T519">
        <f t="shared" si="34"/>
        <v>0.10399668008577614</v>
      </c>
      <c r="U519" s="6">
        <v>0.16</v>
      </c>
      <c r="V519">
        <f t="array" ref="V519">CORREL(IFERROR(VALUE(TRIM(CLEAN($U$2:$U$1001))),0), IFERROR(VALUE(TRIM(CLEAN($P$2:$P$1001))),0))</f>
        <v>0.23135628536430677</v>
      </c>
    </row>
    <row r="520" spans="1:22" x14ac:dyDescent="0.25">
      <c r="A520">
        <v>519</v>
      </c>
      <c r="B520" s="1">
        <v>40566</v>
      </c>
      <c r="C520">
        <v>1</v>
      </c>
      <c r="D520">
        <v>0</v>
      </c>
      <c r="E520">
        <v>1</v>
      </c>
      <c r="F520">
        <v>17</v>
      </c>
      <c r="G520" t="b">
        <v>0</v>
      </c>
      <c r="H520">
        <v>0</v>
      </c>
      <c r="I520">
        <v>1</v>
      </c>
      <c r="J520">
        <v>0.14000000000000001</v>
      </c>
      <c r="K520">
        <v>0.1061</v>
      </c>
      <c r="L520">
        <v>0.26</v>
      </c>
      <c r="M520">
        <v>0.3881</v>
      </c>
      <c r="N520">
        <v>5</v>
      </c>
      <c r="O520">
        <v>50</v>
      </c>
      <c r="P520">
        <v>55</v>
      </c>
      <c r="Q520" t="str">
        <f t="shared" si="35"/>
        <v>Weekend</v>
      </c>
      <c r="R520" t="str">
        <f t="shared" si="32"/>
        <v>Clear</v>
      </c>
      <c r="S520">
        <f t="shared" si="33"/>
        <v>-0.25435329828790432</v>
      </c>
      <c r="T520">
        <f t="shared" si="34"/>
        <v>0.10399668008577614</v>
      </c>
      <c r="U520" s="6">
        <v>0.14000000000000001</v>
      </c>
      <c r="V520">
        <f t="array" ref="V520">CORREL(IFERROR(VALUE(TRIM(CLEAN($U$2:$U$1001))),0), IFERROR(VALUE(TRIM(CLEAN($P$2:$P$1001))),0))</f>
        <v>0.23135628536430677</v>
      </c>
    </row>
    <row r="521" spans="1:22" x14ac:dyDescent="0.25">
      <c r="A521">
        <v>520</v>
      </c>
      <c r="B521" s="1">
        <v>40566</v>
      </c>
      <c r="C521">
        <v>1</v>
      </c>
      <c r="D521">
        <v>0</v>
      </c>
      <c r="E521">
        <v>1</v>
      </c>
      <c r="F521">
        <v>18</v>
      </c>
      <c r="G521" t="b">
        <v>0</v>
      </c>
      <c r="H521">
        <v>0</v>
      </c>
      <c r="I521">
        <v>1</v>
      </c>
      <c r="J521">
        <v>0.12</v>
      </c>
      <c r="K521">
        <v>0.1212</v>
      </c>
      <c r="L521">
        <v>0.3</v>
      </c>
      <c r="M521">
        <v>0.25369999999999998</v>
      </c>
      <c r="N521">
        <v>5</v>
      </c>
      <c r="O521">
        <v>44</v>
      </c>
      <c r="P521">
        <v>49</v>
      </c>
      <c r="Q521" t="str">
        <f t="shared" si="35"/>
        <v>Weekday</v>
      </c>
      <c r="R521" t="str">
        <f t="shared" si="32"/>
        <v>Clear</v>
      </c>
      <c r="S521">
        <f t="shared" si="33"/>
        <v>-0.25435329828790432</v>
      </c>
      <c r="T521">
        <f t="shared" si="34"/>
        <v>0.10399668008577614</v>
      </c>
      <c r="U521" s="6">
        <v>0.12</v>
      </c>
      <c r="V521">
        <f t="array" ref="V521">CORREL(IFERROR(VALUE(TRIM(CLEAN($U$2:$U$1001))),0), IFERROR(VALUE(TRIM(CLEAN($P$2:$P$1001))),0))</f>
        <v>0.23135628536430677</v>
      </c>
    </row>
    <row r="522" spans="1:22" x14ac:dyDescent="0.25">
      <c r="A522">
        <v>521</v>
      </c>
      <c r="B522" s="1">
        <v>40566</v>
      </c>
      <c r="C522">
        <v>1</v>
      </c>
      <c r="D522">
        <v>0</v>
      </c>
      <c r="E522">
        <v>1</v>
      </c>
      <c r="F522">
        <v>19</v>
      </c>
      <c r="G522" t="b">
        <v>0</v>
      </c>
      <c r="H522">
        <v>0</v>
      </c>
      <c r="I522">
        <v>1</v>
      </c>
      <c r="J522">
        <v>0.12</v>
      </c>
      <c r="K522">
        <v>0.1212</v>
      </c>
      <c r="L522">
        <v>0.3</v>
      </c>
      <c r="M522">
        <v>0.28360000000000002</v>
      </c>
      <c r="N522">
        <v>5</v>
      </c>
      <c r="O522">
        <v>45</v>
      </c>
      <c r="P522">
        <v>50</v>
      </c>
      <c r="Q522" t="str">
        <f t="shared" si="35"/>
        <v>Weekday</v>
      </c>
      <c r="R522" t="str">
        <f t="shared" si="32"/>
        <v>Clear</v>
      </c>
      <c r="S522">
        <f t="shared" si="33"/>
        <v>-0.25435329828790432</v>
      </c>
      <c r="T522">
        <f t="shared" si="34"/>
        <v>0.10399668008577614</v>
      </c>
      <c r="U522" s="6">
        <v>0.12</v>
      </c>
      <c r="V522">
        <f t="array" ref="V522">CORREL(IFERROR(VALUE(TRIM(CLEAN($U$2:$U$1001))),0), IFERROR(VALUE(TRIM(CLEAN($P$2:$P$1001))),0))</f>
        <v>0.23135628536430677</v>
      </c>
    </row>
    <row r="523" spans="1:22" x14ac:dyDescent="0.25">
      <c r="A523">
        <v>522</v>
      </c>
      <c r="B523" s="1">
        <v>40566</v>
      </c>
      <c r="C523">
        <v>1</v>
      </c>
      <c r="D523">
        <v>0</v>
      </c>
      <c r="E523">
        <v>1</v>
      </c>
      <c r="F523">
        <v>20</v>
      </c>
      <c r="G523" t="b">
        <v>0</v>
      </c>
      <c r="H523">
        <v>0</v>
      </c>
      <c r="I523">
        <v>1</v>
      </c>
      <c r="J523">
        <v>0.1</v>
      </c>
      <c r="K523">
        <v>0.1061</v>
      </c>
      <c r="L523">
        <v>0.36</v>
      </c>
      <c r="M523">
        <v>0.25369999999999998</v>
      </c>
      <c r="N523">
        <v>4</v>
      </c>
      <c r="O523">
        <v>31</v>
      </c>
      <c r="P523">
        <v>35</v>
      </c>
      <c r="Q523" t="str">
        <f t="shared" si="35"/>
        <v>Weekday</v>
      </c>
      <c r="R523" t="str">
        <f t="shared" si="32"/>
        <v>Clear</v>
      </c>
      <c r="S523">
        <f t="shared" si="33"/>
        <v>-0.25435329828790432</v>
      </c>
      <c r="T523">
        <f t="shared" si="34"/>
        <v>0.10399668008577614</v>
      </c>
      <c r="U523" s="6">
        <v>0.1</v>
      </c>
      <c r="V523">
        <f t="array" ref="V523">CORREL(IFERROR(VALUE(TRIM(CLEAN($U$2:$U$1001))),0), IFERROR(VALUE(TRIM(CLEAN($P$2:$P$1001))),0))</f>
        <v>0.23135628536430677</v>
      </c>
    </row>
    <row r="524" spans="1:22" x14ac:dyDescent="0.25">
      <c r="A524">
        <v>523</v>
      </c>
      <c r="B524" s="1">
        <v>40566</v>
      </c>
      <c r="C524">
        <v>1</v>
      </c>
      <c r="D524">
        <v>0</v>
      </c>
      <c r="E524">
        <v>1</v>
      </c>
      <c r="F524">
        <v>21</v>
      </c>
      <c r="G524" t="b">
        <v>0</v>
      </c>
      <c r="H524">
        <v>0</v>
      </c>
      <c r="I524">
        <v>1</v>
      </c>
      <c r="J524">
        <v>0.1</v>
      </c>
      <c r="K524">
        <v>0.1061</v>
      </c>
      <c r="L524">
        <v>0.36</v>
      </c>
      <c r="M524">
        <v>0.19400000000000001</v>
      </c>
      <c r="N524">
        <v>5</v>
      </c>
      <c r="O524">
        <v>20</v>
      </c>
      <c r="P524">
        <v>25</v>
      </c>
      <c r="Q524" t="str">
        <f t="shared" si="35"/>
        <v>Weekday</v>
      </c>
      <c r="R524" t="str">
        <f t="shared" si="32"/>
        <v>Clear</v>
      </c>
      <c r="S524">
        <f t="shared" si="33"/>
        <v>-0.25435329828790432</v>
      </c>
      <c r="T524">
        <f t="shared" si="34"/>
        <v>0.10399668008577614</v>
      </c>
      <c r="U524" s="6">
        <v>0.1</v>
      </c>
      <c r="V524">
        <f t="array" ref="V524">CORREL(IFERROR(VALUE(TRIM(CLEAN($U$2:$U$1001))),0), IFERROR(VALUE(TRIM(CLEAN($P$2:$P$1001))),0))</f>
        <v>0.23135628536430677</v>
      </c>
    </row>
    <row r="525" spans="1:22" x14ac:dyDescent="0.25">
      <c r="A525">
        <v>524</v>
      </c>
      <c r="B525" s="1">
        <v>40566</v>
      </c>
      <c r="C525">
        <v>1</v>
      </c>
      <c r="D525">
        <v>0</v>
      </c>
      <c r="E525">
        <v>1</v>
      </c>
      <c r="F525">
        <v>22</v>
      </c>
      <c r="G525" t="b">
        <v>0</v>
      </c>
      <c r="H525">
        <v>0</v>
      </c>
      <c r="I525">
        <v>1</v>
      </c>
      <c r="J525">
        <v>0.08</v>
      </c>
      <c r="K525">
        <v>9.0899999999999995E-2</v>
      </c>
      <c r="L525">
        <v>0.38</v>
      </c>
      <c r="M525">
        <v>0.19400000000000001</v>
      </c>
      <c r="N525">
        <v>5</v>
      </c>
      <c r="O525">
        <v>23</v>
      </c>
      <c r="P525">
        <v>28</v>
      </c>
      <c r="Q525" t="str">
        <f t="shared" si="35"/>
        <v>Weekday</v>
      </c>
      <c r="R525" t="str">
        <f t="shared" si="32"/>
        <v>Clear</v>
      </c>
      <c r="S525">
        <f t="shared" si="33"/>
        <v>-0.25435329828790432</v>
      </c>
      <c r="T525">
        <f t="shared" si="34"/>
        <v>0.10399668008577614</v>
      </c>
      <c r="U525" s="6">
        <v>0.08</v>
      </c>
      <c r="V525">
        <f t="array" ref="V525">CORREL(IFERROR(VALUE(TRIM(CLEAN($U$2:$U$1001))),0), IFERROR(VALUE(TRIM(CLEAN($P$2:$P$1001))),0))</f>
        <v>0.23135628536430677</v>
      </c>
    </row>
    <row r="526" spans="1:22" x14ac:dyDescent="0.25">
      <c r="A526">
        <v>525</v>
      </c>
      <c r="B526" s="1">
        <v>40566</v>
      </c>
      <c r="C526">
        <v>1</v>
      </c>
      <c r="D526">
        <v>0</v>
      </c>
      <c r="E526">
        <v>1</v>
      </c>
      <c r="F526">
        <v>23</v>
      </c>
      <c r="G526" t="b">
        <v>0</v>
      </c>
      <c r="H526">
        <v>0</v>
      </c>
      <c r="I526">
        <v>1</v>
      </c>
      <c r="J526">
        <v>0.06</v>
      </c>
      <c r="K526">
        <v>6.0600000000000001E-2</v>
      </c>
      <c r="L526">
        <v>0.41</v>
      </c>
      <c r="M526">
        <v>0.22389999999999999</v>
      </c>
      <c r="N526">
        <v>4</v>
      </c>
      <c r="O526">
        <v>17</v>
      </c>
      <c r="P526">
        <v>21</v>
      </c>
      <c r="Q526" t="str">
        <f t="shared" si="35"/>
        <v>Weekend</v>
      </c>
      <c r="R526" t="str">
        <f t="shared" si="32"/>
        <v>Clear</v>
      </c>
      <c r="S526">
        <f t="shared" si="33"/>
        <v>-0.25435329828790432</v>
      </c>
      <c r="T526">
        <f t="shared" si="34"/>
        <v>0.10399668008577614</v>
      </c>
      <c r="U526" s="6">
        <v>0.06</v>
      </c>
      <c r="V526">
        <f t="array" ref="V526">CORREL(IFERROR(VALUE(TRIM(CLEAN($U$2:$U$1001))),0), IFERROR(VALUE(TRIM(CLEAN($P$2:$P$1001))),0))</f>
        <v>0.23135628536430677</v>
      </c>
    </row>
    <row r="527" spans="1:22" x14ac:dyDescent="0.25">
      <c r="A527">
        <v>526</v>
      </c>
      <c r="B527" s="1">
        <v>40567</v>
      </c>
      <c r="C527">
        <v>1</v>
      </c>
      <c r="D527">
        <v>0</v>
      </c>
      <c r="E527">
        <v>1</v>
      </c>
      <c r="F527">
        <v>0</v>
      </c>
      <c r="G527" t="b">
        <v>0</v>
      </c>
      <c r="H527">
        <v>1</v>
      </c>
      <c r="I527">
        <v>1</v>
      </c>
      <c r="J527">
        <v>0.06</v>
      </c>
      <c r="K527">
        <v>6.0600000000000001E-2</v>
      </c>
      <c r="L527">
        <v>0.41</v>
      </c>
      <c r="M527">
        <v>0.19400000000000001</v>
      </c>
      <c r="N527">
        <v>0</v>
      </c>
      <c r="O527">
        <v>7</v>
      </c>
      <c r="P527">
        <v>7</v>
      </c>
      <c r="Q527" t="str">
        <f t="shared" si="35"/>
        <v>Weekend</v>
      </c>
      <c r="R527" t="str">
        <f t="shared" si="32"/>
        <v>Clear</v>
      </c>
      <c r="S527">
        <f t="shared" si="33"/>
        <v>-0.25435329828790432</v>
      </c>
      <c r="T527">
        <f t="shared" si="34"/>
        <v>0.10399668008577614</v>
      </c>
      <c r="U527" s="6">
        <v>0.06</v>
      </c>
      <c r="V527">
        <f t="array" ref="V527">CORREL(IFERROR(VALUE(TRIM(CLEAN($U$2:$U$1001))),0), IFERROR(VALUE(TRIM(CLEAN($P$2:$P$1001))),0))</f>
        <v>0.23135628536430677</v>
      </c>
    </row>
    <row r="528" spans="1:22" x14ac:dyDescent="0.25">
      <c r="A528">
        <v>527</v>
      </c>
      <c r="B528" s="1">
        <v>40567</v>
      </c>
      <c r="C528">
        <v>1</v>
      </c>
      <c r="D528">
        <v>0</v>
      </c>
      <c r="E528">
        <v>1</v>
      </c>
      <c r="F528">
        <v>1</v>
      </c>
      <c r="G528" t="b">
        <v>0</v>
      </c>
      <c r="H528">
        <v>1</v>
      </c>
      <c r="I528">
        <v>1</v>
      </c>
      <c r="J528">
        <v>0.04</v>
      </c>
      <c r="K528">
        <v>4.5499999999999999E-2</v>
      </c>
      <c r="L528">
        <v>0.45</v>
      </c>
      <c r="M528">
        <v>0.19400000000000001</v>
      </c>
      <c r="N528">
        <v>0</v>
      </c>
      <c r="O528">
        <v>1</v>
      </c>
      <c r="P528">
        <v>1</v>
      </c>
      <c r="Q528" t="str">
        <f t="shared" si="35"/>
        <v>Weekday</v>
      </c>
      <c r="R528" t="str">
        <f t="shared" si="32"/>
        <v>Clear</v>
      </c>
      <c r="S528">
        <f t="shared" si="33"/>
        <v>-0.25435329828790432</v>
      </c>
      <c r="T528">
        <f t="shared" si="34"/>
        <v>0.10399668008577614</v>
      </c>
      <c r="U528" s="6">
        <v>0.04</v>
      </c>
      <c r="V528">
        <f t="array" ref="V528">CORREL(IFERROR(VALUE(TRIM(CLEAN($U$2:$U$1001))),0), IFERROR(VALUE(TRIM(CLEAN($P$2:$P$1001))),0))</f>
        <v>0.23135628536430677</v>
      </c>
    </row>
    <row r="529" spans="1:22" x14ac:dyDescent="0.25">
      <c r="A529">
        <v>528</v>
      </c>
      <c r="B529" s="1">
        <v>40567</v>
      </c>
      <c r="C529">
        <v>1</v>
      </c>
      <c r="D529">
        <v>0</v>
      </c>
      <c r="E529">
        <v>1</v>
      </c>
      <c r="F529">
        <v>3</v>
      </c>
      <c r="G529" t="b">
        <v>0</v>
      </c>
      <c r="H529">
        <v>1</v>
      </c>
      <c r="I529">
        <v>1</v>
      </c>
      <c r="J529">
        <v>0.04</v>
      </c>
      <c r="K529">
        <v>3.0300000000000001E-2</v>
      </c>
      <c r="L529">
        <v>0.45</v>
      </c>
      <c r="M529">
        <v>0.25369999999999998</v>
      </c>
      <c r="N529">
        <v>0</v>
      </c>
      <c r="O529">
        <v>1</v>
      </c>
      <c r="P529">
        <v>1</v>
      </c>
      <c r="Q529" t="str">
        <f t="shared" si="35"/>
        <v>Weekday</v>
      </c>
      <c r="R529" t="str">
        <f t="shared" si="32"/>
        <v>Clear</v>
      </c>
      <c r="S529">
        <f t="shared" si="33"/>
        <v>-0.25435329828790432</v>
      </c>
      <c r="T529">
        <f t="shared" si="34"/>
        <v>0.10399668008577614</v>
      </c>
      <c r="U529" s="6">
        <v>0.04</v>
      </c>
      <c r="V529">
        <f t="array" ref="V529">CORREL(IFERROR(VALUE(TRIM(CLEAN($U$2:$U$1001))),0), IFERROR(VALUE(TRIM(CLEAN($P$2:$P$1001))),0))</f>
        <v>0.23135628536430677</v>
      </c>
    </row>
    <row r="530" spans="1:22" x14ac:dyDescent="0.25">
      <c r="A530">
        <v>529</v>
      </c>
      <c r="B530" s="1">
        <v>40567</v>
      </c>
      <c r="C530">
        <v>1</v>
      </c>
      <c r="D530">
        <v>0</v>
      </c>
      <c r="E530">
        <v>1</v>
      </c>
      <c r="F530">
        <v>4</v>
      </c>
      <c r="G530" t="b">
        <v>0</v>
      </c>
      <c r="H530">
        <v>1</v>
      </c>
      <c r="I530">
        <v>1</v>
      </c>
      <c r="J530">
        <v>0.02</v>
      </c>
      <c r="K530">
        <v>6.0600000000000001E-2</v>
      </c>
      <c r="L530">
        <v>0.48</v>
      </c>
      <c r="M530">
        <v>0.1343</v>
      </c>
      <c r="N530">
        <v>0</v>
      </c>
      <c r="O530">
        <v>1</v>
      </c>
      <c r="P530">
        <v>1</v>
      </c>
      <c r="Q530" t="str">
        <f t="shared" si="35"/>
        <v>Weekday</v>
      </c>
      <c r="R530" t="str">
        <f t="shared" si="32"/>
        <v>Clear</v>
      </c>
      <c r="S530">
        <f t="shared" si="33"/>
        <v>-0.25435329828790432</v>
      </c>
      <c r="T530">
        <f t="shared" si="34"/>
        <v>0.10399668008577614</v>
      </c>
      <c r="U530" s="6">
        <v>0.02</v>
      </c>
      <c r="V530">
        <f t="array" ref="V530">CORREL(IFERROR(VALUE(TRIM(CLEAN($U$2:$U$1001))),0), IFERROR(VALUE(TRIM(CLEAN($P$2:$P$1001))),0))</f>
        <v>0.23135628536430677</v>
      </c>
    </row>
    <row r="531" spans="1:22" x14ac:dyDescent="0.25">
      <c r="A531">
        <v>530</v>
      </c>
      <c r="B531" s="1">
        <v>40567</v>
      </c>
      <c r="C531">
        <v>1</v>
      </c>
      <c r="D531">
        <v>0</v>
      </c>
      <c r="E531">
        <v>1</v>
      </c>
      <c r="F531">
        <v>5</v>
      </c>
      <c r="G531" t="b">
        <v>0</v>
      </c>
      <c r="H531">
        <v>1</v>
      </c>
      <c r="I531">
        <v>1</v>
      </c>
      <c r="J531">
        <v>0.02</v>
      </c>
      <c r="K531">
        <v>6.0600000000000001E-2</v>
      </c>
      <c r="L531">
        <v>0.48</v>
      </c>
      <c r="M531">
        <v>0.1343</v>
      </c>
      <c r="N531">
        <v>0</v>
      </c>
      <c r="O531">
        <v>5</v>
      </c>
      <c r="P531">
        <v>5</v>
      </c>
      <c r="Q531" t="str">
        <f t="shared" si="35"/>
        <v>Weekday</v>
      </c>
      <c r="R531" t="str">
        <f t="shared" si="32"/>
        <v>Clear</v>
      </c>
      <c r="S531">
        <f t="shared" si="33"/>
        <v>-0.25435329828790432</v>
      </c>
      <c r="T531">
        <f t="shared" si="34"/>
        <v>0.10399668008577614</v>
      </c>
      <c r="U531" s="6">
        <v>0.02</v>
      </c>
      <c r="V531">
        <f t="array" ref="V531">CORREL(IFERROR(VALUE(TRIM(CLEAN($U$2:$U$1001))),0), IFERROR(VALUE(TRIM(CLEAN($P$2:$P$1001))),0))</f>
        <v>0.23135628536430677</v>
      </c>
    </row>
    <row r="532" spans="1:22" x14ac:dyDescent="0.25">
      <c r="A532">
        <v>531</v>
      </c>
      <c r="B532" s="1">
        <v>40567</v>
      </c>
      <c r="C532">
        <v>1</v>
      </c>
      <c r="D532">
        <v>0</v>
      </c>
      <c r="E532">
        <v>1</v>
      </c>
      <c r="F532">
        <v>6</v>
      </c>
      <c r="G532" t="b">
        <v>0</v>
      </c>
      <c r="H532">
        <v>1</v>
      </c>
      <c r="I532">
        <v>1</v>
      </c>
      <c r="J532">
        <v>0.02</v>
      </c>
      <c r="K532">
        <v>7.5800000000000006E-2</v>
      </c>
      <c r="L532">
        <v>0.48</v>
      </c>
      <c r="M532">
        <v>8.9599999999999999E-2</v>
      </c>
      <c r="N532">
        <v>0</v>
      </c>
      <c r="O532">
        <v>15</v>
      </c>
      <c r="P532">
        <v>15</v>
      </c>
      <c r="Q532" t="str">
        <f t="shared" si="35"/>
        <v>Weekday</v>
      </c>
      <c r="R532" t="str">
        <f t="shared" si="32"/>
        <v>Clear</v>
      </c>
      <c r="S532">
        <f t="shared" si="33"/>
        <v>-0.25435329828790432</v>
      </c>
      <c r="T532">
        <f t="shared" si="34"/>
        <v>0.10399668008577614</v>
      </c>
      <c r="U532" s="6">
        <v>0.02</v>
      </c>
      <c r="V532">
        <f t="array" ref="V532">CORREL(IFERROR(VALUE(TRIM(CLEAN($U$2:$U$1001))),0), IFERROR(VALUE(TRIM(CLEAN($P$2:$P$1001))),0))</f>
        <v>0.23135628536430677</v>
      </c>
    </row>
    <row r="533" spans="1:22" x14ac:dyDescent="0.25">
      <c r="A533">
        <v>532</v>
      </c>
      <c r="B533" s="1">
        <v>40567</v>
      </c>
      <c r="C533">
        <v>1</v>
      </c>
      <c r="D533">
        <v>0</v>
      </c>
      <c r="E533">
        <v>1</v>
      </c>
      <c r="F533">
        <v>7</v>
      </c>
      <c r="G533" t="b">
        <v>0</v>
      </c>
      <c r="H533">
        <v>1</v>
      </c>
      <c r="I533">
        <v>1</v>
      </c>
      <c r="J533">
        <v>0.02</v>
      </c>
      <c r="K533">
        <v>0.1212</v>
      </c>
      <c r="L533">
        <v>0.48</v>
      </c>
      <c r="M533">
        <v>0</v>
      </c>
      <c r="N533">
        <v>5</v>
      </c>
      <c r="O533">
        <v>79</v>
      </c>
      <c r="P533">
        <v>84</v>
      </c>
      <c r="Q533" t="str">
        <f t="shared" si="35"/>
        <v>Weekend</v>
      </c>
      <c r="R533" t="str">
        <f t="shared" si="32"/>
        <v>Clear</v>
      </c>
      <c r="S533">
        <f t="shared" si="33"/>
        <v>-0.25435329828790432</v>
      </c>
      <c r="T533">
        <f t="shared" si="34"/>
        <v>0.10399668008577614</v>
      </c>
      <c r="U533" s="6">
        <v>0.02</v>
      </c>
      <c r="V533">
        <f t="array" ref="V533">CORREL(IFERROR(VALUE(TRIM(CLEAN($U$2:$U$1001))),0), IFERROR(VALUE(TRIM(CLEAN($P$2:$P$1001))),0))</f>
        <v>0.23135628536430677</v>
      </c>
    </row>
    <row r="534" spans="1:22" x14ac:dyDescent="0.25">
      <c r="A534">
        <v>533</v>
      </c>
      <c r="B534" s="1">
        <v>40567</v>
      </c>
      <c r="C534">
        <v>1</v>
      </c>
      <c r="D534">
        <v>0</v>
      </c>
      <c r="E534">
        <v>1</v>
      </c>
      <c r="F534">
        <v>8</v>
      </c>
      <c r="G534" t="b">
        <v>0</v>
      </c>
      <c r="H534">
        <v>1</v>
      </c>
      <c r="I534">
        <v>1</v>
      </c>
      <c r="J534">
        <v>0.04</v>
      </c>
      <c r="K534">
        <v>0.13639999999999999</v>
      </c>
      <c r="L534">
        <v>0.49</v>
      </c>
      <c r="M534">
        <v>0</v>
      </c>
      <c r="N534">
        <v>6</v>
      </c>
      <c r="O534">
        <v>171</v>
      </c>
      <c r="P534">
        <v>177</v>
      </c>
      <c r="Q534" t="str">
        <f t="shared" si="35"/>
        <v>Weekend</v>
      </c>
      <c r="R534" t="str">
        <f t="shared" si="32"/>
        <v>Clear</v>
      </c>
      <c r="S534">
        <f t="shared" si="33"/>
        <v>-0.25435329828790432</v>
      </c>
      <c r="T534">
        <f t="shared" si="34"/>
        <v>0.10399668008577614</v>
      </c>
      <c r="U534" s="6">
        <v>0.04</v>
      </c>
      <c r="V534">
        <f t="array" ref="V534">CORREL(IFERROR(VALUE(TRIM(CLEAN($U$2:$U$1001))),0), IFERROR(VALUE(TRIM(CLEAN($P$2:$P$1001))),0))</f>
        <v>0.23135628536430677</v>
      </c>
    </row>
    <row r="535" spans="1:22" x14ac:dyDescent="0.25">
      <c r="A535">
        <v>534</v>
      </c>
      <c r="B535" s="1">
        <v>40567</v>
      </c>
      <c r="C535">
        <v>1</v>
      </c>
      <c r="D535">
        <v>0</v>
      </c>
      <c r="E535">
        <v>1</v>
      </c>
      <c r="F535">
        <v>9</v>
      </c>
      <c r="G535" t="b">
        <v>0</v>
      </c>
      <c r="H535">
        <v>1</v>
      </c>
      <c r="I535">
        <v>1</v>
      </c>
      <c r="J535">
        <v>0.06</v>
      </c>
      <c r="K535">
        <v>0.1515</v>
      </c>
      <c r="L535">
        <v>0.41</v>
      </c>
      <c r="M535">
        <v>0</v>
      </c>
      <c r="N535">
        <v>4</v>
      </c>
      <c r="O535">
        <v>98</v>
      </c>
      <c r="P535">
        <v>102</v>
      </c>
      <c r="Q535" t="str">
        <f t="shared" si="35"/>
        <v>Weekday</v>
      </c>
      <c r="R535" t="str">
        <f t="shared" si="32"/>
        <v>Clear</v>
      </c>
      <c r="S535">
        <f t="shared" si="33"/>
        <v>-0.25435329828790432</v>
      </c>
      <c r="T535">
        <f t="shared" si="34"/>
        <v>0.10399668008577614</v>
      </c>
      <c r="U535" s="6">
        <v>0.06</v>
      </c>
      <c r="V535">
        <f t="array" ref="V535">CORREL(IFERROR(VALUE(TRIM(CLEAN($U$2:$U$1001))),0), IFERROR(VALUE(TRIM(CLEAN($P$2:$P$1001))),0))</f>
        <v>0.23135628536430677</v>
      </c>
    </row>
    <row r="536" spans="1:22" x14ac:dyDescent="0.25">
      <c r="A536">
        <v>535</v>
      </c>
      <c r="B536" s="1">
        <v>40567</v>
      </c>
      <c r="C536">
        <v>1</v>
      </c>
      <c r="D536">
        <v>0</v>
      </c>
      <c r="E536">
        <v>1</v>
      </c>
      <c r="F536">
        <v>10</v>
      </c>
      <c r="G536" t="b">
        <v>0</v>
      </c>
      <c r="H536">
        <v>1</v>
      </c>
      <c r="I536">
        <v>1</v>
      </c>
      <c r="J536">
        <v>0.1</v>
      </c>
      <c r="K536">
        <v>0.13639999999999999</v>
      </c>
      <c r="L536">
        <v>0.42</v>
      </c>
      <c r="M536">
        <v>0</v>
      </c>
      <c r="N536">
        <v>6</v>
      </c>
      <c r="O536">
        <v>34</v>
      </c>
      <c r="P536">
        <v>40</v>
      </c>
      <c r="Q536" t="str">
        <f t="shared" si="35"/>
        <v>Weekday</v>
      </c>
      <c r="R536" t="str">
        <f t="shared" si="32"/>
        <v>Clear</v>
      </c>
      <c r="S536">
        <f t="shared" si="33"/>
        <v>-0.25435329828790432</v>
      </c>
      <c r="T536">
        <f t="shared" si="34"/>
        <v>0.10399668008577614</v>
      </c>
      <c r="U536" s="6">
        <v>0.1</v>
      </c>
      <c r="V536">
        <f t="array" ref="V536">CORREL(IFERROR(VALUE(TRIM(CLEAN($U$2:$U$1001))),0), IFERROR(VALUE(TRIM(CLEAN($P$2:$P$1001))),0))</f>
        <v>0.23135628536430677</v>
      </c>
    </row>
    <row r="537" spans="1:22" x14ac:dyDescent="0.25">
      <c r="A537">
        <v>536</v>
      </c>
      <c r="B537" s="1">
        <v>40567</v>
      </c>
      <c r="C537">
        <v>1</v>
      </c>
      <c r="D537">
        <v>0</v>
      </c>
      <c r="E537">
        <v>1</v>
      </c>
      <c r="F537">
        <v>11</v>
      </c>
      <c r="G537" t="b">
        <v>0</v>
      </c>
      <c r="H537">
        <v>1</v>
      </c>
      <c r="I537">
        <v>1</v>
      </c>
      <c r="J537">
        <v>0.1</v>
      </c>
      <c r="K537">
        <v>0.1212</v>
      </c>
      <c r="L537">
        <v>0.46</v>
      </c>
      <c r="M537">
        <v>0.1343</v>
      </c>
      <c r="N537">
        <v>3</v>
      </c>
      <c r="O537">
        <v>43</v>
      </c>
      <c r="P537">
        <v>46</v>
      </c>
      <c r="Q537" t="str">
        <f t="shared" si="35"/>
        <v>Weekday</v>
      </c>
      <c r="R537" t="str">
        <f t="shared" si="32"/>
        <v>Clear</v>
      </c>
      <c r="S537">
        <f t="shared" si="33"/>
        <v>-0.25435329828790432</v>
      </c>
      <c r="T537">
        <f t="shared" si="34"/>
        <v>0.10399668008577614</v>
      </c>
      <c r="U537" s="6">
        <v>0.1</v>
      </c>
      <c r="V537">
        <f t="array" ref="V537">CORREL(IFERROR(VALUE(TRIM(CLEAN($U$2:$U$1001))),0), IFERROR(VALUE(TRIM(CLEAN($P$2:$P$1001))),0))</f>
        <v>0.23135628536430677</v>
      </c>
    </row>
    <row r="538" spans="1:22" x14ac:dyDescent="0.25">
      <c r="A538">
        <v>537</v>
      </c>
      <c r="B538" s="1">
        <v>40567</v>
      </c>
      <c r="C538">
        <v>1</v>
      </c>
      <c r="D538">
        <v>0</v>
      </c>
      <c r="E538">
        <v>1</v>
      </c>
      <c r="F538">
        <v>12</v>
      </c>
      <c r="G538" t="b">
        <v>0</v>
      </c>
      <c r="H538">
        <v>1</v>
      </c>
      <c r="I538">
        <v>2</v>
      </c>
      <c r="J538">
        <v>0.12</v>
      </c>
      <c r="K538">
        <v>0.13639999999999999</v>
      </c>
      <c r="L538">
        <v>0.42</v>
      </c>
      <c r="M538">
        <v>0.19400000000000001</v>
      </c>
      <c r="N538">
        <v>11</v>
      </c>
      <c r="O538">
        <v>52</v>
      </c>
      <c r="P538">
        <v>63</v>
      </c>
      <c r="Q538" t="str">
        <f t="shared" si="35"/>
        <v>Weekday</v>
      </c>
      <c r="R538" t="str">
        <f t="shared" si="32"/>
        <v>Mist/Cloudy</v>
      </c>
      <c r="S538">
        <f t="shared" si="33"/>
        <v>-0.25435329828790432</v>
      </c>
      <c r="T538">
        <f t="shared" si="34"/>
        <v>0.10399668008577614</v>
      </c>
      <c r="U538" s="6">
        <v>0.12</v>
      </c>
      <c r="V538">
        <f t="array" ref="V538">CORREL(IFERROR(VALUE(TRIM(CLEAN($U$2:$U$1001))),0), IFERROR(VALUE(TRIM(CLEAN($P$2:$P$1001))),0))</f>
        <v>0.23135628536430677</v>
      </c>
    </row>
    <row r="539" spans="1:22" x14ac:dyDescent="0.25">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c r="Q539" t="str">
        <f t="shared" si="35"/>
        <v>Weekday</v>
      </c>
      <c r="R539" t="str">
        <f t="shared" si="32"/>
        <v>Mist/Cloudy</v>
      </c>
      <c r="S539">
        <f t="shared" si="33"/>
        <v>-0.25435329828790432</v>
      </c>
      <c r="T539">
        <f t="shared" si="34"/>
        <v>0.10399668008577614</v>
      </c>
      <c r="U539" s="6">
        <v>0.14000000000000001</v>
      </c>
      <c r="V539">
        <f t="array" ref="V539">CORREL(IFERROR(VALUE(TRIM(CLEAN($U$2:$U$1001))),0), IFERROR(VALUE(TRIM(CLEAN($P$2:$P$1001))),0))</f>
        <v>0.23135628536430677</v>
      </c>
    </row>
    <row r="540" spans="1:22" x14ac:dyDescent="0.25">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c r="Q540" t="str">
        <f t="shared" si="35"/>
        <v>Weekend</v>
      </c>
      <c r="R540" t="str">
        <f t="shared" si="32"/>
        <v>Mist/Cloudy</v>
      </c>
      <c r="S540">
        <f t="shared" si="33"/>
        <v>-0.25435329828790432</v>
      </c>
      <c r="T540">
        <f t="shared" si="34"/>
        <v>0.10399668008577614</v>
      </c>
      <c r="U540" s="6">
        <v>0.14000000000000001</v>
      </c>
      <c r="V540">
        <f t="array" ref="V540">CORREL(IFERROR(VALUE(TRIM(CLEAN($U$2:$U$1001))),0), IFERROR(VALUE(TRIM(CLEAN($P$2:$P$1001))),0))</f>
        <v>0.23135628536430677</v>
      </c>
    </row>
    <row r="541" spans="1:22" x14ac:dyDescent="0.25">
      <c r="A541">
        <v>540</v>
      </c>
      <c r="B541" s="1">
        <v>40567</v>
      </c>
      <c r="C541">
        <v>1</v>
      </c>
      <c r="D541">
        <v>0</v>
      </c>
      <c r="E541">
        <v>1</v>
      </c>
      <c r="F541">
        <v>15</v>
      </c>
      <c r="G541" t="b">
        <v>0</v>
      </c>
      <c r="H541">
        <v>1</v>
      </c>
      <c r="I541">
        <v>1</v>
      </c>
      <c r="J541">
        <v>0.16</v>
      </c>
      <c r="K541">
        <v>0.16669999999999999</v>
      </c>
      <c r="L541">
        <v>0.4</v>
      </c>
      <c r="M541">
        <v>0.16420000000000001</v>
      </c>
      <c r="N541">
        <v>7</v>
      </c>
      <c r="O541">
        <v>50</v>
      </c>
      <c r="P541">
        <v>57</v>
      </c>
      <c r="Q541" t="str">
        <f t="shared" si="35"/>
        <v>Weekend</v>
      </c>
      <c r="R541" t="str">
        <f t="shared" si="32"/>
        <v>Clear</v>
      </c>
      <c r="S541">
        <f t="shared" si="33"/>
        <v>-0.25435329828790432</v>
      </c>
      <c r="T541">
        <f t="shared" si="34"/>
        <v>0.10399668008577614</v>
      </c>
      <c r="U541" s="6">
        <v>0.16</v>
      </c>
      <c r="V541">
        <f t="array" ref="V541">CORREL(IFERROR(VALUE(TRIM(CLEAN($U$2:$U$1001))),0), IFERROR(VALUE(TRIM(CLEAN($P$2:$P$1001))),0))</f>
        <v>0.23135628536430677</v>
      </c>
    </row>
    <row r="542" spans="1:22" x14ac:dyDescent="0.25">
      <c r="A542">
        <v>541</v>
      </c>
      <c r="B542" s="1">
        <v>40567</v>
      </c>
      <c r="C542">
        <v>1</v>
      </c>
      <c r="D542">
        <v>0</v>
      </c>
      <c r="E542">
        <v>1</v>
      </c>
      <c r="F542">
        <v>16</v>
      </c>
      <c r="G542" t="b">
        <v>0</v>
      </c>
      <c r="H542">
        <v>1</v>
      </c>
      <c r="I542">
        <v>1</v>
      </c>
      <c r="J542">
        <v>0.16</v>
      </c>
      <c r="K542">
        <v>0.1515</v>
      </c>
      <c r="L542">
        <v>0.47</v>
      </c>
      <c r="M542">
        <v>0.25369999999999998</v>
      </c>
      <c r="N542">
        <v>4</v>
      </c>
      <c r="O542">
        <v>66</v>
      </c>
      <c r="P542">
        <v>70</v>
      </c>
      <c r="Q542" t="str">
        <f t="shared" si="35"/>
        <v>Weekday</v>
      </c>
      <c r="R542" t="str">
        <f t="shared" si="32"/>
        <v>Clear</v>
      </c>
      <c r="S542">
        <f t="shared" si="33"/>
        <v>-0.25435329828790432</v>
      </c>
      <c r="T542">
        <f t="shared" si="34"/>
        <v>0.10399668008577614</v>
      </c>
      <c r="U542" s="6">
        <v>0.16</v>
      </c>
      <c r="V542">
        <f t="array" ref="V542">CORREL(IFERROR(VALUE(TRIM(CLEAN($U$2:$U$1001))),0), IFERROR(VALUE(TRIM(CLEAN($P$2:$P$1001))),0))</f>
        <v>0.23135628536430677</v>
      </c>
    </row>
    <row r="543" spans="1:22" x14ac:dyDescent="0.25">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c r="Q543" t="str">
        <f t="shared" si="35"/>
        <v>Weekday</v>
      </c>
      <c r="R543" t="str">
        <f t="shared" si="32"/>
        <v>Clear</v>
      </c>
      <c r="S543">
        <f t="shared" si="33"/>
        <v>-0.25435329828790432</v>
      </c>
      <c r="T543">
        <f t="shared" si="34"/>
        <v>0.10399668008577614</v>
      </c>
      <c r="U543" s="6">
        <v>0.14000000000000001</v>
      </c>
      <c r="V543">
        <f t="array" ref="V543">CORREL(IFERROR(VALUE(TRIM(CLEAN($U$2:$U$1001))),0), IFERROR(VALUE(TRIM(CLEAN($P$2:$P$1001))),0))</f>
        <v>0.23135628536430677</v>
      </c>
    </row>
    <row r="544" spans="1:22" x14ac:dyDescent="0.25">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c r="Q544" t="str">
        <f t="shared" si="35"/>
        <v>Weekday</v>
      </c>
      <c r="R544" t="str">
        <f t="shared" si="32"/>
        <v>Clear</v>
      </c>
      <c r="S544">
        <f t="shared" si="33"/>
        <v>-0.25435329828790432</v>
      </c>
      <c r="T544">
        <f t="shared" si="34"/>
        <v>0.10399668008577614</v>
      </c>
      <c r="U544" s="6">
        <v>0.14000000000000001</v>
      </c>
      <c r="V544">
        <f t="array" ref="V544">CORREL(IFERROR(VALUE(TRIM(CLEAN($U$2:$U$1001))),0), IFERROR(VALUE(TRIM(CLEAN($P$2:$P$1001))),0))</f>
        <v>0.23135628536430677</v>
      </c>
    </row>
    <row r="545" spans="1:22" x14ac:dyDescent="0.25">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c r="Q545" t="str">
        <f t="shared" si="35"/>
        <v>Weekday</v>
      </c>
      <c r="R545" t="str">
        <f t="shared" si="32"/>
        <v>Clear</v>
      </c>
      <c r="S545">
        <f t="shared" si="33"/>
        <v>-0.25435329828790432</v>
      </c>
      <c r="T545">
        <f t="shared" si="34"/>
        <v>0.10399668008577614</v>
      </c>
      <c r="U545" s="6">
        <v>0.14000000000000001</v>
      </c>
      <c r="V545">
        <f t="array" ref="V545">CORREL(IFERROR(VALUE(TRIM(CLEAN($U$2:$U$1001))),0), IFERROR(VALUE(TRIM(CLEAN($P$2:$P$1001))),0))</f>
        <v>0.23135628536430677</v>
      </c>
    </row>
    <row r="546" spans="1:22" x14ac:dyDescent="0.25">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c r="Q546" t="str">
        <f t="shared" si="35"/>
        <v>Weekday</v>
      </c>
      <c r="R546" t="str">
        <f t="shared" si="32"/>
        <v>Clear</v>
      </c>
      <c r="S546">
        <f t="shared" si="33"/>
        <v>-0.25435329828790432</v>
      </c>
      <c r="T546">
        <f t="shared" si="34"/>
        <v>0.10399668008577614</v>
      </c>
      <c r="U546" s="6">
        <v>0.14000000000000001</v>
      </c>
      <c r="V546">
        <f t="array" ref="V546">CORREL(IFERROR(VALUE(TRIM(CLEAN($U$2:$U$1001))),0), IFERROR(VALUE(TRIM(CLEAN($P$2:$P$1001))),0))</f>
        <v>0.23135628536430677</v>
      </c>
    </row>
    <row r="547" spans="1:22" x14ac:dyDescent="0.25">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c r="Q547" t="str">
        <f t="shared" si="35"/>
        <v>Weekend</v>
      </c>
      <c r="R547" t="str">
        <f t="shared" si="32"/>
        <v>Clear</v>
      </c>
      <c r="S547">
        <f t="shared" si="33"/>
        <v>-0.25435329828790432</v>
      </c>
      <c r="T547">
        <f t="shared" si="34"/>
        <v>0.10399668008577614</v>
      </c>
      <c r="U547" s="6">
        <v>0.14000000000000001</v>
      </c>
      <c r="V547">
        <f t="array" ref="V547">CORREL(IFERROR(VALUE(TRIM(CLEAN($U$2:$U$1001))),0), IFERROR(VALUE(TRIM(CLEAN($P$2:$P$1001))),0))</f>
        <v>0.23135628536430677</v>
      </c>
    </row>
    <row r="548" spans="1:22" x14ac:dyDescent="0.25">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c r="Q548" t="str">
        <f t="shared" si="35"/>
        <v>Weekend</v>
      </c>
      <c r="R548" t="str">
        <f t="shared" si="32"/>
        <v>Mist/Cloudy</v>
      </c>
      <c r="S548">
        <f t="shared" si="33"/>
        <v>-0.25435329828790432</v>
      </c>
      <c r="T548">
        <f t="shared" si="34"/>
        <v>0.10399668008577614</v>
      </c>
      <c r="U548" s="6">
        <v>0.14000000000000001</v>
      </c>
      <c r="V548">
        <f t="array" ref="V548">CORREL(IFERROR(VALUE(TRIM(CLEAN($U$2:$U$1001))),0), IFERROR(VALUE(TRIM(CLEAN($P$2:$P$1001))),0))</f>
        <v>0.23135628536430677</v>
      </c>
    </row>
    <row r="549" spans="1:22" x14ac:dyDescent="0.25">
      <c r="A549">
        <v>548</v>
      </c>
      <c r="B549" s="1">
        <v>40567</v>
      </c>
      <c r="C549">
        <v>1</v>
      </c>
      <c r="D549">
        <v>0</v>
      </c>
      <c r="E549">
        <v>1</v>
      </c>
      <c r="F549">
        <v>23</v>
      </c>
      <c r="G549" t="b">
        <v>0</v>
      </c>
      <c r="H549">
        <v>1</v>
      </c>
      <c r="I549">
        <v>2</v>
      </c>
      <c r="J549">
        <v>0.16</v>
      </c>
      <c r="K549">
        <v>0.1515</v>
      </c>
      <c r="L549">
        <v>0.64</v>
      </c>
      <c r="M549">
        <v>0.25369999999999998</v>
      </c>
      <c r="N549">
        <v>3</v>
      </c>
      <c r="O549">
        <v>21</v>
      </c>
      <c r="P549">
        <v>24</v>
      </c>
      <c r="Q549" t="str">
        <f t="shared" si="35"/>
        <v>Weekday</v>
      </c>
      <c r="R549" t="str">
        <f t="shared" si="32"/>
        <v>Mist/Cloudy</v>
      </c>
      <c r="S549">
        <f t="shared" si="33"/>
        <v>-0.25435329828790432</v>
      </c>
      <c r="T549">
        <f t="shared" si="34"/>
        <v>0.10399668008577614</v>
      </c>
      <c r="U549" s="6">
        <v>0.16</v>
      </c>
      <c r="V549">
        <f t="array" ref="V549">CORREL(IFERROR(VALUE(TRIM(CLEAN($U$2:$U$1001))),0), IFERROR(VALUE(TRIM(CLEAN($P$2:$P$1001))),0))</f>
        <v>0.23135628536430677</v>
      </c>
    </row>
    <row r="550" spans="1:22" x14ac:dyDescent="0.25">
      <c r="A550">
        <v>549</v>
      </c>
      <c r="B550" s="1">
        <v>40568</v>
      </c>
      <c r="C550">
        <v>1</v>
      </c>
      <c r="D550">
        <v>0</v>
      </c>
      <c r="E550">
        <v>1</v>
      </c>
      <c r="F550">
        <v>0</v>
      </c>
      <c r="G550" t="b">
        <v>0</v>
      </c>
      <c r="H550">
        <v>2</v>
      </c>
      <c r="I550">
        <v>2</v>
      </c>
      <c r="J550">
        <v>0.16</v>
      </c>
      <c r="K550">
        <v>0.13639999999999999</v>
      </c>
      <c r="L550">
        <v>0.69</v>
      </c>
      <c r="M550">
        <v>0.28360000000000002</v>
      </c>
      <c r="N550">
        <v>3</v>
      </c>
      <c r="O550">
        <v>6</v>
      </c>
      <c r="P550">
        <v>9</v>
      </c>
      <c r="Q550" t="str">
        <f t="shared" si="35"/>
        <v>Weekday</v>
      </c>
      <c r="R550" t="str">
        <f t="shared" si="32"/>
        <v>Mist/Cloudy</v>
      </c>
      <c r="S550">
        <f t="shared" si="33"/>
        <v>-0.25435329828790432</v>
      </c>
      <c r="T550">
        <f t="shared" si="34"/>
        <v>0.10399668008577614</v>
      </c>
      <c r="U550" s="6">
        <v>0.16</v>
      </c>
      <c r="V550">
        <f t="array" ref="V550">CORREL(IFERROR(VALUE(TRIM(CLEAN($U$2:$U$1001))),0), IFERROR(VALUE(TRIM(CLEAN($P$2:$P$1001))),0))</f>
        <v>0.23135628536430677</v>
      </c>
    </row>
    <row r="551" spans="1:22" x14ac:dyDescent="0.25">
      <c r="A551">
        <v>550</v>
      </c>
      <c r="B551" s="1">
        <v>40568</v>
      </c>
      <c r="C551">
        <v>1</v>
      </c>
      <c r="D551">
        <v>0</v>
      </c>
      <c r="E551">
        <v>1</v>
      </c>
      <c r="F551">
        <v>1</v>
      </c>
      <c r="G551" t="b">
        <v>0</v>
      </c>
      <c r="H551">
        <v>2</v>
      </c>
      <c r="I551">
        <v>2</v>
      </c>
      <c r="J551">
        <v>0.16</v>
      </c>
      <c r="K551">
        <v>0.16669999999999999</v>
      </c>
      <c r="L551">
        <v>0.69</v>
      </c>
      <c r="M551">
        <v>0.16420000000000001</v>
      </c>
      <c r="N551">
        <v>0</v>
      </c>
      <c r="O551">
        <v>5</v>
      </c>
      <c r="P551">
        <v>5</v>
      </c>
      <c r="Q551" t="str">
        <f t="shared" si="35"/>
        <v>Weekday</v>
      </c>
      <c r="R551" t="str">
        <f t="shared" si="32"/>
        <v>Mist/Cloudy</v>
      </c>
      <c r="S551">
        <f t="shared" si="33"/>
        <v>-0.25435329828790432</v>
      </c>
      <c r="T551">
        <f t="shared" si="34"/>
        <v>0.10399668008577614</v>
      </c>
      <c r="U551" s="6">
        <v>0.16</v>
      </c>
      <c r="V551">
        <f t="array" ref="V551">CORREL(IFERROR(VALUE(TRIM(CLEAN($U$2:$U$1001))),0), IFERROR(VALUE(TRIM(CLEAN($P$2:$P$1001))),0))</f>
        <v>0.23135628536430677</v>
      </c>
    </row>
    <row r="552" spans="1:22" x14ac:dyDescent="0.25">
      <c r="A552">
        <v>551</v>
      </c>
      <c r="B552" s="1">
        <v>40568</v>
      </c>
      <c r="C552">
        <v>1</v>
      </c>
      <c r="D552">
        <v>0</v>
      </c>
      <c r="E552">
        <v>1</v>
      </c>
      <c r="F552">
        <v>2</v>
      </c>
      <c r="G552" t="b">
        <v>0</v>
      </c>
      <c r="H552">
        <v>2</v>
      </c>
      <c r="I552">
        <v>1</v>
      </c>
      <c r="J552">
        <v>0.16</v>
      </c>
      <c r="K552">
        <v>0.1515</v>
      </c>
      <c r="L552">
        <v>0.69</v>
      </c>
      <c r="M552">
        <v>0.22389999999999999</v>
      </c>
      <c r="N552">
        <v>0</v>
      </c>
      <c r="O552">
        <v>2</v>
      </c>
      <c r="P552">
        <v>2</v>
      </c>
      <c r="Q552" t="str">
        <f t="shared" si="35"/>
        <v>Weekday</v>
      </c>
      <c r="R552" t="str">
        <f t="shared" si="32"/>
        <v>Clear</v>
      </c>
      <c r="S552">
        <f t="shared" si="33"/>
        <v>-0.25435329828790432</v>
      </c>
      <c r="T552">
        <f t="shared" si="34"/>
        <v>0.10399668008577614</v>
      </c>
      <c r="U552" s="6">
        <v>0.16</v>
      </c>
      <c r="V552">
        <f t="array" ref="V552">CORREL(IFERROR(VALUE(TRIM(CLEAN($U$2:$U$1001))),0), IFERROR(VALUE(TRIM(CLEAN($P$2:$P$1001))),0))</f>
        <v>0.23135628536430677</v>
      </c>
    </row>
    <row r="553" spans="1:22" x14ac:dyDescent="0.25">
      <c r="A553">
        <v>552</v>
      </c>
      <c r="B553" s="1">
        <v>40568</v>
      </c>
      <c r="C553">
        <v>1</v>
      </c>
      <c r="D553">
        <v>0</v>
      </c>
      <c r="E553">
        <v>1</v>
      </c>
      <c r="F553">
        <v>4</v>
      </c>
      <c r="G553" t="b">
        <v>0</v>
      </c>
      <c r="H553">
        <v>2</v>
      </c>
      <c r="I553">
        <v>1</v>
      </c>
      <c r="J553">
        <v>0.14000000000000001</v>
      </c>
      <c r="K553">
        <v>0.16669999999999999</v>
      </c>
      <c r="L553">
        <v>0.74</v>
      </c>
      <c r="M553">
        <v>0.1045</v>
      </c>
      <c r="N553">
        <v>0</v>
      </c>
      <c r="O553">
        <v>1</v>
      </c>
      <c r="P553">
        <v>1</v>
      </c>
      <c r="Q553" t="str">
        <f t="shared" si="35"/>
        <v>Weekday</v>
      </c>
      <c r="R553" t="str">
        <f t="shared" si="32"/>
        <v>Clear</v>
      </c>
      <c r="S553">
        <f t="shared" si="33"/>
        <v>-0.25435329828790432</v>
      </c>
      <c r="T553">
        <f t="shared" si="34"/>
        <v>0.10399668008577614</v>
      </c>
      <c r="U553" s="6">
        <v>0.14000000000000001</v>
      </c>
      <c r="V553">
        <f t="array" ref="V553">CORREL(IFERROR(VALUE(TRIM(CLEAN($U$2:$U$1001))),0), IFERROR(VALUE(TRIM(CLEAN($P$2:$P$1001))),0))</f>
        <v>0.23135628536430677</v>
      </c>
    </row>
    <row r="554" spans="1:22" x14ac:dyDescent="0.25">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c r="Q554" t="str">
        <f t="shared" si="35"/>
        <v>Weekend</v>
      </c>
      <c r="R554" t="str">
        <f t="shared" si="32"/>
        <v>Clear</v>
      </c>
      <c r="S554">
        <f t="shared" si="33"/>
        <v>-0.25435329828790432</v>
      </c>
      <c r="T554">
        <f t="shared" si="34"/>
        <v>0.10399668008577614</v>
      </c>
      <c r="U554" s="6">
        <v>0.14000000000000001</v>
      </c>
      <c r="V554">
        <f t="array" ref="V554">CORREL(IFERROR(VALUE(TRIM(CLEAN($U$2:$U$1001))),0), IFERROR(VALUE(TRIM(CLEAN($P$2:$P$1001))),0))</f>
        <v>0.23135628536430677</v>
      </c>
    </row>
    <row r="555" spans="1:22" x14ac:dyDescent="0.25">
      <c r="A555">
        <v>554</v>
      </c>
      <c r="B555" s="1">
        <v>40568</v>
      </c>
      <c r="C555">
        <v>1</v>
      </c>
      <c r="D555">
        <v>0</v>
      </c>
      <c r="E555">
        <v>1</v>
      </c>
      <c r="F555">
        <v>6</v>
      </c>
      <c r="G555" t="b">
        <v>0</v>
      </c>
      <c r="H555">
        <v>2</v>
      </c>
      <c r="I555">
        <v>1</v>
      </c>
      <c r="J555">
        <v>0.16</v>
      </c>
      <c r="K555">
        <v>0.18179999999999999</v>
      </c>
      <c r="L555">
        <v>0.74</v>
      </c>
      <c r="M555">
        <v>0.1045</v>
      </c>
      <c r="N555">
        <v>1</v>
      </c>
      <c r="O555">
        <v>35</v>
      </c>
      <c r="P555">
        <v>36</v>
      </c>
      <c r="Q555" t="str">
        <f t="shared" si="35"/>
        <v>Weekend</v>
      </c>
      <c r="R555" t="str">
        <f t="shared" si="32"/>
        <v>Clear</v>
      </c>
      <c r="S555">
        <f t="shared" si="33"/>
        <v>-0.25435329828790432</v>
      </c>
      <c r="T555">
        <f t="shared" si="34"/>
        <v>0.10399668008577614</v>
      </c>
      <c r="U555" s="6">
        <v>0.16</v>
      </c>
      <c r="V555">
        <f t="array" ref="V555">CORREL(IFERROR(VALUE(TRIM(CLEAN($U$2:$U$1001))),0), IFERROR(VALUE(TRIM(CLEAN($P$2:$P$1001))),0))</f>
        <v>0.23135628536430677</v>
      </c>
    </row>
    <row r="556" spans="1:22" x14ac:dyDescent="0.25">
      <c r="A556">
        <v>555</v>
      </c>
      <c r="B556" s="1">
        <v>40568</v>
      </c>
      <c r="C556">
        <v>1</v>
      </c>
      <c r="D556">
        <v>0</v>
      </c>
      <c r="E556">
        <v>1</v>
      </c>
      <c r="F556">
        <v>7</v>
      </c>
      <c r="G556" t="b">
        <v>0</v>
      </c>
      <c r="H556">
        <v>2</v>
      </c>
      <c r="I556">
        <v>1</v>
      </c>
      <c r="J556">
        <v>0.16</v>
      </c>
      <c r="K556">
        <v>0.1515</v>
      </c>
      <c r="L556">
        <v>0.74</v>
      </c>
      <c r="M556">
        <v>0.22389999999999999</v>
      </c>
      <c r="N556">
        <v>5</v>
      </c>
      <c r="O556">
        <v>103</v>
      </c>
      <c r="P556">
        <v>108</v>
      </c>
      <c r="Q556" t="str">
        <f t="shared" si="35"/>
        <v>Weekday</v>
      </c>
      <c r="R556" t="str">
        <f t="shared" si="32"/>
        <v>Clear</v>
      </c>
      <c r="S556">
        <f t="shared" si="33"/>
        <v>-0.25435329828790432</v>
      </c>
      <c r="T556">
        <f t="shared" si="34"/>
        <v>0.10399668008577614</v>
      </c>
      <c r="U556" s="6">
        <v>0.16</v>
      </c>
      <c r="V556">
        <f t="array" ref="V556">CORREL(IFERROR(VALUE(TRIM(CLEAN($U$2:$U$1001))),0), IFERROR(VALUE(TRIM(CLEAN($P$2:$P$1001))),0))</f>
        <v>0.23135628536430677</v>
      </c>
    </row>
    <row r="557" spans="1:22" x14ac:dyDescent="0.25">
      <c r="A557">
        <v>556</v>
      </c>
      <c r="B557" s="1">
        <v>40568</v>
      </c>
      <c r="C557">
        <v>1</v>
      </c>
      <c r="D557">
        <v>0</v>
      </c>
      <c r="E557">
        <v>1</v>
      </c>
      <c r="F557">
        <v>8</v>
      </c>
      <c r="G557" t="b">
        <v>0</v>
      </c>
      <c r="H557">
        <v>2</v>
      </c>
      <c r="I557">
        <v>2</v>
      </c>
      <c r="J557">
        <v>0.16</v>
      </c>
      <c r="K557">
        <v>0.18179999999999999</v>
      </c>
      <c r="L557">
        <v>0.74</v>
      </c>
      <c r="M557">
        <v>0.1343</v>
      </c>
      <c r="N557">
        <v>5</v>
      </c>
      <c r="O557">
        <v>233</v>
      </c>
      <c r="P557">
        <v>238</v>
      </c>
      <c r="Q557" t="str">
        <f t="shared" si="35"/>
        <v>Weekday</v>
      </c>
      <c r="R557" t="str">
        <f t="shared" si="32"/>
        <v>Mist/Cloudy</v>
      </c>
      <c r="S557">
        <f t="shared" si="33"/>
        <v>-0.25435329828790432</v>
      </c>
      <c r="T557">
        <f t="shared" si="34"/>
        <v>0.10399668008577614</v>
      </c>
      <c r="U557" s="6">
        <v>0.16</v>
      </c>
      <c r="V557">
        <f t="array" ref="V557">CORREL(IFERROR(VALUE(TRIM(CLEAN($U$2:$U$1001))),0), IFERROR(VALUE(TRIM(CLEAN($P$2:$P$1001))),0))</f>
        <v>0.23135628536430677</v>
      </c>
    </row>
    <row r="558" spans="1:22" x14ac:dyDescent="0.25">
      <c r="A558">
        <v>557</v>
      </c>
      <c r="B558" s="1">
        <v>40568</v>
      </c>
      <c r="C558">
        <v>1</v>
      </c>
      <c r="D558">
        <v>0</v>
      </c>
      <c r="E558">
        <v>1</v>
      </c>
      <c r="F558">
        <v>9</v>
      </c>
      <c r="G558" t="b">
        <v>0</v>
      </c>
      <c r="H558">
        <v>2</v>
      </c>
      <c r="I558">
        <v>2</v>
      </c>
      <c r="J558">
        <v>0.2</v>
      </c>
      <c r="K558">
        <v>0.2273</v>
      </c>
      <c r="L558">
        <v>0.64</v>
      </c>
      <c r="M558">
        <v>8.9599999999999999E-2</v>
      </c>
      <c r="N558">
        <v>10</v>
      </c>
      <c r="O558">
        <v>134</v>
      </c>
      <c r="P558">
        <v>144</v>
      </c>
      <c r="Q558" t="str">
        <f t="shared" si="35"/>
        <v>Weekday</v>
      </c>
      <c r="R558" t="str">
        <f t="shared" si="32"/>
        <v>Mist/Cloudy</v>
      </c>
      <c r="S558">
        <f t="shared" si="33"/>
        <v>-0.25435329828790432</v>
      </c>
      <c r="T558">
        <f t="shared" si="34"/>
        <v>0.10399668008577614</v>
      </c>
      <c r="U558" s="6">
        <v>0.2</v>
      </c>
      <c r="V558">
        <f t="array" ref="V558">CORREL(IFERROR(VALUE(TRIM(CLEAN($U$2:$U$1001))),0), IFERROR(VALUE(TRIM(CLEAN($P$2:$P$1001))),0))</f>
        <v>0.23135628536430677</v>
      </c>
    </row>
    <row r="559" spans="1:22" x14ac:dyDescent="0.25">
      <c r="A559">
        <v>558</v>
      </c>
      <c r="B559" s="1">
        <v>40568</v>
      </c>
      <c r="C559">
        <v>1</v>
      </c>
      <c r="D559">
        <v>0</v>
      </c>
      <c r="E559">
        <v>1</v>
      </c>
      <c r="F559">
        <v>10</v>
      </c>
      <c r="G559" t="b">
        <v>0</v>
      </c>
      <c r="H559">
        <v>2</v>
      </c>
      <c r="I559">
        <v>2</v>
      </c>
      <c r="J559">
        <v>0.22</v>
      </c>
      <c r="K559">
        <v>0.2424</v>
      </c>
      <c r="L559">
        <v>0.6</v>
      </c>
      <c r="M559">
        <v>0.1045</v>
      </c>
      <c r="N559">
        <v>6</v>
      </c>
      <c r="O559">
        <v>49</v>
      </c>
      <c r="P559">
        <v>55</v>
      </c>
      <c r="Q559" t="str">
        <f t="shared" si="35"/>
        <v>Weekday</v>
      </c>
      <c r="R559" t="str">
        <f t="shared" si="32"/>
        <v>Mist/Cloudy</v>
      </c>
      <c r="S559">
        <f t="shared" si="33"/>
        <v>-0.25435329828790432</v>
      </c>
      <c r="T559">
        <f t="shared" si="34"/>
        <v>0.10399668008577614</v>
      </c>
      <c r="U559" s="6">
        <v>0.22</v>
      </c>
      <c r="V559">
        <f t="array" ref="V559">CORREL(IFERROR(VALUE(TRIM(CLEAN($U$2:$U$1001))),0), IFERROR(VALUE(TRIM(CLEAN($P$2:$P$1001))),0))</f>
        <v>0.23135628536430677</v>
      </c>
    </row>
    <row r="560" spans="1:22" x14ac:dyDescent="0.25">
      <c r="A560">
        <v>559</v>
      </c>
      <c r="B560" s="1">
        <v>40568</v>
      </c>
      <c r="C560">
        <v>1</v>
      </c>
      <c r="D560">
        <v>0</v>
      </c>
      <c r="E560">
        <v>1</v>
      </c>
      <c r="F560">
        <v>11</v>
      </c>
      <c r="G560" t="b">
        <v>0</v>
      </c>
      <c r="H560">
        <v>2</v>
      </c>
      <c r="I560">
        <v>2</v>
      </c>
      <c r="J560">
        <v>0.24</v>
      </c>
      <c r="K560">
        <v>0.2424</v>
      </c>
      <c r="L560">
        <v>0.6</v>
      </c>
      <c r="M560">
        <v>0.1343</v>
      </c>
      <c r="N560">
        <v>6</v>
      </c>
      <c r="O560">
        <v>55</v>
      </c>
      <c r="P560">
        <v>61</v>
      </c>
      <c r="Q560" t="str">
        <f t="shared" si="35"/>
        <v>Weekday</v>
      </c>
      <c r="R560" t="str">
        <f t="shared" si="32"/>
        <v>Mist/Cloudy</v>
      </c>
      <c r="S560">
        <f t="shared" si="33"/>
        <v>-0.25435329828790432</v>
      </c>
      <c r="T560">
        <f t="shared" si="34"/>
        <v>0.10399668008577614</v>
      </c>
      <c r="U560" s="6">
        <v>0.24</v>
      </c>
      <c r="V560">
        <f t="array" ref="V560">CORREL(IFERROR(VALUE(TRIM(CLEAN($U$2:$U$1001))),0), IFERROR(VALUE(TRIM(CLEAN($P$2:$P$1001))),0))</f>
        <v>0.23135628536430677</v>
      </c>
    </row>
    <row r="561" spans="1:22" x14ac:dyDescent="0.25">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c r="Q561" t="str">
        <f t="shared" si="35"/>
        <v>Weekend</v>
      </c>
      <c r="R561" t="str">
        <f t="shared" si="32"/>
        <v>Mist/Cloudy</v>
      </c>
      <c r="S561">
        <f t="shared" si="33"/>
        <v>-0.25435329828790432</v>
      </c>
      <c r="T561">
        <f t="shared" si="34"/>
        <v>0.10399668008577614</v>
      </c>
      <c r="U561" s="6">
        <v>0.26</v>
      </c>
      <c r="V561">
        <f t="array" ref="V561">CORREL(IFERROR(VALUE(TRIM(CLEAN($U$2:$U$1001))),0), IFERROR(VALUE(TRIM(CLEAN($P$2:$P$1001))),0))</f>
        <v>0.23135628536430677</v>
      </c>
    </row>
    <row r="562" spans="1:22" x14ac:dyDescent="0.25">
      <c r="A562">
        <v>561</v>
      </c>
      <c r="B562" s="1">
        <v>40568</v>
      </c>
      <c r="C562">
        <v>1</v>
      </c>
      <c r="D562">
        <v>0</v>
      </c>
      <c r="E562">
        <v>1</v>
      </c>
      <c r="F562">
        <v>13</v>
      </c>
      <c r="G562" t="b">
        <v>0</v>
      </c>
      <c r="H562">
        <v>2</v>
      </c>
      <c r="I562">
        <v>2</v>
      </c>
      <c r="J562">
        <v>0.26</v>
      </c>
      <c r="K562">
        <v>0.2727</v>
      </c>
      <c r="L562">
        <v>0.56000000000000005</v>
      </c>
      <c r="M562">
        <v>0.1343</v>
      </c>
      <c r="N562">
        <v>21</v>
      </c>
      <c r="O562">
        <v>72</v>
      </c>
      <c r="P562">
        <v>93</v>
      </c>
      <c r="Q562" t="str">
        <f t="shared" si="35"/>
        <v>Weekend</v>
      </c>
      <c r="R562" t="str">
        <f t="shared" si="32"/>
        <v>Mist/Cloudy</v>
      </c>
      <c r="S562">
        <f t="shared" si="33"/>
        <v>-0.25435329828790432</v>
      </c>
      <c r="T562">
        <f t="shared" si="34"/>
        <v>0.10399668008577614</v>
      </c>
      <c r="U562" s="6">
        <v>0.26</v>
      </c>
      <c r="V562">
        <f t="array" ref="V562">CORREL(IFERROR(VALUE(TRIM(CLEAN($U$2:$U$1001))),0), IFERROR(VALUE(TRIM(CLEAN($P$2:$P$1001))),0))</f>
        <v>0.23135628536430677</v>
      </c>
    </row>
    <row r="563" spans="1:22" x14ac:dyDescent="0.25">
      <c r="A563">
        <v>562</v>
      </c>
      <c r="B563" s="1">
        <v>40568</v>
      </c>
      <c r="C563">
        <v>1</v>
      </c>
      <c r="D563">
        <v>0</v>
      </c>
      <c r="E563">
        <v>1</v>
      </c>
      <c r="F563">
        <v>14</v>
      </c>
      <c r="G563" t="b">
        <v>0</v>
      </c>
      <c r="H563">
        <v>2</v>
      </c>
      <c r="I563">
        <v>2</v>
      </c>
      <c r="J563">
        <v>0.3</v>
      </c>
      <c r="K563">
        <v>0.33329999999999999</v>
      </c>
      <c r="L563">
        <v>0.45</v>
      </c>
      <c r="M563">
        <v>0</v>
      </c>
      <c r="N563">
        <v>11</v>
      </c>
      <c r="O563">
        <v>57</v>
      </c>
      <c r="P563">
        <v>68</v>
      </c>
      <c r="Q563" t="str">
        <f t="shared" si="35"/>
        <v>Weekday</v>
      </c>
      <c r="R563" t="str">
        <f t="shared" si="32"/>
        <v>Mist/Cloudy</v>
      </c>
      <c r="S563">
        <f t="shared" si="33"/>
        <v>-0.25435329828790432</v>
      </c>
      <c r="T563">
        <f t="shared" si="34"/>
        <v>0.10399668008577614</v>
      </c>
      <c r="U563" s="6">
        <v>0.3</v>
      </c>
      <c r="V563">
        <f t="array" ref="V563">CORREL(IFERROR(VALUE(TRIM(CLEAN($U$2:$U$1001))),0), IFERROR(VALUE(TRIM(CLEAN($P$2:$P$1001))),0))</f>
        <v>0.23135628536430677</v>
      </c>
    </row>
    <row r="564" spans="1:22" x14ac:dyDescent="0.25">
      <c r="A564">
        <v>563</v>
      </c>
      <c r="B564" s="1">
        <v>40568</v>
      </c>
      <c r="C564">
        <v>1</v>
      </c>
      <c r="D564">
        <v>0</v>
      </c>
      <c r="E564">
        <v>1</v>
      </c>
      <c r="F564">
        <v>15</v>
      </c>
      <c r="G564" t="b">
        <v>0</v>
      </c>
      <c r="H564">
        <v>2</v>
      </c>
      <c r="I564">
        <v>2</v>
      </c>
      <c r="J564">
        <v>0.32</v>
      </c>
      <c r="K564">
        <v>0.34849999999999998</v>
      </c>
      <c r="L564">
        <v>0.42</v>
      </c>
      <c r="M564">
        <v>0</v>
      </c>
      <c r="N564">
        <v>21</v>
      </c>
      <c r="O564">
        <v>63</v>
      </c>
      <c r="P564">
        <v>84</v>
      </c>
      <c r="Q564" t="str">
        <f t="shared" si="35"/>
        <v>Weekday</v>
      </c>
      <c r="R564" t="str">
        <f t="shared" si="32"/>
        <v>Mist/Cloudy</v>
      </c>
      <c r="S564">
        <f t="shared" si="33"/>
        <v>-0.25435329828790432</v>
      </c>
      <c r="T564">
        <f t="shared" si="34"/>
        <v>0.10399668008577614</v>
      </c>
      <c r="U564" s="6">
        <v>0.32</v>
      </c>
      <c r="V564">
        <f t="array" ref="V564">CORREL(IFERROR(VALUE(TRIM(CLEAN($U$2:$U$1001))),0), IFERROR(VALUE(TRIM(CLEAN($P$2:$P$1001))),0))</f>
        <v>0.23135628536430677</v>
      </c>
    </row>
    <row r="565" spans="1:22" x14ac:dyDescent="0.25">
      <c r="A565">
        <v>564</v>
      </c>
      <c r="B565" s="1">
        <v>40568</v>
      </c>
      <c r="C565">
        <v>1</v>
      </c>
      <c r="D565">
        <v>0</v>
      </c>
      <c r="E565">
        <v>1</v>
      </c>
      <c r="F565">
        <v>16</v>
      </c>
      <c r="G565" t="b">
        <v>0</v>
      </c>
      <c r="H565">
        <v>2</v>
      </c>
      <c r="I565">
        <v>2</v>
      </c>
      <c r="J565">
        <v>0.32</v>
      </c>
      <c r="K565">
        <v>0.34849999999999998</v>
      </c>
      <c r="L565">
        <v>0.42</v>
      </c>
      <c r="M565">
        <v>0</v>
      </c>
      <c r="N565">
        <v>14</v>
      </c>
      <c r="O565">
        <v>102</v>
      </c>
      <c r="P565">
        <v>116</v>
      </c>
      <c r="Q565" t="str">
        <f t="shared" si="35"/>
        <v>Weekday</v>
      </c>
      <c r="R565" t="str">
        <f t="shared" si="32"/>
        <v>Mist/Cloudy</v>
      </c>
      <c r="S565">
        <f t="shared" si="33"/>
        <v>-0.25435329828790432</v>
      </c>
      <c r="T565">
        <f t="shared" si="34"/>
        <v>0.10399668008577614</v>
      </c>
      <c r="U565" s="6">
        <v>0.32</v>
      </c>
      <c r="V565">
        <f t="array" ref="V565">CORREL(IFERROR(VALUE(TRIM(CLEAN($U$2:$U$1001))),0), IFERROR(VALUE(TRIM(CLEAN($P$2:$P$1001))),0))</f>
        <v>0.23135628536430677</v>
      </c>
    </row>
    <row r="566" spans="1:22" x14ac:dyDescent="0.25">
      <c r="A566">
        <v>565</v>
      </c>
      <c r="B566" s="1">
        <v>40568</v>
      </c>
      <c r="C566">
        <v>1</v>
      </c>
      <c r="D566">
        <v>0</v>
      </c>
      <c r="E566">
        <v>1</v>
      </c>
      <c r="F566">
        <v>17</v>
      </c>
      <c r="G566" t="b">
        <v>0</v>
      </c>
      <c r="H566">
        <v>2</v>
      </c>
      <c r="I566">
        <v>1</v>
      </c>
      <c r="J566">
        <v>0.3</v>
      </c>
      <c r="K566">
        <v>0.33329999999999999</v>
      </c>
      <c r="L566">
        <v>0.45</v>
      </c>
      <c r="M566">
        <v>0</v>
      </c>
      <c r="N566">
        <v>14</v>
      </c>
      <c r="O566">
        <v>208</v>
      </c>
      <c r="P566">
        <v>222</v>
      </c>
      <c r="Q566" t="str">
        <f t="shared" si="35"/>
        <v>Weekday</v>
      </c>
      <c r="R566" t="str">
        <f t="shared" si="32"/>
        <v>Clear</v>
      </c>
      <c r="S566">
        <f t="shared" si="33"/>
        <v>-0.25435329828790432</v>
      </c>
      <c r="T566">
        <f t="shared" si="34"/>
        <v>0.10399668008577614</v>
      </c>
      <c r="U566" s="6">
        <v>0.3</v>
      </c>
      <c r="V566">
        <f t="array" ref="V566">CORREL(IFERROR(VALUE(TRIM(CLEAN($U$2:$U$1001))),0), IFERROR(VALUE(TRIM(CLEAN($P$2:$P$1001))),0))</f>
        <v>0.23135628536430677</v>
      </c>
    </row>
    <row r="567" spans="1:22" x14ac:dyDescent="0.25">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c r="Q567" t="str">
        <f t="shared" si="35"/>
        <v>Weekday</v>
      </c>
      <c r="R567" t="str">
        <f t="shared" si="32"/>
        <v>Mist/Cloudy</v>
      </c>
      <c r="S567">
        <f t="shared" si="33"/>
        <v>-0.25435329828790432</v>
      </c>
      <c r="T567">
        <f t="shared" si="34"/>
        <v>0.10399668008577614</v>
      </c>
      <c r="U567" s="6">
        <v>0.3</v>
      </c>
      <c r="V567">
        <f t="array" ref="V567">CORREL(IFERROR(VALUE(TRIM(CLEAN($U$2:$U$1001))),0), IFERROR(VALUE(TRIM(CLEAN($P$2:$P$1001))),0))</f>
        <v>0.23135628536430677</v>
      </c>
    </row>
    <row r="568" spans="1:22" x14ac:dyDescent="0.25">
      <c r="A568">
        <v>567</v>
      </c>
      <c r="B568" s="1">
        <v>40568</v>
      </c>
      <c r="C568">
        <v>1</v>
      </c>
      <c r="D568">
        <v>0</v>
      </c>
      <c r="E568">
        <v>1</v>
      </c>
      <c r="F568">
        <v>19</v>
      </c>
      <c r="G568" t="b">
        <v>0</v>
      </c>
      <c r="H568">
        <v>2</v>
      </c>
      <c r="I568">
        <v>2</v>
      </c>
      <c r="J568">
        <v>0.26</v>
      </c>
      <c r="K568">
        <v>0.2576</v>
      </c>
      <c r="L568">
        <v>0.65</v>
      </c>
      <c r="M568">
        <v>0.16420000000000001</v>
      </c>
      <c r="N568">
        <v>13</v>
      </c>
      <c r="O568">
        <v>133</v>
      </c>
      <c r="P568">
        <v>146</v>
      </c>
      <c r="Q568" t="str">
        <f t="shared" si="35"/>
        <v>Weekend</v>
      </c>
      <c r="R568" t="str">
        <f t="shared" si="32"/>
        <v>Mist/Cloudy</v>
      </c>
      <c r="S568">
        <f t="shared" si="33"/>
        <v>-0.25435329828790432</v>
      </c>
      <c r="T568">
        <f t="shared" si="34"/>
        <v>0.10399668008577614</v>
      </c>
      <c r="U568" s="6">
        <v>0.26</v>
      </c>
      <c r="V568">
        <f t="array" ref="V568">CORREL(IFERROR(VALUE(TRIM(CLEAN($U$2:$U$1001))),0), IFERROR(VALUE(TRIM(CLEAN($P$2:$P$1001))),0))</f>
        <v>0.23135628536430677</v>
      </c>
    </row>
    <row r="569" spans="1:22" x14ac:dyDescent="0.25">
      <c r="A569">
        <v>568</v>
      </c>
      <c r="B569" s="1">
        <v>40568</v>
      </c>
      <c r="C569">
        <v>1</v>
      </c>
      <c r="D569">
        <v>0</v>
      </c>
      <c r="E569">
        <v>1</v>
      </c>
      <c r="F569">
        <v>20</v>
      </c>
      <c r="G569" t="b">
        <v>0</v>
      </c>
      <c r="H569">
        <v>2</v>
      </c>
      <c r="I569">
        <v>1</v>
      </c>
      <c r="J569">
        <v>0.24</v>
      </c>
      <c r="K569">
        <v>0.2273</v>
      </c>
      <c r="L569">
        <v>0.65</v>
      </c>
      <c r="M569">
        <v>0.19400000000000001</v>
      </c>
      <c r="N569">
        <v>16</v>
      </c>
      <c r="O569">
        <v>103</v>
      </c>
      <c r="P569">
        <v>119</v>
      </c>
      <c r="Q569" t="str">
        <f t="shared" si="35"/>
        <v>Weekend</v>
      </c>
      <c r="R569" t="str">
        <f t="shared" si="32"/>
        <v>Clear</v>
      </c>
      <c r="S569">
        <f t="shared" si="33"/>
        <v>-0.25435329828790432</v>
      </c>
      <c r="T569">
        <f t="shared" si="34"/>
        <v>0.10399668008577614</v>
      </c>
      <c r="U569" s="6">
        <v>0.24</v>
      </c>
      <c r="V569">
        <f t="array" ref="V569">CORREL(IFERROR(VALUE(TRIM(CLEAN($U$2:$U$1001))),0), IFERROR(VALUE(TRIM(CLEAN($P$2:$P$1001))),0))</f>
        <v>0.23135628536430677</v>
      </c>
    </row>
    <row r="570" spans="1:22" x14ac:dyDescent="0.25">
      <c r="A570">
        <v>569</v>
      </c>
      <c r="B570" s="1">
        <v>40568</v>
      </c>
      <c r="C570">
        <v>1</v>
      </c>
      <c r="D570">
        <v>0</v>
      </c>
      <c r="E570">
        <v>1</v>
      </c>
      <c r="F570">
        <v>21</v>
      </c>
      <c r="G570" t="b">
        <v>0</v>
      </c>
      <c r="H570">
        <v>2</v>
      </c>
      <c r="I570">
        <v>1</v>
      </c>
      <c r="J570">
        <v>0.24</v>
      </c>
      <c r="K570">
        <v>0.2273</v>
      </c>
      <c r="L570">
        <v>0.65</v>
      </c>
      <c r="M570">
        <v>0.19400000000000001</v>
      </c>
      <c r="N570">
        <v>5</v>
      </c>
      <c r="O570">
        <v>40</v>
      </c>
      <c r="P570">
        <v>45</v>
      </c>
      <c r="Q570" t="str">
        <f t="shared" si="35"/>
        <v>Weekday</v>
      </c>
      <c r="R570" t="str">
        <f t="shared" si="32"/>
        <v>Clear</v>
      </c>
      <c r="S570">
        <f t="shared" si="33"/>
        <v>-0.25435329828790432</v>
      </c>
      <c r="T570">
        <f t="shared" si="34"/>
        <v>0.10399668008577614</v>
      </c>
      <c r="U570" s="6">
        <v>0.24</v>
      </c>
      <c r="V570">
        <f t="array" ref="V570">CORREL(IFERROR(VALUE(TRIM(CLEAN($U$2:$U$1001))),0), IFERROR(VALUE(TRIM(CLEAN($P$2:$P$1001))),0))</f>
        <v>0.23135628536430677</v>
      </c>
    </row>
    <row r="571" spans="1:22" x14ac:dyDescent="0.25">
      <c r="A571">
        <v>570</v>
      </c>
      <c r="B571" s="1">
        <v>40568</v>
      </c>
      <c r="C571">
        <v>1</v>
      </c>
      <c r="D571">
        <v>0</v>
      </c>
      <c r="E571">
        <v>1</v>
      </c>
      <c r="F571">
        <v>22</v>
      </c>
      <c r="G571" t="b">
        <v>0</v>
      </c>
      <c r="H571">
        <v>2</v>
      </c>
      <c r="I571">
        <v>1</v>
      </c>
      <c r="J571">
        <v>0.22</v>
      </c>
      <c r="K571">
        <v>0.2273</v>
      </c>
      <c r="L571">
        <v>0.64</v>
      </c>
      <c r="M571">
        <v>0.16420000000000001</v>
      </c>
      <c r="N571">
        <v>4</v>
      </c>
      <c r="O571">
        <v>49</v>
      </c>
      <c r="P571">
        <v>53</v>
      </c>
      <c r="Q571" t="str">
        <f t="shared" si="35"/>
        <v>Weekday</v>
      </c>
      <c r="R571" t="str">
        <f t="shared" si="32"/>
        <v>Clear</v>
      </c>
      <c r="S571">
        <f t="shared" si="33"/>
        <v>-0.25435329828790432</v>
      </c>
      <c r="T571">
        <f t="shared" si="34"/>
        <v>0.10399668008577614</v>
      </c>
      <c r="U571" s="6">
        <v>0.22</v>
      </c>
      <c r="V571">
        <f t="array" ref="V571">CORREL(IFERROR(VALUE(TRIM(CLEAN($U$2:$U$1001))),0), IFERROR(VALUE(TRIM(CLEAN($P$2:$P$1001))),0))</f>
        <v>0.23135628536430677</v>
      </c>
    </row>
    <row r="572" spans="1:22" x14ac:dyDescent="0.25">
      <c r="A572">
        <v>571</v>
      </c>
      <c r="B572" s="1">
        <v>40568</v>
      </c>
      <c r="C572">
        <v>1</v>
      </c>
      <c r="D572">
        <v>0</v>
      </c>
      <c r="E572">
        <v>1</v>
      </c>
      <c r="F572">
        <v>23</v>
      </c>
      <c r="G572" t="b">
        <v>0</v>
      </c>
      <c r="H572">
        <v>2</v>
      </c>
      <c r="I572">
        <v>2</v>
      </c>
      <c r="J572">
        <v>0.22</v>
      </c>
      <c r="K572">
        <v>0.2273</v>
      </c>
      <c r="L572">
        <v>0.64</v>
      </c>
      <c r="M572">
        <v>0.16420000000000001</v>
      </c>
      <c r="N572">
        <v>3</v>
      </c>
      <c r="O572">
        <v>37</v>
      </c>
      <c r="P572">
        <v>40</v>
      </c>
      <c r="Q572" t="str">
        <f t="shared" si="35"/>
        <v>Weekday</v>
      </c>
      <c r="R572" t="str">
        <f t="shared" si="32"/>
        <v>Mist/Cloudy</v>
      </c>
      <c r="S572">
        <f t="shared" si="33"/>
        <v>-0.25435329828790432</v>
      </c>
      <c r="T572">
        <f t="shared" si="34"/>
        <v>0.10399668008577614</v>
      </c>
      <c r="U572" s="6">
        <v>0.22</v>
      </c>
      <c r="V572">
        <f t="array" ref="V572">CORREL(IFERROR(VALUE(TRIM(CLEAN($U$2:$U$1001))),0), IFERROR(VALUE(TRIM(CLEAN($P$2:$P$1001))),0))</f>
        <v>0.23135628536430677</v>
      </c>
    </row>
    <row r="573" spans="1:22" x14ac:dyDescent="0.25">
      <c r="A573">
        <v>572</v>
      </c>
      <c r="B573" s="1">
        <v>40569</v>
      </c>
      <c r="C573">
        <v>1</v>
      </c>
      <c r="D573">
        <v>0</v>
      </c>
      <c r="E573">
        <v>1</v>
      </c>
      <c r="F573">
        <v>0</v>
      </c>
      <c r="G573" t="b">
        <v>0</v>
      </c>
      <c r="H573">
        <v>3</v>
      </c>
      <c r="I573">
        <v>2</v>
      </c>
      <c r="J573">
        <v>0.22</v>
      </c>
      <c r="K573">
        <v>0.2273</v>
      </c>
      <c r="L573">
        <v>0.69</v>
      </c>
      <c r="M573">
        <v>0.1343</v>
      </c>
      <c r="N573">
        <v>3</v>
      </c>
      <c r="O573">
        <v>14</v>
      </c>
      <c r="P573">
        <v>17</v>
      </c>
      <c r="Q573" t="str">
        <f t="shared" si="35"/>
        <v>Weekday</v>
      </c>
      <c r="R573" t="str">
        <f t="shared" si="32"/>
        <v>Mist/Cloudy</v>
      </c>
      <c r="S573">
        <f t="shared" si="33"/>
        <v>-0.25435329828790432</v>
      </c>
      <c r="T573">
        <f t="shared" si="34"/>
        <v>0.10399668008577614</v>
      </c>
      <c r="U573" s="6">
        <v>0.22</v>
      </c>
      <c r="V573">
        <f t="array" ref="V573">CORREL(IFERROR(VALUE(TRIM(CLEAN($U$2:$U$1001))),0), IFERROR(VALUE(TRIM(CLEAN($P$2:$P$1001))),0))</f>
        <v>0.23135628536430677</v>
      </c>
    </row>
    <row r="574" spans="1:22" x14ac:dyDescent="0.25">
      <c r="A574">
        <v>573</v>
      </c>
      <c r="B574" s="1">
        <v>40569</v>
      </c>
      <c r="C574">
        <v>1</v>
      </c>
      <c r="D574">
        <v>0</v>
      </c>
      <c r="E574">
        <v>1</v>
      </c>
      <c r="F574">
        <v>1</v>
      </c>
      <c r="G574" t="b">
        <v>0</v>
      </c>
      <c r="H574">
        <v>3</v>
      </c>
      <c r="I574">
        <v>2</v>
      </c>
      <c r="J574">
        <v>0.24</v>
      </c>
      <c r="K574">
        <v>0.2424</v>
      </c>
      <c r="L574">
        <v>0.65</v>
      </c>
      <c r="M574">
        <v>0.1343</v>
      </c>
      <c r="N574">
        <v>0</v>
      </c>
      <c r="O574">
        <v>5</v>
      </c>
      <c r="P574">
        <v>5</v>
      </c>
      <c r="Q574" t="str">
        <f t="shared" si="35"/>
        <v>Weekday</v>
      </c>
      <c r="R574" t="str">
        <f t="shared" si="32"/>
        <v>Mist/Cloudy</v>
      </c>
      <c r="S574">
        <f t="shared" si="33"/>
        <v>-0.25435329828790432</v>
      </c>
      <c r="T574">
        <f t="shared" si="34"/>
        <v>0.10399668008577614</v>
      </c>
      <c r="U574" s="6">
        <v>0.24</v>
      </c>
      <c r="V574">
        <f t="array" ref="V574">CORREL(IFERROR(VALUE(TRIM(CLEAN($U$2:$U$1001))),0), IFERROR(VALUE(TRIM(CLEAN($P$2:$P$1001))),0))</f>
        <v>0.23135628536430677</v>
      </c>
    </row>
    <row r="575" spans="1:22" x14ac:dyDescent="0.25">
      <c r="A575">
        <v>574</v>
      </c>
      <c r="B575" s="1">
        <v>40569</v>
      </c>
      <c r="C575">
        <v>1</v>
      </c>
      <c r="D575">
        <v>0</v>
      </c>
      <c r="E575">
        <v>1</v>
      </c>
      <c r="F575">
        <v>2</v>
      </c>
      <c r="G575" t="b">
        <v>0</v>
      </c>
      <c r="H575">
        <v>3</v>
      </c>
      <c r="I575">
        <v>3</v>
      </c>
      <c r="J575">
        <v>0.22</v>
      </c>
      <c r="K575">
        <v>0.2273</v>
      </c>
      <c r="L575">
        <v>0.69</v>
      </c>
      <c r="M575">
        <v>0.19400000000000001</v>
      </c>
      <c r="N575">
        <v>3</v>
      </c>
      <c r="O575">
        <v>7</v>
      </c>
      <c r="P575">
        <v>10</v>
      </c>
      <c r="Q575" t="str">
        <f t="shared" si="35"/>
        <v>Weekend</v>
      </c>
      <c r="R575" t="str">
        <f t="shared" si="32"/>
        <v>Light Snow/Rain</v>
      </c>
      <c r="S575">
        <f t="shared" si="33"/>
        <v>-0.25435329828790432</v>
      </c>
      <c r="T575">
        <f t="shared" si="34"/>
        <v>0.10399668008577614</v>
      </c>
      <c r="U575" s="6">
        <v>0.22</v>
      </c>
      <c r="V575">
        <f t="array" ref="V575">CORREL(IFERROR(VALUE(TRIM(CLEAN($U$2:$U$1001))),0), IFERROR(VALUE(TRIM(CLEAN($P$2:$P$1001))),0))</f>
        <v>0.23135628536430677</v>
      </c>
    </row>
    <row r="576" spans="1:22" x14ac:dyDescent="0.25">
      <c r="A576">
        <v>575</v>
      </c>
      <c r="B576" s="1">
        <v>40569</v>
      </c>
      <c r="C576">
        <v>1</v>
      </c>
      <c r="D576">
        <v>0</v>
      </c>
      <c r="E576">
        <v>1</v>
      </c>
      <c r="F576">
        <v>5</v>
      </c>
      <c r="G576" t="b">
        <v>0</v>
      </c>
      <c r="H576">
        <v>3</v>
      </c>
      <c r="I576">
        <v>3</v>
      </c>
      <c r="J576" t="e">
        <v>#VALUE!</v>
      </c>
      <c r="K576">
        <v>0.18179999999999999</v>
      </c>
      <c r="L576">
        <v>0.86</v>
      </c>
      <c r="M576">
        <v>0.28360000000000002</v>
      </c>
      <c r="N576">
        <v>0</v>
      </c>
      <c r="O576">
        <v>1</v>
      </c>
      <c r="P576">
        <v>1</v>
      </c>
      <c r="Q576" t="str">
        <f t="shared" si="35"/>
        <v>Weekend</v>
      </c>
      <c r="R576" t="str">
        <f t="shared" si="32"/>
        <v>Light Snow/Rain</v>
      </c>
      <c r="S576">
        <f t="shared" si="33"/>
        <v>-0.25435329828790432</v>
      </c>
      <c r="T576">
        <f t="shared" si="34"/>
        <v>0.10399668008577614</v>
      </c>
      <c r="U576" s="6" t="e">
        <v>#VALUE!</v>
      </c>
      <c r="V576">
        <f t="array" ref="V576">CORREL(IFERROR(VALUE(TRIM(CLEAN($U$2:$U$1001))),0), IFERROR(VALUE(TRIM(CLEAN($P$2:$P$1001))),0))</f>
        <v>0.23135628536430677</v>
      </c>
    </row>
    <row r="577" spans="1:22" x14ac:dyDescent="0.25">
      <c r="A577">
        <v>576</v>
      </c>
      <c r="B577" s="1">
        <v>40569</v>
      </c>
      <c r="C577">
        <v>1</v>
      </c>
      <c r="D577">
        <v>0</v>
      </c>
      <c r="E577">
        <v>1</v>
      </c>
      <c r="F577">
        <v>6</v>
      </c>
      <c r="G577" t="b">
        <v>0</v>
      </c>
      <c r="H577">
        <v>3</v>
      </c>
      <c r="I577">
        <v>3</v>
      </c>
      <c r="J577">
        <v>0.2</v>
      </c>
      <c r="K577">
        <v>0.18179999999999999</v>
      </c>
      <c r="L577">
        <v>0.86</v>
      </c>
      <c r="M577">
        <v>0.28360000000000002</v>
      </c>
      <c r="N577">
        <v>0</v>
      </c>
      <c r="O577">
        <v>8</v>
      </c>
      <c r="P577">
        <v>8</v>
      </c>
      <c r="Q577" t="str">
        <f t="shared" si="35"/>
        <v>Weekday</v>
      </c>
      <c r="R577" t="str">
        <f t="shared" si="32"/>
        <v>Light Snow/Rain</v>
      </c>
      <c r="S577">
        <f t="shared" si="33"/>
        <v>-0.25435329828790432</v>
      </c>
      <c r="T577">
        <f t="shared" si="34"/>
        <v>0.10399668008577614</v>
      </c>
      <c r="U577" s="6">
        <v>0.2</v>
      </c>
      <c r="V577">
        <f t="array" ref="V577">CORREL(IFERROR(VALUE(TRIM(CLEAN($U$2:$U$1001))),0), IFERROR(VALUE(TRIM(CLEAN($P$2:$P$1001))),0))</f>
        <v>0.23135628536430677</v>
      </c>
    </row>
    <row r="578" spans="1:22" x14ac:dyDescent="0.25">
      <c r="A578">
        <v>577</v>
      </c>
      <c r="B578" s="1">
        <v>40569</v>
      </c>
      <c r="C578">
        <v>1</v>
      </c>
      <c r="D578">
        <v>0</v>
      </c>
      <c r="E578">
        <v>1</v>
      </c>
      <c r="F578">
        <v>7</v>
      </c>
      <c r="G578" t="b">
        <v>0</v>
      </c>
      <c r="H578">
        <v>3</v>
      </c>
      <c r="I578">
        <v>3</v>
      </c>
      <c r="J578">
        <v>0.22</v>
      </c>
      <c r="K578">
        <v>0.21210000000000001</v>
      </c>
      <c r="L578">
        <v>0.87</v>
      </c>
      <c r="M578">
        <v>0.29849999999999999</v>
      </c>
      <c r="N578">
        <v>1</v>
      </c>
      <c r="O578">
        <v>29</v>
      </c>
      <c r="P578">
        <v>30</v>
      </c>
      <c r="Q578" t="str">
        <f t="shared" si="35"/>
        <v>Weekday</v>
      </c>
      <c r="R578" t="str">
        <f t="shared" ref="R578:R641" si="36">IF(I578=1, "Clear", IF(I578=2, "Mist/Cloudy", IF(I578=3, "Light Snow/Rain", "Heavy Rain")))</f>
        <v>Light Snow/Rain</v>
      </c>
      <c r="S578">
        <f t="shared" ref="S578:S641" si="37">CORREL($L$2:$L$1001, $P$2:$P$1001)</f>
        <v>-0.25435329828790432</v>
      </c>
      <c r="T578">
        <f t="shared" ref="T578:T641" si="38">CORREL($M$2:$M$1001, $P$2:$P$1001)</f>
        <v>0.10399668008577614</v>
      </c>
      <c r="U578" s="6">
        <v>0.22</v>
      </c>
      <c r="V578">
        <f t="array" ref="V578">CORREL(IFERROR(VALUE(TRIM(CLEAN($U$2:$U$1001))),0), IFERROR(VALUE(TRIM(CLEAN($P$2:$P$1001))),0))</f>
        <v>0.23135628536430677</v>
      </c>
    </row>
    <row r="579" spans="1:22" x14ac:dyDescent="0.25">
      <c r="A579">
        <v>578</v>
      </c>
      <c r="B579" s="1">
        <v>40569</v>
      </c>
      <c r="C579">
        <v>1</v>
      </c>
      <c r="D579">
        <v>0</v>
      </c>
      <c r="E579">
        <v>1</v>
      </c>
      <c r="F579">
        <v>8</v>
      </c>
      <c r="G579" t="b">
        <v>0</v>
      </c>
      <c r="H579">
        <v>3</v>
      </c>
      <c r="I579">
        <v>3</v>
      </c>
      <c r="J579">
        <v>0.22</v>
      </c>
      <c r="K579">
        <v>0.21210000000000001</v>
      </c>
      <c r="L579">
        <v>0.87</v>
      </c>
      <c r="M579">
        <v>0.29849999999999999</v>
      </c>
      <c r="N579">
        <v>3</v>
      </c>
      <c r="O579">
        <v>69</v>
      </c>
      <c r="P579">
        <v>72</v>
      </c>
      <c r="Q579" t="str">
        <f t="shared" ref="Q579:Q642" si="39">IF(WEEKDAY(A579,2)&gt;5,"Weekend","Weekday")</f>
        <v>Weekday</v>
      </c>
      <c r="R579" t="str">
        <f t="shared" si="36"/>
        <v>Light Snow/Rain</v>
      </c>
      <c r="S579">
        <f t="shared" si="37"/>
        <v>-0.25435329828790432</v>
      </c>
      <c r="T579">
        <f t="shared" si="38"/>
        <v>0.10399668008577614</v>
      </c>
      <c r="U579" s="6">
        <v>0.22</v>
      </c>
      <c r="V579">
        <f t="array" ref="V579">CORREL(IFERROR(VALUE(TRIM(CLEAN($U$2:$U$1001))),0), IFERROR(VALUE(TRIM(CLEAN($P$2:$P$1001))),0))</f>
        <v>0.23135628536430677</v>
      </c>
    </row>
    <row r="580" spans="1:22" x14ac:dyDescent="0.25">
      <c r="A580">
        <v>579</v>
      </c>
      <c r="B580" s="1">
        <v>40569</v>
      </c>
      <c r="C580">
        <v>1</v>
      </c>
      <c r="D580">
        <v>0</v>
      </c>
      <c r="E580">
        <v>1</v>
      </c>
      <c r="F580">
        <v>9</v>
      </c>
      <c r="G580" t="b">
        <v>0</v>
      </c>
      <c r="H580">
        <v>3</v>
      </c>
      <c r="I580">
        <v>3</v>
      </c>
      <c r="J580">
        <v>0.22</v>
      </c>
      <c r="K580">
        <v>0.21210000000000001</v>
      </c>
      <c r="L580">
        <v>0.87</v>
      </c>
      <c r="M580">
        <v>0.29849999999999999</v>
      </c>
      <c r="N580">
        <v>3</v>
      </c>
      <c r="O580">
        <v>55</v>
      </c>
      <c r="P580">
        <v>58</v>
      </c>
      <c r="Q580" t="str">
        <f t="shared" si="39"/>
        <v>Weekday</v>
      </c>
      <c r="R580" t="str">
        <f t="shared" si="36"/>
        <v>Light Snow/Rain</v>
      </c>
      <c r="S580">
        <f t="shared" si="37"/>
        <v>-0.25435329828790432</v>
      </c>
      <c r="T580">
        <f t="shared" si="38"/>
        <v>0.10399668008577614</v>
      </c>
      <c r="U580" s="6">
        <v>0.22</v>
      </c>
      <c r="V580">
        <f t="array" ref="V580">CORREL(IFERROR(VALUE(TRIM(CLEAN($U$2:$U$1001))),0), IFERROR(VALUE(TRIM(CLEAN($P$2:$P$1001))),0))</f>
        <v>0.23135628536430677</v>
      </c>
    </row>
    <row r="581" spans="1:22" x14ac:dyDescent="0.25">
      <c r="A581">
        <v>580</v>
      </c>
      <c r="B581" s="1">
        <v>40569</v>
      </c>
      <c r="C581">
        <v>1</v>
      </c>
      <c r="D581">
        <v>0</v>
      </c>
      <c r="E581">
        <v>1</v>
      </c>
      <c r="F581">
        <v>10</v>
      </c>
      <c r="G581" t="b">
        <v>0</v>
      </c>
      <c r="H581">
        <v>3</v>
      </c>
      <c r="I581">
        <v>3</v>
      </c>
      <c r="J581">
        <v>0.22</v>
      </c>
      <c r="K581">
        <v>0.21210000000000001</v>
      </c>
      <c r="L581">
        <v>0.93</v>
      </c>
      <c r="M581">
        <v>0.28360000000000002</v>
      </c>
      <c r="N581">
        <v>2</v>
      </c>
      <c r="O581">
        <v>26</v>
      </c>
      <c r="P581">
        <v>28</v>
      </c>
      <c r="Q581" t="str">
        <f t="shared" si="39"/>
        <v>Weekday</v>
      </c>
      <c r="R581" t="str">
        <f t="shared" si="36"/>
        <v>Light Snow/Rain</v>
      </c>
      <c r="S581">
        <f t="shared" si="37"/>
        <v>-0.25435329828790432</v>
      </c>
      <c r="T581">
        <f t="shared" si="38"/>
        <v>0.10399668008577614</v>
      </c>
      <c r="U581" s="6">
        <v>0.22</v>
      </c>
      <c r="V581">
        <f t="array" ref="V581">CORREL(IFERROR(VALUE(TRIM(CLEAN($U$2:$U$1001))),0), IFERROR(VALUE(TRIM(CLEAN($P$2:$P$1001))),0))</f>
        <v>0.23135628536430677</v>
      </c>
    </row>
    <row r="582" spans="1:22" x14ac:dyDescent="0.25">
      <c r="A582">
        <v>581</v>
      </c>
      <c r="B582" s="1">
        <v>40569</v>
      </c>
      <c r="C582">
        <v>1</v>
      </c>
      <c r="D582">
        <v>0</v>
      </c>
      <c r="E582">
        <v>1</v>
      </c>
      <c r="F582">
        <v>11</v>
      </c>
      <c r="G582" t="b">
        <v>0</v>
      </c>
      <c r="H582">
        <v>3</v>
      </c>
      <c r="I582">
        <v>3</v>
      </c>
      <c r="J582">
        <v>0.22</v>
      </c>
      <c r="K582">
        <v>0.19700000000000001</v>
      </c>
      <c r="L582">
        <v>0.93</v>
      </c>
      <c r="M582">
        <v>0.32840000000000003</v>
      </c>
      <c r="N582">
        <v>6</v>
      </c>
      <c r="O582">
        <v>35</v>
      </c>
      <c r="P582">
        <v>41</v>
      </c>
      <c r="Q582" t="str">
        <f t="shared" si="39"/>
        <v>Weekend</v>
      </c>
      <c r="R582" t="str">
        <f t="shared" si="36"/>
        <v>Light Snow/Rain</v>
      </c>
      <c r="S582">
        <f t="shared" si="37"/>
        <v>-0.25435329828790432</v>
      </c>
      <c r="T582">
        <f t="shared" si="38"/>
        <v>0.10399668008577614</v>
      </c>
      <c r="U582" s="6">
        <v>0.22</v>
      </c>
      <c r="V582">
        <f t="array" ref="V582">CORREL(IFERROR(VALUE(TRIM(CLEAN($U$2:$U$1001))),0), IFERROR(VALUE(TRIM(CLEAN($P$2:$P$1001))),0))</f>
        <v>0.23135628536430677</v>
      </c>
    </row>
    <row r="583" spans="1:22" x14ac:dyDescent="0.25">
      <c r="A583">
        <v>582</v>
      </c>
      <c r="B583" s="1">
        <v>40569</v>
      </c>
      <c r="C583">
        <v>1</v>
      </c>
      <c r="D583">
        <v>0</v>
      </c>
      <c r="E583">
        <v>1</v>
      </c>
      <c r="F583">
        <v>12</v>
      </c>
      <c r="G583" t="b">
        <v>0</v>
      </c>
      <c r="H583">
        <v>3</v>
      </c>
      <c r="I583">
        <v>3</v>
      </c>
      <c r="J583">
        <v>0.22</v>
      </c>
      <c r="K583">
        <v>0.19700000000000001</v>
      </c>
      <c r="L583">
        <v>0.93</v>
      </c>
      <c r="M583">
        <v>0.32840000000000003</v>
      </c>
      <c r="N583">
        <v>7</v>
      </c>
      <c r="O583">
        <v>41</v>
      </c>
      <c r="P583">
        <v>48</v>
      </c>
      <c r="Q583" t="str">
        <f t="shared" si="39"/>
        <v>Weekend</v>
      </c>
      <c r="R583" t="str">
        <f t="shared" si="36"/>
        <v>Light Snow/Rain</v>
      </c>
      <c r="S583">
        <f t="shared" si="37"/>
        <v>-0.25435329828790432</v>
      </c>
      <c r="T583">
        <f t="shared" si="38"/>
        <v>0.10399668008577614</v>
      </c>
      <c r="U583" s="6">
        <v>0.22</v>
      </c>
      <c r="V583">
        <f t="array" ref="V583">CORREL(IFERROR(VALUE(TRIM(CLEAN($U$2:$U$1001))),0), IFERROR(VALUE(TRIM(CLEAN($P$2:$P$1001))),0))</f>
        <v>0.23135628536430677</v>
      </c>
    </row>
    <row r="584" spans="1:22" x14ac:dyDescent="0.25">
      <c r="A584">
        <v>583</v>
      </c>
      <c r="B584" s="1">
        <v>40569</v>
      </c>
      <c r="C584">
        <v>1</v>
      </c>
      <c r="D584">
        <v>0</v>
      </c>
      <c r="E584">
        <v>1</v>
      </c>
      <c r="F584">
        <v>13</v>
      </c>
      <c r="G584" t="b">
        <v>0</v>
      </c>
      <c r="H584">
        <v>3</v>
      </c>
      <c r="I584">
        <v>3</v>
      </c>
      <c r="J584">
        <v>0.22</v>
      </c>
      <c r="K584">
        <v>0.19700000000000001</v>
      </c>
      <c r="L584">
        <v>0.93</v>
      </c>
      <c r="M584">
        <v>0.32840000000000003</v>
      </c>
      <c r="N584">
        <v>4</v>
      </c>
      <c r="O584">
        <v>43</v>
      </c>
      <c r="P584">
        <v>47</v>
      </c>
      <c r="Q584" t="str">
        <f t="shared" si="39"/>
        <v>Weekday</v>
      </c>
      <c r="R584" t="str">
        <f t="shared" si="36"/>
        <v>Light Snow/Rain</v>
      </c>
      <c r="S584">
        <f t="shared" si="37"/>
        <v>-0.25435329828790432</v>
      </c>
      <c r="T584">
        <f t="shared" si="38"/>
        <v>0.10399668008577614</v>
      </c>
      <c r="U584" s="6">
        <v>0.22</v>
      </c>
      <c r="V584">
        <f t="array" ref="V584">CORREL(IFERROR(VALUE(TRIM(CLEAN($U$2:$U$1001))),0), IFERROR(VALUE(TRIM(CLEAN($P$2:$P$1001))),0))</f>
        <v>0.23135628536430677</v>
      </c>
    </row>
    <row r="585" spans="1:22" x14ac:dyDescent="0.25">
      <c r="A585">
        <v>584</v>
      </c>
      <c r="B585" s="1">
        <v>40569</v>
      </c>
      <c r="C585">
        <v>1</v>
      </c>
      <c r="D585">
        <v>0</v>
      </c>
      <c r="E585">
        <v>1</v>
      </c>
      <c r="F585">
        <v>14</v>
      </c>
      <c r="G585" t="b">
        <v>0</v>
      </c>
      <c r="H585">
        <v>3</v>
      </c>
      <c r="I585">
        <v>3</v>
      </c>
      <c r="J585">
        <v>0.22</v>
      </c>
      <c r="K585">
        <v>0.19700000000000001</v>
      </c>
      <c r="L585">
        <v>0.93</v>
      </c>
      <c r="M585">
        <v>0.35820000000000002</v>
      </c>
      <c r="N585">
        <v>0</v>
      </c>
      <c r="O585">
        <v>36</v>
      </c>
      <c r="P585">
        <v>36</v>
      </c>
      <c r="Q585" t="str">
        <f t="shared" si="39"/>
        <v>Weekday</v>
      </c>
      <c r="R585" t="str">
        <f t="shared" si="36"/>
        <v>Light Snow/Rain</v>
      </c>
      <c r="S585">
        <f t="shared" si="37"/>
        <v>-0.25435329828790432</v>
      </c>
      <c r="T585">
        <f t="shared" si="38"/>
        <v>0.10399668008577614</v>
      </c>
      <c r="U585" s="6">
        <v>0.22</v>
      </c>
      <c r="V585">
        <f t="array" ref="V585">CORREL(IFERROR(VALUE(TRIM(CLEAN($U$2:$U$1001))),0), IFERROR(VALUE(TRIM(CLEAN($P$2:$P$1001))),0))</f>
        <v>0.23135628536430677</v>
      </c>
    </row>
    <row r="586" spans="1:22" x14ac:dyDescent="0.25">
      <c r="A586">
        <v>585</v>
      </c>
      <c r="B586" s="1">
        <v>40569</v>
      </c>
      <c r="C586">
        <v>1</v>
      </c>
      <c r="D586">
        <v>0</v>
      </c>
      <c r="E586">
        <v>1</v>
      </c>
      <c r="F586">
        <v>15</v>
      </c>
      <c r="G586" t="b">
        <v>0</v>
      </c>
      <c r="H586">
        <v>3</v>
      </c>
      <c r="I586">
        <v>3</v>
      </c>
      <c r="J586">
        <v>0.22</v>
      </c>
      <c r="K586">
        <v>0.18179999999999999</v>
      </c>
      <c r="L586">
        <v>0.93</v>
      </c>
      <c r="M586">
        <v>0.4627</v>
      </c>
      <c r="N586">
        <v>1</v>
      </c>
      <c r="O586">
        <v>42</v>
      </c>
      <c r="P586">
        <v>43</v>
      </c>
      <c r="Q586" t="str">
        <f t="shared" si="39"/>
        <v>Weekday</v>
      </c>
      <c r="R586" t="str">
        <f t="shared" si="36"/>
        <v>Light Snow/Rain</v>
      </c>
      <c r="S586">
        <f t="shared" si="37"/>
        <v>-0.25435329828790432</v>
      </c>
      <c r="T586">
        <f t="shared" si="38"/>
        <v>0.10399668008577614</v>
      </c>
      <c r="U586" s="6">
        <v>0.22</v>
      </c>
      <c r="V586">
        <f t="array" ref="V586">CORREL(IFERROR(VALUE(TRIM(CLEAN($U$2:$U$1001))),0), IFERROR(VALUE(TRIM(CLEAN($P$2:$P$1001))),0))</f>
        <v>0.23135628536430677</v>
      </c>
    </row>
    <row r="587" spans="1:22" x14ac:dyDescent="0.25">
      <c r="A587">
        <v>586</v>
      </c>
      <c r="B587" s="1">
        <v>40569</v>
      </c>
      <c r="C587">
        <v>1</v>
      </c>
      <c r="D587">
        <v>0</v>
      </c>
      <c r="E587">
        <v>1</v>
      </c>
      <c r="F587">
        <v>16</v>
      </c>
      <c r="G587" t="b">
        <v>0</v>
      </c>
      <c r="H587">
        <v>3</v>
      </c>
      <c r="I587">
        <v>4</v>
      </c>
      <c r="J587">
        <v>0.22</v>
      </c>
      <c r="K587">
        <v>0.19700000000000001</v>
      </c>
      <c r="L587">
        <v>0.93</v>
      </c>
      <c r="M587">
        <v>0.32840000000000003</v>
      </c>
      <c r="N587">
        <v>1</v>
      </c>
      <c r="O587">
        <v>35</v>
      </c>
      <c r="P587">
        <v>36</v>
      </c>
      <c r="Q587" t="str">
        <f t="shared" si="39"/>
        <v>Weekday</v>
      </c>
      <c r="R587" t="str">
        <f t="shared" si="36"/>
        <v>Heavy Rain</v>
      </c>
      <c r="S587">
        <f t="shared" si="37"/>
        <v>-0.25435329828790432</v>
      </c>
      <c r="T587">
        <f t="shared" si="38"/>
        <v>0.10399668008577614</v>
      </c>
      <c r="U587" s="6">
        <v>0.22</v>
      </c>
      <c r="V587">
        <f t="array" ref="V587">CORREL(IFERROR(VALUE(TRIM(CLEAN($U$2:$U$1001))),0), IFERROR(VALUE(TRIM(CLEAN($P$2:$P$1001))),0))</f>
        <v>0.23135628536430677</v>
      </c>
    </row>
    <row r="588" spans="1:22" x14ac:dyDescent="0.25">
      <c r="A588">
        <v>587</v>
      </c>
      <c r="B588" s="1">
        <v>40569</v>
      </c>
      <c r="C588">
        <v>1</v>
      </c>
      <c r="D588">
        <v>0</v>
      </c>
      <c r="E588">
        <v>1</v>
      </c>
      <c r="F588">
        <v>17</v>
      </c>
      <c r="G588" t="b">
        <v>0</v>
      </c>
      <c r="H588">
        <v>3</v>
      </c>
      <c r="I588">
        <v>3</v>
      </c>
      <c r="J588">
        <v>0.2</v>
      </c>
      <c r="K588">
        <v>0.18179999999999999</v>
      </c>
      <c r="L588">
        <v>0.93</v>
      </c>
      <c r="M588">
        <v>0.35820000000000002</v>
      </c>
      <c r="N588">
        <v>0</v>
      </c>
      <c r="O588">
        <v>26</v>
      </c>
      <c r="P588">
        <v>26</v>
      </c>
      <c r="Q588" t="str">
        <f t="shared" si="39"/>
        <v>Weekday</v>
      </c>
      <c r="R588" t="str">
        <f t="shared" si="36"/>
        <v>Light Snow/Rain</v>
      </c>
      <c r="S588">
        <f t="shared" si="37"/>
        <v>-0.25435329828790432</v>
      </c>
      <c r="T588">
        <f t="shared" si="38"/>
        <v>0.10399668008577614</v>
      </c>
      <c r="U588" s="6">
        <v>0.2</v>
      </c>
      <c r="V588">
        <f t="array" ref="V588">CORREL(IFERROR(VALUE(TRIM(CLEAN($U$2:$U$1001))),0), IFERROR(VALUE(TRIM(CLEAN($P$2:$P$1001))),0))</f>
        <v>0.23135628536430677</v>
      </c>
    </row>
    <row r="589" spans="1:22" x14ac:dyDescent="0.25">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c r="Q589" t="str">
        <f t="shared" si="39"/>
        <v>Weekend</v>
      </c>
      <c r="R589" t="str">
        <f t="shared" si="36"/>
        <v>Clear</v>
      </c>
      <c r="S589">
        <f t="shared" si="37"/>
        <v>-0.25435329828790432</v>
      </c>
      <c r="T589">
        <f t="shared" si="38"/>
        <v>0.10399668008577614</v>
      </c>
      <c r="U589" s="6">
        <v>0.22</v>
      </c>
      <c r="V589">
        <f t="array" ref="V589">CORREL(IFERROR(VALUE(TRIM(CLEAN($U$2:$U$1001))),0), IFERROR(VALUE(TRIM(CLEAN($P$2:$P$1001))),0))</f>
        <v>0.23135628536430677</v>
      </c>
    </row>
    <row r="590" spans="1:22" x14ac:dyDescent="0.25">
      <c r="A590">
        <v>589</v>
      </c>
      <c r="B590" s="1">
        <v>40570</v>
      </c>
      <c r="C590">
        <v>1</v>
      </c>
      <c r="D590">
        <v>0</v>
      </c>
      <c r="E590">
        <v>1</v>
      </c>
      <c r="F590">
        <v>17</v>
      </c>
      <c r="G590" t="b">
        <v>0</v>
      </c>
      <c r="H590">
        <v>4</v>
      </c>
      <c r="I590">
        <v>1</v>
      </c>
      <c r="J590">
        <v>0.22</v>
      </c>
      <c r="K590">
        <v>0.2424</v>
      </c>
      <c r="L590">
        <v>0.55000000000000004</v>
      </c>
      <c r="M590">
        <v>0.1045</v>
      </c>
      <c r="N590">
        <v>2</v>
      </c>
      <c r="O590">
        <v>82</v>
      </c>
      <c r="P590">
        <v>84</v>
      </c>
      <c r="Q590" t="str">
        <f t="shared" si="39"/>
        <v>Weekend</v>
      </c>
      <c r="R590" t="str">
        <f t="shared" si="36"/>
        <v>Clear</v>
      </c>
      <c r="S590">
        <f t="shared" si="37"/>
        <v>-0.25435329828790432</v>
      </c>
      <c r="T590">
        <f t="shared" si="38"/>
        <v>0.10399668008577614</v>
      </c>
      <c r="U590" s="6">
        <v>0.22</v>
      </c>
      <c r="V590">
        <f t="array" ref="V590">CORREL(IFERROR(VALUE(TRIM(CLEAN($U$2:$U$1001))),0), IFERROR(VALUE(TRIM(CLEAN($P$2:$P$1001))),0))</f>
        <v>0.23135628536430677</v>
      </c>
    </row>
    <row r="591" spans="1:22" x14ac:dyDescent="0.25">
      <c r="A591">
        <v>590</v>
      </c>
      <c r="B591" s="1">
        <v>40570</v>
      </c>
      <c r="C591">
        <v>1</v>
      </c>
      <c r="D591">
        <v>0</v>
      </c>
      <c r="E591">
        <v>1</v>
      </c>
      <c r="F591">
        <v>18</v>
      </c>
      <c r="G591" t="b">
        <v>0</v>
      </c>
      <c r="H591">
        <v>4</v>
      </c>
      <c r="I591">
        <v>1</v>
      </c>
      <c r="J591">
        <v>0.2</v>
      </c>
      <c r="K591">
        <v>0.2273</v>
      </c>
      <c r="L591">
        <v>0.69</v>
      </c>
      <c r="M591">
        <v>8.9599999999999999E-2</v>
      </c>
      <c r="N591">
        <v>3</v>
      </c>
      <c r="O591">
        <v>101</v>
      </c>
      <c r="P591">
        <v>104</v>
      </c>
      <c r="Q591" t="str">
        <f t="shared" si="39"/>
        <v>Weekday</v>
      </c>
      <c r="R591" t="str">
        <f t="shared" si="36"/>
        <v>Clear</v>
      </c>
      <c r="S591">
        <f t="shared" si="37"/>
        <v>-0.25435329828790432</v>
      </c>
      <c r="T591">
        <f t="shared" si="38"/>
        <v>0.10399668008577614</v>
      </c>
      <c r="U591" s="6">
        <v>0.2</v>
      </c>
      <c r="V591">
        <f t="array" ref="V591">CORREL(IFERROR(VALUE(TRIM(CLEAN($U$2:$U$1001))),0), IFERROR(VALUE(TRIM(CLEAN($P$2:$P$1001))),0))</f>
        <v>0.23135628536430677</v>
      </c>
    </row>
    <row r="592" spans="1:22" x14ac:dyDescent="0.25">
      <c r="A592">
        <v>591</v>
      </c>
      <c r="B592" s="1">
        <v>40570</v>
      </c>
      <c r="C592">
        <v>1</v>
      </c>
      <c r="D592">
        <v>0</v>
      </c>
      <c r="E592">
        <v>1</v>
      </c>
      <c r="F592">
        <v>19</v>
      </c>
      <c r="G592" t="b">
        <v>0</v>
      </c>
      <c r="H592">
        <v>4</v>
      </c>
      <c r="I592">
        <v>1</v>
      </c>
      <c r="J592">
        <v>0.2</v>
      </c>
      <c r="K592">
        <v>0.2273</v>
      </c>
      <c r="L592">
        <v>0.69</v>
      </c>
      <c r="M592">
        <v>8.9599999999999999E-2</v>
      </c>
      <c r="N592">
        <v>3</v>
      </c>
      <c r="O592">
        <v>76</v>
      </c>
      <c r="P592">
        <v>79</v>
      </c>
      <c r="Q592" t="str">
        <f t="shared" si="39"/>
        <v>Weekday</v>
      </c>
      <c r="R592" t="str">
        <f t="shared" si="36"/>
        <v>Clear</v>
      </c>
      <c r="S592">
        <f t="shared" si="37"/>
        <v>-0.25435329828790432</v>
      </c>
      <c r="T592">
        <f t="shared" si="38"/>
        <v>0.10399668008577614</v>
      </c>
      <c r="U592" s="6">
        <v>0.2</v>
      </c>
      <c r="V592">
        <f t="array" ref="V592">CORREL(IFERROR(VALUE(TRIM(CLEAN($U$2:$U$1001))),0), IFERROR(VALUE(TRIM(CLEAN($P$2:$P$1001))),0))</f>
        <v>0.23135628536430677</v>
      </c>
    </row>
    <row r="593" spans="1:22" x14ac:dyDescent="0.25">
      <c r="A593">
        <v>592</v>
      </c>
      <c r="B593" s="1">
        <v>40570</v>
      </c>
      <c r="C593">
        <v>1</v>
      </c>
      <c r="D593">
        <v>0</v>
      </c>
      <c r="E593">
        <v>1</v>
      </c>
      <c r="F593">
        <v>20</v>
      </c>
      <c r="G593" t="b">
        <v>0</v>
      </c>
      <c r="H593">
        <v>4</v>
      </c>
      <c r="I593">
        <v>1</v>
      </c>
      <c r="J593">
        <v>0.18</v>
      </c>
      <c r="K593">
        <v>0.21210000000000001</v>
      </c>
      <c r="L593">
        <v>0.74</v>
      </c>
      <c r="M593">
        <v>8.9599999999999999E-2</v>
      </c>
      <c r="N593">
        <v>4</v>
      </c>
      <c r="O593">
        <v>55</v>
      </c>
      <c r="P593">
        <v>59</v>
      </c>
      <c r="Q593" t="str">
        <f t="shared" si="39"/>
        <v>Weekday</v>
      </c>
      <c r="R593" t="str">
        <f t="shared" si="36"/>
        <v>Clear</v>
      </c>
      <c r="S593">
        <f t="shared" si="37"/>
        <v>-0.25435329828790432</v>
      </c>
      <c r="T593">
        <f t="shared" si="38"/>
        <v>0.10399668008577614</v>
      </c>
      <c r="U593" s="6">
        <v>0.18</v>
      </c>
      <c r="V593">
        <f t="array" ref="V593">CORREL(IFERROR(VALUE(TRIM(CLEAN($U$2:$U$1001))),0), IFERROR(VALUE(TRIM(CLEAN($P$2:$P$1001))),0))</f>
        <v>0.23135628536430677</v>
      </c>
    </row>
    <row r="594" spans="1:22" x14ac:dyDescent="0.25">
      <c r="A594">
        <v>593</v>
      </c>
      <c r="B594" s="1">
        <v>40570</v>
      </c>
      <c r="C594">
        <v>1</v>
      </c>
      <c r="D594">
        <v>0</v>
      </c>
      <c r="E594">
        <v>1</v>
      </c>
      <c r="F594">
        <v>21</v>
      </c>
      <c r="G594" t="b">
        <v>0</v>
      </c>
      <c r="H594">
        <v>4</v>
      </c>
      <c r="I594">
        <v>1</v>
      </c>
      <c r="J594">
        <v>0.18</v>
      </c>
      <c r="K594">
        <v>0.21210000000000001</v>
      </c>
      <c r="L594">
        <v>0.74</v>
      </c>
      <c r="M594">
        <v>8.9599999999999999E-2</v>
      </c>
      <c r="N594">
        <v>2</v>
      </c>
      <c r="O594">
        <v>36</v>
      </c>
      <c r="P594">
        <v>38</v>
      </c>
      <c r="Q594" t="str">
        <f t="shared" si="39"/>
        <v>Weekday</v>
      </c>
      <c r="R594" t="str">
        <f t="shared" si="36"/>
        <v>Clear</v>
      </c>
      <c r="S594">
        <f t="shared" si="37"/>
        <v>-0.25435329828790432</v>
      </c>
      <c r="T594">
        <f t="shared" si="38"/>
        <v>0.10399668008577614</v>
      </c>
      <c r="U594" s="6">
        <v>0.18</v>
      </c>
      <c r="V594">
        <f t="array" ref="V594">CORREL(IFERROR(VALUE(TRIM(CLEAN($U$2:$U$1001))),0), IFERROR(VALUE(TRIM(CLEAN($P$2:$P$1001))),0))</f>
        <v>0.23135628536430677</v>
      </c>
    </row>
    <row r="595" spans="1:22" x14ac:dyDescent="0.25">
      <c r="A595">
        <v>594</v>
      </c>
      <c r="B595" s="1">
        <v>40570</v>
      </c>
      <c r="C595">
        <v>1</v>
      </c>
      <c r="D595">
        <v>0</v>
      </c>
      <c r="E595">
        <v>1</v>
      </c>
      <c r="F595">
        <v>22</v>
      </c>
      <c r="G595" t="b">
        <v>0</v>
      </c>
      <c r="H595">
        <v>4</v>
      </c>
      <c r="I595">
        <v>1</v>
      </c>
      <c r="J595">
        <v>0.18</v>
      </c>
      <c r="K595">
        <v>0.21210000000000001</v>
      </c>
      <c r="L595">
        <v>0.74</v>
      </c>
      <c r="M595">
        <v>8.9599999999999999E-2</v>
      </c>
      <c r="N595">
        <v>0</v>
      </c>
      <c r="O595">
        <v>27</v>
      </c>
      <c r="P595">
        <v>27</v>
      </c>
      <c r="Q595" t="str">
        <f t="shared" si="39"/>
        <v>Weekday</v>
      </c>
      <c r="R595" t="str">
        <f t="shared" si="36"/>
        <v>Clear</v>
      </c>
      <c r="S595">
        <f t="shared" si="37"/>
        <v>-0.25435329828790432</v>
      </c>
      <c r="T595">
        <f t="shared" si="38"/>
        <v>0.10399668008577614</v>
      </c>
      <c r="U595" s="6">
        <v>0.18</v>
      </c>
      <c r="V595">
        <f t="array" ref="V595">CORREL(IFERROR(VALUE(TRIM(CLEAN($U$2:$U$1001))),0), IFERROR(VALUE(TRIM(CLEAN($P$2:$P$1001))),0))</f>
        <v>0.23135628536430677</v>
      </c>
    </row>
    <row r="596" spans="1:22" x14ac:dyDescent="0.25">
      <c r="A596">
        <v>595</v>
      </c>
      <c r="B596" s="1">
        <v>40570</v>
      </c>
      <c r="C596">
        <v>1</v>
      </c>
      <c r="D596">
        <v>0</v>
      </c>
      <c r="E596">
        <v>1</v>
      </c>
      <c r="F596">
        <v>23</v>
      </c>
      <c r="G596" t="b">
        <v>0</v>
      </c>
      <c r="H596">
        <v>4</v>
      </c>
      <c r="I596">
        <v>1</v>
      </c>
      <c r="J596">
        <v>0.18</v>
      </c>
      <c r="K596">
        <v>0.19700000000000001</v>
      </c>
      <c r="L596">
        <v>0.8</v>
      </c>
      <c r="M596">
        <v>0.16420000000000001</v>
      </c>
      <c r="N596">
        <v>0</v>
      </c>
      <c r="O596">
        <v>16</v>
      </c>
      <c r="P596">
        <v>16</v>
      </c>
      <c r="Q596" t="str">
        <f t="shared" si="39"/>
        <v>Weekend</v>
      </c>
      <c r="R596" t="str">
        <f t="shared" si="36"/>
        <v>Clear</v>
      </c>
      <c r="S596">
        <f t="shared" si="37"/>
        <v>-0.25435329828790432</v>
      </c>
      <c r="T596">
        <f t="shared" si="38"/>
        <v>0.10399668008577614</v>
      </c>
      <c r="U596" s="6">
        <v>0.18</v>
      </c>
      <c r="V596">
        <f t="array" ref="V596">CORREL(IFERROR(VALUE(TRIM(CLEAN($U$2:$U$1001))),0), IFERROR(VALUE(TRIM(CLEAN($P$2:$P$1001))),0))</f>
        <v>0.23135628536430677</v>
      </c>
    </row>
    <row r="597" spans="1:22" x14ac:dyDescent="0.25">
      <c r="A597">
        <v>596</v>
      </c>
      <c r="B597" s="1">
        <v>40571</v>
      </c>
      <c r="C597">
        <v>1</v>
      </c>
      <c r="D597">
        <v>0</v>
      </c>
      <c r="E597">
        <v>1</v>
      </c>
      <c r="F597">
        <v>0</v>
      </c>
      <c r="G597" t="b">
        <v>0</v>
      </c>
      <c r="H597">
        <v>5</v>
      </c>
      <c r="I597">
        <v>2</v>
      </c>
      <c r="J597">
        <v>0.2</v>
      </c>
      <c r="K597">
        <v>0.21210000000000001</v>
      </c>
      <c r="L597">
        <v>0.75</v>
      </c>
      <c r="M597">
        <v>0.1343</v>
      </c>
      <c r="N597">
        <v>0</v>
      </c>
      <c r="O597">
        <v>9</v>
      </c>
      <c r="P597">
        <v>9</v>
      </c>
      <c r="Q597" t="str">
        <f t="shared" si="39"/>
        <v>Weekend</v>
      </c>
      <c r="R597" t="str">
        <f t="shared" si="36"/>
        <v>Mist/Cloudy</v>
      </c>
      <c r="S597">
        <f t="shared" si="37"/>
        <v>-0.25435329828790432</v>
      </c>
      <c r="T597">
        <f t="shared" si="38"/>
        <v>0.10399668008577614</v>
      </c>
      <c r="U597" s="6">
        <v>0.2</v>
      </c>
      <c r="V597">
        <f t="array" ref="V597">CORREL(IFERROR(VALUE(TRIM(CLEAN($U$2:$U$1001))),0), IFERROR(VALUE(TRIM(CLEAN($P$2:$P$1001))),0))</f>
        <v>0.23135628536430677</v>
      </c>
    </row>
    <row r="598" spans="1:22" x14ac:dyDescent="0.25">
      <c r="A598">
        <v>597</v>
      </c>
      <c r="B598" s="1">
        <v>40571</v>
      </c>
      <c r="C598">
        <v>1</v>
      </c>
      <c r="D598">
        <v>0</v>
      </c>
      <c r="E598">
        <v>1</v>
      </c>
      <c r="F598">
        <v>1</v>
      </c>
      <c r="G598" t="b">
        <v>0</v>
      </c>
      <c r="H598">
        <v>5</v>
      </c>
      <c r="I598">
        <v>2</v>
      </c>
      <c r="J598">
        <v>0.2</v>
      </c>
      <c r="K598">
        <v>0.21210000000000001</v>
      </c>
      <c r="L598">
        <v>0.75</v>
      </c>
      <c r="M598">
        <v>0.1343</v>
      </c>
      <c r="N598">
        <v>1</v>
      </c>
      <c r="O598">
        <v>2</v>
      </c>
      <c r="P598">
        <v>3</v>
      </c>
      <c r="Q598" t="str">
        <f t="shared" si="39"/>
        <v>Weekday</v>
      </c>
      <c r="R598" t="str">
        <f t="shared" si="36"/>
        <v>Mist/Cloudy</v>
      </c>
      <c r="S598">
        <f t="shared" si="37"/>
        <v>-0.25435329828790432</v>
      </c>
      <c r="T598">
        <f t="shared" si="38"/>
        <v>0.10399668008577614</v>
      </c>
      <c r="U598" s="6">
        <v>0.2</v>
      </c>
      <c r="V598">
        <f t="array" ref="V598">CORREL(IFERROR(VALUE(TRIM(CLEAN($U$2:$U$1001))),0), IFERROR(VALUE(TRIM(CLEAN($P$2:$P$1001))),0))</f>
        <v>0.23135628536430677</v>
      </c>
    </row>
    <row r="599" spans="1:22" x14ac:dyDescent="0.25">
      <c r="A599">
        <v>598</v>
      </c>
      <c r="B599" s="1">
        <v>40571</v>
      </c>
      <c r="C599">
        <v>1</v>
      </c>
      <c r="D599">
        <v>0</v>
      </c>
      <c r="E599">
        <v>1</v>
      </c>
      <c r="F599">
        <v>2</v>
      </c>
      <c r="G599" t="b">
        <v>0</v>
      </c>
      <c r="H599">
        <v>5</v>
      </c>
      <c r="I599">
        <v>2</v>
      </c>
      <c r="J599">
        <v>0.2</v>
      </c>
      <c r="K599">
        <v>0.21210000000000001</v>
      </c>
      <c r="L599">
        <v>0.75</v>
      </c>
      <c r="M599">
        <v>0.16420000000000001</v>
      </c>
      <c r="N599">
        <v>0</v>
      </c>
      <c r="O599">
        <v>2</v>
      </c>
      <c r="P599">
        <v>2</v>
      </c>
      <c r="Q599" t="str">
        <f t="shared" si="39"/>
        <v>Weekday</v>
      </c>
      <c r="R599" t="str">
        <f t="shared" si="36"/>
        <v>Mist/Cloudy</v>
      </c>
      <c r="S599">
        <f t="shared" si="37"/>
        <v>-0.25435329828790432</v>
      </c>
      <c r="T599">
        <f t="shared" si="38"/>
        <v>0.10399668008577614</v>
      </c>
      <c r="U599" s="6">
        <v>0.2</v>
      </c>
      <c r="V599">
        <f t="array" ref="V599">CORREL(IFERROR(VALUE(TRIM(CLEAN($U$2:$U$1001))),0), IFERROR(VALUE(TRIM(CLEAN($P$2:$P$1001))),0))</f>
        <v>0.23135628536430677</v>
      </c>
    </row>
    <row r="600" spans="1:22" x14ac:dyDescent="0.25">
      <c r="A600">
        <v>599</v>
      </c>
      <c r="B600" s="1">
        <v>40571</v>
      </c>
      <c r="C600">
        <v>1</v>
      </c>
      <c r="D600">
        <v>0</v>
      </c>
      <c r="E600">
        <v>1</v>
      </c>
      <c r="F600">
        <v>3</v>
      </c>
      <c r="G600" t="b">
        <v>0</v>
      </c>
      <c r="H600">
        <v>5</v>
      </c>
      <c r="I600">
        <v>2</v>
      </c>
      <c r="J600">
        <v>0.2</v>
      </c>
      <c r="K600">
        <v>0.2273</v>
      </c>
      <c r="L600">
        <v>0.75</v>
      </c>
      <c r="M600">
        <v>0.1045</v>
      </c>
      <c r="N600">
        <v>1</v>
      </c>
      <c r="O600">
        <v>0</v>
      </c>
      <c r="P600">
        <v>1</v>
      </c>
      <c r="Q600" t="str">
        <f t="shared" si="39"/>
        <v>Weekday</v>
      </c>
      <c r="R600" t="str">
        <f t="shared" si="36"/>
        <v>Mist/Cloudy</v>
      </c>
      <c r="S600">
        <f t="shared" si="37"/>
        <v>-0.25435329828790432</v>
      </c>
      <c r="T600">
        <f t="shared" si="38"/>
        <v>0.10399668008577614</v>
      </c>
      <c r="U600" s="6">
        <v>0.2</v>
      </c>
      <c r="V600">
        <f t="array" ref="V600">CORREL(IFERROR(VALUE(TRIM(CLEAN($U$2:$U$1001))),0), IFERROR(VALUE(TRIM(CLEAN($P$2:$P$1001))),0))</f>
        <v>0.23135628536430677</v>
      </c>
    </row>
    <row r="601" spans="1:22" x14ac:dyDescent="0.25">
      <c r="A601">
        <v>600</v>
      </c>
      <c r="B601" s="1">
        <v>40571</v>
      </c>
      <c r="C601">
        <v>1</v>
      </c>
      <c r="D601">
        <v>0</v>
      </c>
      <c r="E601">
        <v>1</v>
      </c>
      <c r="F601">
        <v>5</v>
      </c>
      <c r="G601" t="b">
        <v>0</v>
      </c>
      <c r="H601">
        <v>5</v>
      </c>
      <c r="I601">
        <v>2</v>
      </c>
      <c r="J601">
        <v>0.18</v>
      </c>
      <c r="K601">
        <v>0.21210000000000001</v>
      </c>
      <c r="L601">
        <v>0.8</v>
      </c>
      <c r="M601">
        <v>0.1045</v>
      </c>
      <c r="N601">
        <v>0</v>
      </c>
      <c r="O601">
        <v>4</v>
      </c>
      <c r="P601">
        <v>4</v>
      </c>
      <c r="Q601" t="str">
        <f t="shared" si="39"/>
        <v>Weekday</v>
      </c>
      <c r="R601" t="str">
        <f t="shared" si="36"/>
        <v>Mist/Cloudy</v>
      </c>
      <c r="S601">
        <f t="shared" si="37"/>
        <v>-0.25435329828790432</v>
      </c>
      <c r="T601">
        <f t="shared" si="38"/>
        <v>0.10399668008577614</v>
      </c>
      <c r="U601" s="6">
        <v>0.18</v>
      </c>
      <c r="V601">
        <f t="array" ref="V601">CORREL(IFERROR(VALUE(TRIM(CLEAN($U$2:$U$1001))),0), IFERROR(VALUE(TRIM(CLEAN($P$2:$P$1001))),0))</f>
        <v>0.23135628536430677</v>
      </c>
    </row>
    <row r="602" spans="1:22" x14ac:dyDescent="0.25">
      <c r="A602">
        <v>601</v>
      </c>
      <c r="B602" s="1">
        <v>40571</v>
      </c>
      <c r="C602">
        <v>1</v>
      </c>
      <c r="D602">
        <v>0</v>
      </c>
      <c r="E602">
        <v>1</v>
      </c>
      <c r="F602">
        <v>6</v>
      </c>
      <c r="G602" t="b">
        <v>0</v>
      </c>
      <c r="H602">
        <v>5</v>
      </c>
      <c r="I602">
        <v>2</v>
      </c>
      <c r="J602">
        <v>0.18</v>
      </c>
      <c r="K602">
        <v>0.19700000000000001</v>
      </c>
      <c r="L602">
        <v>0.8</v>
      </c>
      <c r="M602">
        <v>0.1343</v>
      </c>
      <c r="N602">
        <v>0</v>
      </c>
      <c r="O602">
        <v>16</v>
      </c>
      <c r="P602">
        <v>16</v>
      </c>
      <c r="Q602" t="str">
        <f t="shared" si="39"/>
        <v>Weekday</v>
      </c>
      <c r="R602" t="str">
        <f t="shared" si="36"/>
        <v>Mist/Cloudy</v>
      </c>
      <c r="S602">
        <f t="shared" si="37"/>
        <v>-0.25435329828790432</v>
      </c>
      <c r="T602">
        <f t="shared" si="38"/>
        <v>0.10399668008577614</v>
      </c>
      <c r="U602" s="6">
        <v>0.18</v>
      </c>
      <c r="V602">
        <f t="array" ref="V602">CORREL(IFERROR(VALUE(TRIM(CLEAN($U$2:$U$1001))),0), IFERROR(VALUE(TRIM(CLEAN($P$2:$P$1001))),0))</f>
        <v>0.23135628536430677</v>
      </c>
    </row>
    <row r="603" spans="1:22" x14ac:dyDescent="0.25">
      <c r="A603">
        <v>602</v>
      </c>
      <c r="B603" s="1">
        <v>40571</v>
      </c>
      <c r="C603">
        <v>1</v>
      </c>
      <c r="D603">
        <v>0</v>
      </c>
      <c r="E603">
        <v>1</v>
      </c>
      <c r="F603">
        <v>7</v>
      </c>
      <c r="G603" t="b">
        <v>0</v>
      </c>
      <c r="H603">
        <v>5</v>
      </c>
      <c r="I603">
        <v>2</v>
      </c>
      <c r="J603">
        <v>0.16</v>
      </c>
      <c r="K603">
        <v>0.19700000000000001</v>
      </c>
      <c r="L603">
        <v>0.86</v>
      </c>
      <c r="M603">
        <v>8.9599999999999999E-2</v>
      </c>
      <c r="N603">
        <v>2</v>
      </c>
      <c r="O603">
        <v>58</v>
      </c>
      <c r="P603">
        <v>60</v>
      </c>
      <c r="Q603" t="str">
        <f t="shared" si="39"/>
        <v>Weekend</v>
      </c>
      <c r="R603" t="str">
        <f t="shared" si="36"/>
        <v>Mist/Cloudy</v>
      </c>
      <c r="S603">
        <f t="shared" si="37"/>
        <v>-0.25435329828790432</v>
      </c>
      <c r="T603">
        <f t="shared" si="38"/>
        <v>0.10399668008577614</v>
      </c>
      <c r="U603" s="6">
        <v>0.16</v>
      </c>
      <c r="V603">
        <f t="array" ref="V603">CORREL(IFERROR(VALUE(TRIM(CLEAN($U$2:$U$1001))),0), IFERROR(VALUE(TRIM(CLEAN($P$2:$P$1001))),0))</f>
        <v>0.23135628536430677</v>
      </c>
    </row>
    <row r="604" spans="1:22" x14ac:dyDescent="0.25">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c r="Q604" t="str">
        <f t="shared" si="39"/>
        <v>Weekend</v>
      </c>
      <c r="R604" t="str">
        <f t="shared" si="36"/>
        <v>Mist/Cloudy</v>
      </c>
      <c r="S604">
        <f t="shared" si="37"/>
        <v>-0.25435329828790432</v>
      </c>
      <c r="T604">
        <f t="shared" si="38"/>
        <v>0.10399668008577614</v>
      </c>
      <c r="U604" s="6">
        <v>0.16</v>
      </c>
      <c r="V604">
        <f t="array" ref="V604">CORREL(IFERROR(VALUE(TRIM(CLEAN($U$2:$U$1001))),0), IFERROR(VALUE(TRIM(CLEAN($P$2:$P$1001))),0))</f>
        <v>0.23135628536430677</v>
      </c>
    </row>
    <row r="605" spans="1:22" x14ac:dyDescent="0.25">
      <c r="A605">
        <v>604</v>
      </c>
      <c r="B605" s="1">
        <v>40571</v>
      </c>
      <c r="C605">
        <v>1</v>
      </c>
      <c r="D605">
        <v>0</v>
      </c>
      <c r="E605">
        <v>1</v>
      </c>
      <c r="F605">
        <v>9</v>
      </c>
      <c r="G605" t="b">
        <v>0</v>
      </c>
      <c r="H605">
        <v>5</v>
      </c>
      <c r="I605">
        <v>3</v>
      </c>
      <c r="J605">
        <v>0.18</v>
      </c>
      <c r="K605">
        <v>0.21210000000000001</v>
      </c>
      <c r="L605">
        <v>0.86</v>
      </c>
      <c r="M605">
        <v>8.9599999999999999E-2</v>
      </c>
      <c r="N605">
        <v>6</v>
      </c>
      <c r="O605">
        <v>95</v>
      </c>
      <c r="P605">
        <v>101</v>
      </c>
      <c r="Q605" t="str">
        <f t="shared" si="39"/>
        <v>Weekday</v>
      </c>
      <c r="R605" t="str">
        <f t="shared" si="36"/>
        <v>Light Snow/Rain</v>
      </c>
      <c r="S605">
        <f t="shared" si="37"/>
        <v>-0.25435329828790432</v>
      </c>
      <c r="T605">
        <f t="shared" si="38"/>
        <v>0.10399668008577614</v>
      </c>
      <c r="U605" s="6">
        <v>0.18</v>
      </c>
      <c r="V605">
        <f t="array" ref="V605">CORREL(IFERROR(VALUE(TRIM(CLEAN($U$2:$U$1001))),0), IFERROR(VALUE(TRIM(CLEAN($P$2:$P$1001))),0))</f>
        <v>0.23135628536430677</v>
      </c>
    </row>
    <row r="606" spans="1:22" x14ac:dyDescent="0.25">
      <c r="A606">
        <v>605</v>
      </c>
      <c r="B606" s="1">
        <v>40571</v>
      </c>
      <c r="C606">
        <v>1</v>
      </c>
      <c r="D606">
        <v>0</v>
      </c>
      <c r="E606">
        <v>1</v>
      </c>
      <c r="F606">
        <v>10</v>
      </c>
      <c r="G606" t="b">
        <v>0</v>
      </c>
      <c r="H606">
        <v>5</v>
      </c>
      <c r="I606">
        <v>3</v>
      </c>
      <c r="J606">
        <v>0.18</v>
      </c>
      <c r="K606">
        <v>0.21210000000000001</v>
      </c>
      <c r="L606">
        <v>0.86</v>
      </c>
      <c r="M606">
        <v>0.1045</v>
      </c>
      <c r="N606">
        <v>0</v>
      </c>
      <c r="O606">
        <v>49</v>
      </c>
      <c r="P606">
        <v>49</v>
      </c>
      <c r="Q606" t="str">
        <f t="shared" si="39"/>
        <v>Weekday</v>
      </c>
      <c r="R606" t="str">
        <f t="shared" si="36"/>
        <v>Light Snow/Rain</v>
      </c>
      <c r="S606">
        <f t="shared" si="37"/>
        <v>-0.25435329828790432</v>
      </c>
      <c r="T606">
        <f t="shared" si="38"/>
        <v>0.10399668008577614</v>
      </c>
      <c r="U606" s="6">
        <v>0.18</v>
      </c>
      <c r="V606">
        <f t="array" ref="V606">CORREL(IFERROR(VALUE(TRIM(CLEAN($U$2:$U$1001))),0), IFERROR(VALUE(TRIM(CLEAN($P$2:$P$1001))),0))</f>
        <v>0.23135628536430677</v>
      </c>
    </row>
    <row r="607" spans="1:22" x14ac:dyDescent="0.25">
      <c r="A607">
        <v>606</v>
      </c>
      <c r="B607" s="1">
        <v>40571</v>
      </c>
      <c r="C607">
        <v>1</v>
      </c>
      <c r="D607">
        <v>0</v>
      </c>
      <c r="E607">
        <v>1</v>
      </c>
      <c r="F607">
        <v>11</v>
      </c>
      <c r="G607" t="b">
        <v>0</v>
      </c>
      <c r="H607">
        <v>5</v>
      </c>
      <c r="I607">
        <v>3</v>
      </c>
      <c r="J607">
        <v>0.18</v>
      </c>
      <c r="K607">
        <v>0.21210000000000001</v>
      </c>
      <c r="L607">
        <v>0.93</v>
      </c>
      <c r="M607">
        <v>0.1045</v>
      </c>
      <c r="N607">
        <v>0</v>
      </c>
      <c r="O607">
        <v>30</v>
      </c>
      <c r="P607">
        <v>30</v>
      </c>
      <c r="Q607" t="str">
        <f t="shared" si="39"/>
        <v>Weekday</v>
      </c>
      <c r="R607" t="str">
        <f t="shared" si="36"/>
        <v>Light Snow/Rain</v>
      </c>
      <c r="S607">
        <f t="shared" si="37"/>
        <v>-0.25435329828790432</v>
      </c>
      <c r="T607">
        <f t="shared" si="38"/>
        <v>0.10399668008577614</v>
      </c>
      <c r="U607" s="6">
        <v>0.18</v>
      </c>
      <c r="V607">
        <f t="array" ref="V607">CORREL(IFERROR(VALUE(TRIM(CLEAN($U$2:$U$1001))),0), IFERROR(VALUE(TRIM(CLEAN($P$2:$P$1001))),0))</f>
        <v>0.23135628536430677</v>
      </c>
    </row>
    <row r="608" spans="1:22" x14ac:dyDescent="0.25">
      <c r="A608">
        <v>607</v>
      </c>
      <c r="B608" s="1">
        <v>40571</v>
      </c>
      <c r="C608">
        <v>1</v>
      </c>
      <c r="D608">
        <v>0</v>
      </c>
      <c r="E608">
        <v>1</v>
      </c>
      <c r="F608">
        <v>12</v>
      </c>
      <c r="G608" t="b">
        <v>0</v>
      </c>
      <c r="H608">
        <v>5</v>
      </c>
      <c r="I608">
        <v>3</v>
      </c>
      <c r="J608">
        <v>0.18</v>
      </c>
      <c r="K608">
        <v>0.21210000000000001</v>
      </c>
      <c r="L608">
        <v>0.93</v>
      </c>
      <c r="M608">
        <v>0.1045</v>
      </c>
      <c r="N608">
        <v>1</v>
      </c>
      <c r="O608">
        <v>28</v>
      </c>
      <c r="P608">
        <v>29</v>
      </c>
      <c r="Q608" t="str">
        <f t="shared" si="39"/>
        <v>Weekday</v>
      </c>
      <c r="R608" t="str">
        <f t="shared" si="36"/>
        <v>Light Snow/Rain</v>
      </c>
      <c r="S608">
        <f t="shared" si="37"/>
        <v>-0.25435329828790432</v>
      </c>
      <c r="T608">
        <f t="shared" si="38"/>
        <v>0.10399668008577614</v>
      </c>
      <c r="U608" s="6">
        <v>0.18</v>
      </c>
      <c r="V608">
        <f t="array" ref="V608">CORREL(IFERROR(VALUE(TRIM(CLEAN($U$2:$U$1001))),0), IFERROR(VALUE(TRIM(CLEAN($P$2:$P$1001))),0))</f>
        <v>0.23135628536430677</v>
      </c>
    </row>
    <row r="609" spans="1:22" x14ac:dyDescent="0.25">
      <c r="A609">
        <v>608</v>
      </c>
      <c r="B609" s="1">
        <v>40571</v>
      </c>
      <c r="C609">
        <v>1</v>
      </c>
      <c r="D609">
        <v>0</v>
      </c>
      <c r="E609">
        <v>1</v>
      </c>
      <c r="F609">
        <v>13</v>
      </c>
      <c r="G609" t="b">
        <v>0</v>
      </c>
      <c r="H609">
        <v>5</v>
      </c>
      <c r="I609">
        <v>3</v>
      </c>
      <c r="J609">
        <v>0.18</v>
      </c>
      <c r="K609">
        <v>0.21210000000000001</v>
      </c>
      <c r="L609">
        <v>0.93</v>
      </c>
      <c r="M609">
        <v>0.1045</v>
      </c>
      <c r="N609">
        <v>0</v>
      </c>
      <c r="O609">
        <v>31</v>
      </c>
      <c r="P609">
        <v>31</v>
      </c>
      <c r="Q609" t="str">
        <f t="shared" si="39"/>
        <v>Weekday</v>
      </c>
      <c r="R609" t="str">
        <f t="shared" si="36"/>
        <v>Light Snow/Rain</v>
      </c>
      <c r="S609">
        <f t="shared" si="37"/>
        <v>-0.25435329828790432</v>
      </c>
      <c r="T609">
        <f t="shared" si="38"/>
        <v>0.10399668008577614</v>
      </c>
      <c r="U609" s="6">
        <v>0.18</v>
      </c>
      <c r="V609">
        <f t="array" ref="V609">CORREL(IFERROR(VALUE(TRIM(CLEAN($U$2:$U$1001))),0), IFERROR(VALUE(TRIM(CLEAN($P$2:$P$1001))),0))</f>
        <v>0.23135628536430677</v>
      </c>
    </row>
    <row r="610" spans="1:22" x14ac:dyDescent="0.25">
      <c r="A610">
        <v>609</v>
      </c>
      <c r="B610" s="1">
        <v>40571</v>
      </c>
      <c r="C610">
        <v>1</v>
      </c>
      <c r="D610">
        <v>0</v>
      </c>
      <c r="E610">
        <v>1</v>
      </c>
      <c r="F610">
        <v>14</v>
      </c>
      <c r="G610" t="b">
        <v>0</v>
      </c>
      <c r="H610">
        <v>5</v>
      </c>
      <c r="I610">
        <v>3</v>
      </c>
      <c r="J610">
        <v>0.22</v>
      </c>
      <c r="K610">
        <v>0.2727</v>
      </c>
      <c r="L610">
        <v>0.8</v>
      </c>
      <c r="M610">
        <v>0</v>
      </c>
      <c r="N610">
        <v>2</v>
      </c>
      <c r="O610">
        <v>36</v>
      </c>
      <c r="P610">
        <v>38</v>
      </c>
      <c r="Q610" t="str">
        <f t="shared" si="39"/>
        <v>Weekend</v>
      </c>
      <c r="R610" t="str">
        <f t="shared" si="36"/>
        <v>Light Snow/Rain</v>
      </c>
      <c r="S610">
        <f t="shared" si="37"/>
        <v>-0.25435329828790432</v>
      </c>
      <c r="T610">
        <f t="shared" si="38"/>
        <v>0.10399668008577614</v>
      </c>
      <c r="U610" s="6">
        <v>0.22</v>
      </c>
      <c r="V610">
        <f t="array" ref="V610">CORREL(IFERROR(VALUE(TRIM(CLEAN($U$2:$U$1001))),0), IFERROR(VALUE(TRIM(CLEAN($P$2:$P$1001))),0))</f>
        <v>0.23135628536430677</v>
      </c>
    </row>
    <row r="611" spans="1:22" x14ac:dyDescent="0.25">
      <c r="A611">
        <v>610</v>
      </c>
      <c r="B611" s="1">
        <v>40571</v>
      </c>
      <c r="C611">
        <v>1</v>
      </c>
      <c r="D611">
        <v>0</v>
      </c>
      <c r="E611">
        <v>1</v>
      </c>
      <c r="F611">
        <v>15</v>
      </c>
      <c r="G611" t="b">
        <v>0</v>
      </c>
      <c r="H611">
        <v>5</v>
      </c>
      <c r="I611">
        <v>2</v>
      </c>
      <c r="J611">
        <v>0.2</v>
      </c>
      <c r="K611">
        <v>0.2576</v>
      </c>
      <c r="L611">
        <v>0.86</v>
      </c>
      <c r="M611">
        <v>0</v>
      </c>
      <c r="N611">
        <v>1</v>
      </c>
      <c r="O611">
        <v>40</v>
      </c>
      <c r="P611">
        <v>41</v>
      </c>
      <c r="Q611" t="str">
        <f t="shared" si="39"/>
        <v>Weekend</v>
      </c>
      <c r="R611" t="str">
        <f t="shared" si="36"/>
        <v>Mist/Cloudy</v>
      </c>
      <c r="S611">
        <f t="shared" si="37"/>
        <v>-0.25435329828790432</v>
      </c>
      <c r="T611">
        <f t="shared" si="38"/>
        <v>0.10399668008577614</v>
      </c>
      <c r="U611" s="6">
        <v>0.2</v>
      </c>
      <c r="V611">
        <f t="array" ref="V611">CORREL(IFERROR(VALUE(TRIM(CLEAN($U$2:$U$1001))),0), IFERROR(VALUE(TRIM(CLEAN($P$2:$P$1001))),0))</f>
        <v>0.23135628536430677</v>
      </c>
    </row>
    <row r="612" spans="1:22" x14ac:dyDescent="0.25">
      <c r="A612">
        <v>611</v>
      </c>
      <c r="B612" s="1">
        <v>40571</v>
      </c>
      <c r="C612">
        <v>1</v>
      </c>
      <c r="D612">
        <v>0</v>
      </c>
      <c r="E612">
        <v>1</v>
      </c>
      <c r="F612">
        <v>16</v>
      </c>
      <c r="G612" t="b">
        <v>0</v>
      </c>
      <c r="H612">
        <v>5</v>
      </c>
      <c r="I612">
        <v>1</v>
      </c>
      <c r="J612">
        <v>0.22</v>
      </c>
      <c r="K612">
        <v>0.2727</v>
      </c>
      <c r="L612">
        <v>0.8</v>
      </c>
      <c r="M612">
        <v>0</v>
      </c>
      <c r="N612">
        <v>10</v>
      </c>
      <c r="O612">
        <v>70</v>
      </c>
      <c r="P612">
        <v>80</v>
      </c>
      <c r="Q612" t="str">
        <f t="shared" si="39"/>
        <v>Weekday</v>
      </c>
      <c r="R612" t="str">
        <f t="shared" si="36"/>
        <v>Clear</v>
      </c>
      <c r="S612">
        <f t="shared" si="37"/>
        <v>-0.25435329828790432</v>
      </c>
      <c r="T612">
        <f t="shared" si="38"/>
        <v>0.10399668008577614</v>
      </c>
      <c r="U612" s="6">
        <v>0.22</v>
      </c>
      <c r="V612">
        <f t="array" ref="V612">CORREL(IFERROR(VALUE(TRIM(CLEAN($U$2:$U$1001))),0), IFERROR(VALUE(TRIM(CLEAN($P$2:$P$1001))),0))</f>
        <v>0.23135628536430677</v>
      </c>
    </row>
    <row r="613" spans="1:22" x14ac:dyDescent="0.25">
      <c r="A613">
        <v>612</v>
      </c>
      <c r="B613" s="1">
        <v>40571</v>
      </c>
      <c r="C613">
        <v>1</v>
      </c>
      <c r="D613">
        <v>0</v>
      </c>
      <c r="E613">
        <v>1</v>
      </c>
      <c r="F613">
        <v>17</v>
      </c>
      <c r="G613" t="b">
        <v>0</v>
      </c>
      <c r="H613">
        <v>5</v>
      </c>
      <c r="I613">
        <v>1</v>
      </c>
      <c r="J613">
        <v>0.24</v>
      </c>
      <c r="K613">
        <v>0.2424</v>
      </c>
      <c r="L613">
        <v>0.75</v>
      </c>
      <c r="M613">
        <v>0.1343</v>
      </c>
      <c r="N613">
        <v>2</v>
      </c>
      <c r="O613">
        <v>147</v>
      </c>
      <c r="P613">
        <v>149</v>
      </c>
      <c r="Q613" t="str">
        <f t="shared" si="39"/>
        <v>Weekday</v>
      </c>
      <c r="R613" t="str">
        <f t="shared" si="36"/>
        <v>Clear</v>
      </c>
      <c r="S613">
        <f t="shared" si="37"/>
        <v>-0.25435329828790432</v>
      </c>
      <c r="T613">
        <f t="shared" si="38"/>
        <v>0.10399668008577614</v>
      </c>
      <c r="U613" s="6">
        <v>0.24</v>
      </c>
      <c r="V613">
        <f t="array" ref="V613">CORREL(IFERROR(VALUE(TRIM(CLEAN($U$2:$U$1001))),0), IFERROR(VALUE(TRIM(CLEAN($P$2:$P$1001))),0))</f>
        <v>0.23135628536430677</v>
      </c>
    </row>
    <row r="614" spans="1:22" x14ac:dyDescent="0.25">
      <c r="A614">
        <v>613</v>
      </c>
      <c r="B614" s="1">
        <v>40571</v>
      </c>
      <c r="C614">
        <v>1</v>
      </c>
      <c r="D614">
        <v>0</v>
      </c>
      <c r="E614">
        <v>1</v>
      </c>
      <c r="F614">
        <v>18</v>
      </c>
      <c r="G614" t="b">
        <v>0</v>
      </c>
      <c r="H614">
        <v>5</v>
      </c>
      <c r="I614">
        <v>1</v>
      </c>
      <c r="J614">
        <v>0.24</v>
      </c>
      <c r="K614">
        <v>0.2273</v>
      </c>
      <c r="L614">
        <v>0.75</v>
      </c>
      <c r="M614">
        <v>0.19400000000000001</v>
      </c>
      <c r="N614">
        <v>2</v>
      </c>
      <c r="O614">
        <v>107</v>
      </c>
      <c r="P614">
        <v>109</v>
      </c>
      <c r="Q614" t="str">
        <f t="shared" si="39"/>
        <v>Weekday</v>
      </c>
      <c r="R614" t="str">
        <f t="shared" si="36"/>
        <v>Clear</v>
      </c>
      <c r="S614">
        <f t="shared" si="37"/>
        <v>-0.25435329828790432</v>
      </c>
      <c r="T614">
        <f t="shared" si="38"/>
        <v>0.10399668008577614</v>
      </c>
      <c r="U614" s="6">
        <v>0.24</v>
      </c>
      <c r="V614">
        <f t="array" ref="V614">CORREL(IFERROR(VALUE(TRIM(CLEAN($U$2:$U$1001))),0), IFERROR(VALUE(TRIM(CLEAN($P$2:$P$1001))),0))</f>
        <v>0.23135628536430677</v>
      </c>
    </row>
    <row r="615" spans="1:22" x14ac:dyDescent="0.25">
      <c r="A615">
        <v>614</v>
      </c>
      <c r="B615" s="1">
        <v>40571</v>
      </c>
      <c r="C615">
        <v>1</v>
      </c>
      <c r="D615">
        <v>0</v>
      </c>
      <c r="E615">
        <v>1</v>
      </c>
      <c r="F615">
        <v>19</v>
      </c>
      <c r="G615" t="b">
        <v>0</v>
      </c>
      <c r="H615">
        <v>5</v>
      </c>
      <c r="I615">
        <v>2</v>
      </c>
      <c r="J615">
        <v>0.24</v>
      </c>
      <c r="K615">
        <v>0.2424</v>
      </c>
      <c r="L615">
        <v>0.75</v>
      </c>
      <c r="M615">
        <v>0.1343</v>
      </c>
      <c r="N615">
        <v>5</v>
      </c>
      <c r="O615">
        <v>84</v>
      </c>
      <c r="P615">
        <v>89</v>
      </c>
      <c r="Q615" t="str">
        <f t="shared" si="39"/>
        <v>Weekday</v>
      </c>
      <c r="R615" t="str">
        <f t="shared" si="36"/>
        <v>Mist/Cloudy</v>
      </c>
      <c r="S615">
        <f t="shared" si="37"/>
        <v>-0.25435329828790432</v>
      </c>
      <c r="T615">
        <f t="shared" si="38"/>
        <v>0.10399668008577614</v>
      </c>
      <c r="U615" s="6">
        <v>0.24</v>
      </c>
      <c r="V615">
        <f t="array" ref="V615">CORREL(IFERROR(VALUE(TRIM(CLEAN($U$2:$U$1001))),0), IFERROR(VALUE(TRIM(CLEAN($P$2:$P$1001))),0))</f>
        <v>0.23135628536430677</v>
      </c>
    </row>
    <row r="616" spans="1:22" x14ac:dyDescent="0.25">
      <c r="A616">
        <v>615</v>
      </c>
      <c r="B616" s="1">
        <v>40571</v>
      </c>
      <c r="C616">
        <v>1</v>
      </c>
      <c r="D616">
        <v>0</v>
      </c>
      <c r="E616">
        <v>1</v>
      </c>
      <c r="F616">
        <v>20</v>
      </c>
      <c r="G616" t="b">
        <v>0</v>
      </c>
      <c r="H616">
        <v>5</v>
      </c>
      <c r="I616">
        <v>2</v>
      </c>
      <c r="J616">
        <v>0.24</v>
      </c>
      <c r="K616">
        <v>0.2273</v>
      </c>
      <c r="L616">
        <v>0.7</v>
      </c>
      <c r="M616">
        <v>0.19400000000000001</v>
      </c>
      <c r="N616">
        <v>1</v>
      </c>
      <c r="O616">
        <v>61</v>
      </c>
      <c r="P616">
        <v>62</v>
      </c>
      <c r="Q616" t="str">
        <f t="shared" si="39"/>
        <v>Weekday</v>
      </c>
      <c r="R616" t="str">
        <f t="shared" si="36"/>
        <v>Mist/Cloudy</v>
      </c>
      <c r="S616">
        <f t="shared" si="37"/>
        <v>-0.25435329828790432</v>
      </c>
      <c r="T616">
        <f t="shared" si="38"/>
        <v>0.10399668008577614</v>
      </c>
      <c r="U616" s="6">
        <v>0.24</v>
      </c>
      <c r="V616">
        <f t="array" ref="V616">CORREL(IFERROR(VALUE(TRIM(CLEAN($U$2:$U$1001))),0), IFERROR(VALUE(TRIM(CLEAN($P$2:$P$1001))),0))</f>
        <v>0.23135628536430677</v>
      </c>
    </row>
    <row r="617" spans="1:22" x14ac:dyDescent="0.25">
      <c r="A617">
        <v>616</v>
      </c>
      <c r="B617" s="1">
        <v>40571</v>
      </c>
      <c r="C617">
        <v>1</v>
      </c>
      <c r="D617">
        <v>0</v>
      </c>
      <c r="E617">
        <v>1</v>
      </c>
      <c r="F617">
        <v>21</v>
      </c>
      <c r="G617" t="b">
        <v>0</v>
      </c>
      <c r="H617">
        <v>5</v>
      </c>
      <c r="I617">
        <v>2</v>
      </c>
      <c r="J617">
        <v>0.22</v>
      </c>
      <c r="K617">
        <v>0.2273</v>
      </c>
      <c r="L617">
        <v>0.75</v>
      </c>
      <c r="M617">
        <v>0.1343</v>
      </c>
      <c r="N617">
        <v>1</v>
      </c>
      <c r="O617">
        <v>57</v>
      </c>
      <c r="P617">
        <v>58</v>
      </c>
      <c r="Q617" t="str">
        <f t="shared" si="39"/>
        <v>Weekend</v>
      </c>
      <c r="R617" t="str">
        <f t="shared" si="36"/>
        <v>Mist/Cloudy</v>
      </c>
      <c r="S617">
        <f t="shared" si="37"/>
        <v>-0.25435329828790432</v>
      </c>
      <c r="T617">
        <f t="shared" si="38"/>
        <v>0.10399668008577614</v>
      </c>
      <c r="U617" s="6">
        <v>0.22</v>
      </c>
      <c r="V617">
        <f t="array" ref="V617">CORREL(IFERROR(VALUE(TRIM(CLEAN($U$2:$U$1001))),0), IFERROR(VALUE(TRIM(CLEAN($P$2:$P$1001))),0))</f>
        <v>0.23135628536430677</v>
      </c>
    </row>
    <row r="618" spans="1:22" x14ac:dyDescent="0.25">
      <c r="A618">
        <v>617</v>
      </c>
      <c r="B618" s="1">
        <v>40571</v>
      </c>
      <c r="C618">
        <v>1</v>
      </c>
      <c r="D618">
        <v>0</v>
      </c>
      <c r="E618">
        <v>1</v>
      </c>
      <c r="F618">
        <v>22</v>
      </c>
      <c r="G618" t="b">
        <v>0</v>
      </c>
      <c r="H618">
        <v>5</v>
      </c>
      <c r="I618">
        <v>1</v>
      </c>
      <c r="J618">
        <v>0.24</v>
      </c>
      <c r="K618">
        <v>0.21210000000000001</v>
      </c>
      <c r="L618">
        <v>0.65</v>
      </c>
      <c r="M618">
        <v>0.35820000000000002</v>
      </c>
      <c r="N618">
        <v>0</v>
      </c>
      <c r="O618">
        <v>26</v>
      </c>
      <c r="P618">
        <v>26</v>
      </c>
      <c r="Q618" t="str">
        <f t="shared" si="39"/>
        <v>Weekend</v>
      </c>
      <c r="R618" t="str">
        <f t="shared" si="36"/>
        <v>Clear</v>
      </c>
      <c r="S618">
        <f t="shared" si="37"/>
        <v>-0.25435329828790432</v>
      </c>
      <c r="T618">
        <f t="shared" si="38"/>
        <v>0.10399668008577614</v>
      </c>
      <c r="U618" s="6">
        <v>0.24</v>
      </c>
      <c r="V618">
        <f t="array" ref="V618">CORREL(IFERROR(VALUE(TRIM(CLEAN($U$2:$U$1001))),0), IFERROR(VALUE(TRIM(CLEAN($P$2:$P$1001))),0))</f>
        <v>0.23135628536430677</v>
      </c>
    </row>
    <row r="619" spans="1:22" x14ac:dyDescent="0.25">
      <c r="A619">
        <v>618</v>
      </c>
      <c r="B619" s="1">
        <v>40571</v>
      </c>
      <c r="C619">
        <v>1</v>
      </c>
      <c r="D619">
        <v>0</v>
      </c>
      <c r="E619">
        <v>1</v>
      </c>
      <c r="F619">
        <v>23</v>
      </c>
      <c r="G619" t="b">
        <v>0</v>
      </c>
      <c r="H619">
        <v>5</v>
      </c>
      <c r="I619">
        <v>1</v>
      </c>
      <c r="J619">
        <v>0.24</v>
      </c>
      <c r="K619">
        <v>0.2273</v>
      </c>
      <c r="L619">
        <v>0.6</v>
      </c>
      <c r="M619">
        <v>0.22389999999999999</v>
      </c>
      <c r="N619">
        <v>1</v>
      </c>
      <c r="O619">
        <v>22</v>
      </c>
      <c r="P619">
        <v>23</v>
      </c>
      <c r="Q619" t="str">
        <f t="shared" si="39"/>
        <v>Weekday</v>
      </c>
      <c r="R619" t="str">
        <f t="shared" si="36"/>
        <v>Clear</v>
      </c>
      <c r="S619">
        <f t="shared" si="37"/>
        <v>-0.25435329828790432</v>
      </c>
      <c r="T619">
        <f t="shared" si="38"/>
        <v>0.10399668008577614</v>
      </c>
      <c r="U619" s="6">
        <v>0.24</v>
      </c>
      <c r="V619">
        <f t="array" ref="V619">CORREL(IFERROR(VALUE(TRIM(CLEAN($U$2:$U$1001))),0), IFERROR(VALUE(TRIM(CLEAN($P$2:$P$1001))),0))</f>
        <v>0.23135628536430677</v>
      </c>
    </row>
    <row r="620" spans="1:22" x14ac:dyDescent="0.25">
      <c r="A620">
        <v>619</v>
      </c>
      <c r="B620" s="1">
        <v>40572</v>
      </c>
      <c r="C620">
        <v>1</v>
      </c>
      <c r="D620">
        <v>0</v>
      </c>
      <c r="E620">
        <v>1</v>
      </c>
      <c r="F620">
        <v>0</v>
      </c>
      <c r="G620" t="b">
        <v>0</v>
      </c>
      <c r="H620">
        <v>6</v>
      </c>
      <c r="I620">
        <v>1</v>
      </c>
      <c r="J620">
        <v>0.22</v>
      </c>
      <c r="K620">
        <v>0.19700000000000001</v>
      </c>
      <c r="L620">
        <v>0.64</v>
      </c>
      <c r="M620">
        <v>0.35820000000000002</v>
      </c>
      <c r="N620">
        <v>2</v>
      </c>
      <c r="O620">
        <v>26</v>
      </c>
      <c r="P620">
        <v>28</v>
      </c>
      <c r="Q620" t="str">
        <f t="shared" si="39"/>
        <v>Weekday</v>
      </c>
      <c r="R620" t="str">
        <f t="shared" si="36"/>
        <v>Clear</v>
      </c>
      <c r="S620">
        <f t="shared" si="37"/>
        <v>-0.25435329828790432</v>
      </c>
      <c r="T620">
        <f t="shared" si="38"/>
        <v>0.10399668008577614</v>
      </c>
      <c r="U620" s="6">
        <v>0.22</v>
      </c>
      <c r="V620">
        <f t="array" ref="V620">CORREL(IFERROR(VALUE(TRIM(CLEAN($U$2:$U$1001))),0), IFERROR(VALUE(TRIM(CLEAN($P$2:$P$1001))),0))</f>
        <v>0.23135628536430677</v>
      </c>
    </row>
    <row r="621" spans="1:22" x14ac:dyDescent="0.25">
      <c r="A621">
        <v>620</v>
      </c>
      <c r="B621" s="1">
        <v>40572</v>
      </c>
      <c r="C621">
        <v>1</v>
      </c>
      <c r="D621">
        <v>0</v>
      </c>
      <c r="E621">
        <v>1</v>
      </c>
      <c r="F621">
        <v>1</v>
      </c>
      <c r="G621" t="b">
        <v>0</v>
      </c>
      <c r="H621">
        <v>6</v>
      </c>
      <c r="I621">
        <v>1</v>
      </c>
      <c r="J621">
        <v>0.22</v>
      </c>
      <c r="K621">
        <v>0.2273</v>
      </c>
      <c r="L621">
        <v>0.64</v>
      </c>
      <c r="M621">
        <v>0.19400000000000001</v>
      </c>
      <c r="N621">
        <v>0</v>
      </c>
      <c r="O621">
        <v>20</v>
      </c>
      <c r="P621">
        <v>20</v>
      </c>
      <c r="Q621" t="str">
        <f t="shared" si="39"/>
        <v>Weekday</v>
      </c>
      <c r="R621" t="str">
        <f t="shared" si="36"/>
        <v>Clear</v>
      </c>
      <c r="S621">
        <f t="shared" si="37"/>
        <v>-0.25435329828790432</v>
      </c>
      <c r="T621">
        <f t="shared" si="38"/>
        <v>0.10399668008577614</v>
      </c>
      <c r="U621" s="6">
        <v>0.22</v>
      </c>
      <c r="V621">
        <f t="array" ref="V621">CORREL(IFERROR(VALUE(TRIM(CLEAN($U$2:$U$1001))),0), IFERROR(VALUE(TRIM(CLEAN($P$2:$P$1001))),0))</f>
        <v>0.23135628536430677</v>
      </c>
    </row>
    <row r="622" spans="1:22" x14ac:dyDescent="0.25">
      <c r="A622">
        <v>621</v>
      </c>
      <c r="B622" s="1">
        <v>40572</v>
      </c>
      <c r="C622">
        <v>1</v>
      </c>
      <c r="D622">
        <v>0</v>
      </c>
      <c r="E622">
        <v>1</v>
      </c>
      <c r="F622">
        <v>2</v>
      </c>
      <c r="G622" t="b">
        <v>0</v>
      </c>
      <c r="H622">
        <v>6</v>
      </c>
      <c r="I622">
        <v>1</v>
      </c>
      <c r="J622">
        <v>0.22</v>
      </c>
      <c r="K622">
        <v>0.2273</v>
      </c>
      <c r="L622">
        <v>0.64</v>
      </c>
      <c r="M622">
        <v>0.16420000000000001</v>
      </c>
      <c r="N622">
        <v>0</v>
      </c>
      <c r="O622">
        <v>15</v>
      </c>
      <c r="P622">
        <v>15</v>
      </c>
      <c r="Q622" t="str">
        <f t="shared" si="39"/>
        <v>Weekday</v>
      </c>
      <c r="R622" t="str">
        <f t="shared" si="36"/>
        <v>Clear</v>
      </c>
      <c r="S622">
        <f t="shared" si="37"/>
        <v>-0.25435329828790432</v>
      </c>
      <c r="T622">
        <f t="shared" si="38"/>
        <v>0.10399668008577614</v>
      </c>
      <c r="U622" s="6">
        <v>0.22</v>
      </c>
      <c r="V622">
        <f t="array" ref="V622">CORREL(IFERROR(VALUE(TRIM(CLEAN($U$2:$U$1001))),0), IFERROR(VALUE(TRIM(CLEAN($P$2:$P$1001))),0))</f>
        <v>0.23135628536430677</v>
      </c>
    </row>
    <row r="623" spans="1:22" x14ac:dyDescent="0.25">
      <c r="A623">
        <v>622</v>
      </c>
      <c r="B623" s="1">
        <v>40572</v>
      </c>
      <c r="C623">
        <v>1</v>
      </c>
      <c r="D623">
        <v>0</v>
      </c>
      <c r="E623">
        <v>1</v>
      </c>
      <c r="F623">
        <v>3</v>
      </c>
      <c r="G623" t="b">
        <v>0</v>
      </c>
      <c r="H623">
        <v>6</v>
      </c>
      <c r="I623">
        <v>1</v>
      </c>
      <c r="J623">
        <v>0.2</v>
      </c>
      <c r="K623">
        <v>0.21210000000000001</v>
      </c>
      <c r="L623">
        <v>0.64</v>
      </c>
      <c r="M623">
        <v>0.1343</v>
      </c>
      <c r="N623">
        <v>3</v>
      </c>
      <c r="O623">
        <v>5</v>
      </c>
      <c r="P623">
        <v>8</v>
      </c>
      <c r="Q623" t="str">
        <f t="shared" si="39"/>
        <v>Weekday</v>
      </c>
      <c r="R623" t="str">
        <f t="shared" si="36"/>
        <v>Clear</v>
      </c>
      <c r="S623">
        <f t="shared" si="37"/>
        <v>-0.25435329828790432</v>
      </c>
      <c r="T623">
        <f t="shared" si="38"/>
        <v>0.10399668008577614</v>
      </c>
      <c r="U623" s="6">
        <v>0.2</v>
      </c>
      <c r="V623">
        <f t="array" ref="V623">CORREL(IFERROR(VALUE(TRIM(CLEAN($U$2:$U$1001))),0), IFERROR(VALUE(TRIM(CLEAN($P$2:$P$1001))),0))</f>
        <v>0.23135628536430677</v>
      </c>
    </row>
    <row r="624" spans="1:22" x14ac:dyDescent="0.25">
      <c r="A624">
        <v>623</v>
      </c>
      <c r="B624" s="1">
        <v>40572</v>
      </c>
      <c r="C624">
        <v>1</v>
      </c>
      <c r="D624">
        <v>0</v>
      </c>
      <c r="E624">
        <v>1</v>
      </c>
      <c r="F624">
        <v>4</v>
      </c>
      <c r="G624" t="b">
        <v>0</v>
      </c>
      <c r="H624">
        <v>6</v>
      </c>
      <c r="I624">
        <v>1</v>
      </c>
      <c r="J624">
        <v>0.16</v>
      </c>
      <c r="K624">
        <v>0.18179999999999999</v>
      </c>
      <c r="L624">
        <v>0.69</v>
      </c>
      <c r="M624">
        <v>0.1045</v>
      </c>
      <c r="N624">
        <v>1</v>
      </c>
      <c r="O624">
        <v>2</v>
      </c>
      <c r="P624">
        <v>3</v>
      </c>
      <c r="Q624" t="str">
        <f t="shared" si="39"/>
        <v>Weekend</v>
      </c>
      <c r="R624" t="str">
        <f t="shared" si="36"/>
        <v>Clear</v>
      </c>
      <c r="S624">
        <f t="shared" si="37"/>
        <v>-0.25435329828790432</v>
      </c>
      <c r="T624">
        <f t="shared" si="38"/>
        <v>0.10399668008577614</v>
      </c>
      <c r="U624" s="6">
        <v>0.16</v>
      </c>
      <c r="V624">
        <f t="array" ref="V624">CORREL(IFERROR(VALUE(TRIM(CLEAN($U$2:$U$1001))),0), IFERROR(VALUE(TRIM(CLEAN($P$2:$P$1001))),0))</f>
        <v>0.23135628536430677</v>
      </c>
    </row>
    <row r="625" spans="1:22" x14ac:dyDescent="0.25">
      <c r="A625">
        <v>624</v>
      </c>
      <c r="B625" s="1">
        <v>40572</v>
      </c>
      <c r="C625">
        <v>1</v>
      </c>
      <c r="D625">
        <v>0</v>
      </c>
      <c r="E625">
        <v>1</v>
      </c>
      <c r="F625">
        <v>6</v>
      </c>
      <c r="G625" t="b">
        <v>0</v>
      </c>
      <c r="H625">
        <v>6</v>
      </c>
      <c r="I625">
        <v>1</v>
      </c>
      <c r="J625">
        <v>0.16</v>
      </c>
      <c r="K625">
        <v>0.18179999999999999</v>
      </c>
      <c r="L625">
        <v>0.64</v>
      </c>
      <c r="M625">
        <v>0.1343</v>
      </c>
      <c r="N625">
        <v>0</v>
      </c>
      <c r="O625">
        <v>2</v>
      </c>
      <c r="P625">
        <v>2</v>
      </c>
      <c r="Q625" t="str">
        <f t="shared" si="39"/>
        <v>Weekend</v>
      </c>
      <c r="R625" t="str">
        <f t="shared" si="36"/>
        <v>Clear</v>
      </c>
      <c r="S625">
        <f t="shared" si="37"/>
        <v>-0.25435329828790432</v>
      </c>
      <c r="T625">
        <f t="shared" si="38"/>
        <v>0.10399668008577614</v>
      </c>
      <c r="U625" s="6">
        <v>0.16</v>
      </c>
      <c r="V625">
        <f t="array" ref="V625">CORREL(IFERROR(VALUE(TRIM(CLEAN($U$2:$U$1001))),0), IFERROR(VALUE(TRIM(CLEAN($P$2:$P$1001))),0))</f>
        <v>0.23135628536430677</v>
      </c>
    </row>
    <row r="626" spans="1:22" x14ac:dyDescent="0.25">
      <c r="A626">
        <v>625</v>
      </c>
      <c r="B626" s="1">
        <v>40572</v>
      </c>
      <c r="C626">
        <v>1</v>
      </c>
      <c r="D626">
        <v>0</v>
      </c>
      <c r="E626">
        <v>1</v>
      </c>
      <c r="F626">
        <v>7</v>
      </c>
      <c r="G626" t="b">
        <v>0</v>
      </c>
      <c r="H626">
        <v>6</v>
      </c>
      <c r="I626">
        <v>1</v>
      </c>
      <c r="J626">
        <v>0.16</v>
      </c>
      <c r="K626">
        <v>0.18179999999999999</v>
      </c>
      <c r="L626">
        <v>0.59</v>
      </c>
      <c r="M626">
        <v>0.1045</v>
      </c>
      <c r="N626">
        <v>1</v>
      </c>
      <c r="O626">
        <v>4</v>
      </c>
      <c r="P626">
        <v>5</v>
      </c>
      <c r="Q626" t="str">
        <f t="shared" si="39"/>
        <v>Weekday</v>
      </c>
      <c r="R626" t="str">
        <f t="shared" si="36"/>
        <v>Clear</v>
      </c>
      <c r="S626">
        <f t="shared" si="37"/>
        <v>-0.25435329828790432</v>
      </c>
      <c r="T626">
        <f t="shared" si="38"/>
        <v>0.10399668008577614</v>
      </c>
      <c r="U626" s="6">
        <v>0.16</v>
      </c>
      <c r="V626">
        <f t="array" ref="V626">CORREL(IFERROR(VALUE(TRIM(CLEAN($U$2:$U$1001))),0), IFERROR(VALUE(TRIM(CLEAN($P$2:$P$1001))),0))</f>
        <v>0.23135628536430677</v>
      </c>
    </row>
    <row r="627" spans="1:22" x14ac:dyDescent="0.25">
      <c r="A627">
        <v>626</v>
      </c>
      <c r="B627" s="1">
        <v>40572</v>
      </c>
      <c r="C627">
        <v>1</v>
      </c>
      <c r="D627">
        <v>0</v>
      </c>
      <c r="E627">
        <v>1</v>
      </c>
      <c r="F627">
        <v>8</v>
      </c>
      <c r="G627" t="b">
        <v>0</v>
      </c>
      <c r="H627">
        <v>6</v>
      </c>
      <c r="I627">
        <v>1</v>
      </c>
      <c r="J627">
        <v>0.18</v>
      </c>
      <c r="K627">
        <v>0.19700000000000001</v>
      </c>
      <c r="L627">
        <v>0.55000000000000004</v>
      </c>
      <c r="M627">
        <v>0.16420000000000001</v>
      </c>
      <c r="N627">
        <v>3</v>
      </c>
      <c r="O627">
        <v>31</v>
      </c>
      <c r="P627">
        <v>34</v>
      </c>
      <c r="Q627" t="str">
        <f t="shared" si="39"/>
        <v>Weekday</v>
      </c>
      <c r="R627" t="str">
        <f t="shared" si="36"/>
        <v>Clear</v>
      </c>
      <c r="S627">
        <f t="shared" si="37"/>
        <v>-0.25435329828790432</v>
      </c>
      <c r="T627">
        <f t="shared" si="38"/>
        <v>0.10399668008577614</v>
      </c>
      <c r="U627" s="6">
        <v>0.18</v>
      </c>
      <c r="V627">
        <f t="array" ref="V627">CORREL(IFERROR(VALUE(TRIM(CLEAN($U$2:$U$1001))),0), IFERROR(VALUE(TRIM(CLEAN($P$2:$P$1001))),0))</f>
        <v>0.23135628536430677</v>
      </c>
    </row>
    <row r="628" spans="1:22" x14ac:dyDescent="0.25">
      <c r="A628">
        <v>627</v>
      </c>
      <c r="B628" s="1">
        <v>40572</v>
      </c>
      <c r="C628">
        <v>1</v>
      </c>
      <c r="D628">
        <v>0</v>
      </c>
      <c r="E628">
        <v>1</v>
      </c>
      <c r="F628">
        <v>9</v>
      </c>
      <c r="G628" t="b">
        <v>0</v>
      </c>
      <c r="H628">
        <v>6</v>
      </c>
      <c r="I628">
        <v>1</v>
      </c>
      <c r="J628">
        <v>0.18</v>
      </c>
      <c r="K628">
        <v>0.21210000000000001</v>
      </c>
      <c r="L628">
        <v>0.59</v>
      </c>
      <c r="M628">
        <v>8.9599999999999999E-2</v>
      </c>
      <c r="N628">
        <v>0</v>
      </c>
      <c r="O628">
        <v>34</v>
      </c>
      <c r="P628">
        <v>34</v>
      </c>
      <c r="Q628" t="str">
        <f t="shared" si="39"/>
        <v>Weekday</v>
      </c>
      <c r="R628" t="str">
        <f t="shared" si="36"/>
        <v>Clear</v>
      </c>
      <c r="S628">
        <f t="shared" si="37"/>
        <v>-0.25435329828790432</v>
      </c>
      <c r="T628">
        <f t="shared" si="38"/>
        <v>0.10399668008577614</v>
      </c>
      <c r="U628" s="6">
        <v>0.18</v>
      </c>
      <c r="V628">
        <f t="array" ref="V628">CORREL(IFERROR(VALUE(TRIM(CLEAN($U$2:$U$1001))),0), IFERROR(VALUE(TRIM(CLEAN($P$2:$P$1001))),0))</f>
        <v>0.23135628536430677</v>
      </c>
    </row>
    <row r="629" spans="1:22" x14ac:dyDescent="0.25">
      <c r="A629">
        <v>628</v>
      </c>
      <c r="B629" s="1">
        <v>40572</v>
      </c>
      <c r="C629">
        <v>1</v>
      </c>
      <c r="D629">
        <v>0</v>
      </c>
      <c r="E629">
        <v>1</v>
      </c>
      <c r="F629">
        <v>10</v>
      </c>
      <c r="G629" t="b">
        <v>0</v>
      </c>
      <c r="H629">
        <v>6</v>
      </c>
      <c r="I629">
        <v>2</v>
      </c>
      <c r="J629">
        <v>0.18</v>
      </c>
      <c r="K629">
        <v>0.21210000000000001</v>
      </c>
      <c r="L629">
        <v>0.64</v>
      </c>
      <c r="M629">
        <v>0.1045</v>
      </c>
      <c r="N629">
        <v>4</v>
      </c>
      <c r="O629">
        <v>51</v>
      </c>
      <c r="P629">
        <v>55</v>
      </c>
      <c r="Q629" t="str">
        <f t="shared" si="39"/>
        <v>Weekday</v>
      </c>
      <c r="R629" t="str">
        <f t="shared" si="36"/>
        <v>Mist/Cloudy</v>
      </c>
      <c r="S629">
        <f t="shared" si="37"/>
        <v>-0.25435329828790432</v>
      </c>
      <c r="T629">
        <f t="shared" si="38"/>
        <v>0.10399668008577614</v>
      </c>
      <c r="U629" s="6">
        <v>0.18</v>
      </c>
      <c r="V629">
        <f t="array" ref="V629">CORREL(IFERROR(VALUE(TRIM(CLEAN($U$2:$U$1001))),0), IFERROR(VALUE(TRIM(CLEAN($P$2:$P$1001))),0))</f>
        <v>0.23135628536430677</v>
      </c>
    </row>
    <row r="630" spans="1:22" x14ac:dyDescent="0.25">
      <c r="A630">
        <v>629</v>
      </c>
      <c r="B630" s="1">
        <v>40572</v>
      </c>
      <c r="C630">
        <v>1</v>
      </c>
      <c r="D630">
        <v>0</v>
      </c>
      <c r="E630">
        <v>1</v>
      </c>
      <c r="F630">
        <v>11</v>
      </c>
      <c r="G630" t="b">
        <v>0</v>
      </c>
      <c r="H630">
        <v>6</v>
      </c>
      <c r="I630">
        <v>2</v>
      </c>
      <c r="J630">
        <v>0.18</v>
      </c>
      <c r="K630">
        <v>0.19700000000000001</v>
      </c>
      <c r="L630">
        <v>0.64</v>
      </c>
      <c r="M630">
        <v>0.1343</v>
      </c>
      <c r="N630">
        <v>4</v>
      </c>
      <c r="O630">
        <v>60</v>
      </c>
      <c r="P630">
        <v>64</v>
      </c>
      <c r="Q630" t="str">
        <f t="shared" si="39"/>
        <v>Weekday</v>
      </c>
      <c r="R630" t="str">
        <f t="shared" si="36"/>
        <v>Mist/Cloudy</v>
      </c>
      <c r="S630">
        <f t="shared" si="37"/>
        <v>-0.25435329828790432</v>
      </c>
      <c r="T630">
        <f t="shared" si="38"/>
        <v>0.10399668008577614</v>
      </c>
      <c r="U630" s="6">
        <v>0.18</v>
      </c>
      <c r="V630">
        <f t="array" ref="V630">CORREL(IFERROR(VALUE(TRIM(CLEAN($U$2:$U$1001))),0), IFERROR(VALUE(TRIM(CLEAN($P$2:$P$1001))),0))</f>
        <v>0.23135628536430677</v>
      </c>
    </row>
    <row r="631" spans="1:22" x14ac:dyDescent="0.25">
      <c r="A631">
        <v>630</v>
      </c>
      <c r="B631" s="1">
        <v>40572</v>
      </c>
      <c r="C631">
        <v>1</v>
      </c>
      <c r="D631">
        <v>0</v>
      </c>
      <c r="E631">
        <v>1</v>
      </c>
      <c r="F631">
        <v>12</v>
      </c>
      <c r="G631" t="b">
        <v>0</v>
      </c>
      <c r="H631">
        <v>6</v>
      </c>
      <c r="I631">
        <v>2</v>
      </c>
      <c r="J631">
        <v>0.2</v>
      </c>
      <c r="K631">
        <v>0.19700000000000001</v>
      </c>
      <c r="L631">
        <v>0.59</v>
      </c>
      <c r="M631">
        <v>0.19400000000000001</v>
      </c>
      <c r="N631">
        <v>12</v>
      </c>
      <c r="O631">
        <v>66</v>
      </c>
      <c r="P631">
        <v>78</v>
      </c>
      <c r="Q631" t="str">
        <f t="shared" si="39"/>
        <v>Weekend</v>
      </c>
      <c r="R631" t="str">
        <f t="shared" si="36"/>
        <v>Mist/Cloudy</v>
      </c>
      <c r="S631">
        <f t="shared" si="37"/>
        <v>-0.25435329828790432</v>
      </c>
      <c r="T631">
        <f t="shared" si="38"/>
        <v>0.10399668008577614</v>
      </c>
      <c r="U631" s="6">
        <v>0.2</v>
      </c>
      <c r="V631">
        <f t="array" ref="V631">CORREL(IFERROR(VALUE(TRIM(CLEAN($U$2:$U$1001))),0), IFERROR(VALUE(TRIM(CLEAN($P$2:$P$1001))),0))</f>
        <v>0.23135628536430677</v>
      </c>
    </row>
    <row r="632" spans="1:22" x14ac:dyDescent="0.25">
      <c r="A632">
        <v>631</v>
      </c>
      <c r="B632" s="1">
        <v>40572</v>
      </c>
      <c r="C632">
        <v>1</v>
      </c>
      <c r="D632">
        <v>0</v>
      </c>
      <c r="E632">
        <v>1</v>
      </c>
      <c r="F632">
        <v>13</v>
      </c>
      <c r="G632" t="b">
        <v>0</v>
      </c>
      <c r="H632">
        <v>6</v>
      </c>
      <c r="I632">
        <v>2</v>
      </c>
      <c r="J632">
        <v>0.22</v>
      </c>
      <c r="K632">
        <v>0.2273</v>
      </c>
      <c r="L632">
        <v>0.55000000000000004</v>
      </c>
      <c r="M632">
        <v>0.16420000000000001</v>
      </c>
      <c r="N632">
        <v>9</v>
      </c>
      <c r="O632">
        <v>56</v>
      </c>
      <c r="P632">
        <v>65</v>
      </c>
      <c r="Q632" t="str">
        <f t="shared" si="39"/>
        <v>Weekend</v>
      </c>
      <c r="R632" t="str">
        <f t="shared" si="36"/>
        <v>Mist/Cloudy</v>
      </c>
      <c r="S632">
        <f t="shared" si="37"/>
        <v>-0.25435329828790432</v>
      </c>
      <c r="T632">
        <f t="shared" si="38"/>
        <v>0.10399668008577614</v>
      </c>
      <c r="U632" s="6">
        <v>0.22</v>
      </c>
      <c r="V632">
        <f t="array" ref="V632">CORREL(IFERROR(VALUE(TRIM(CLEAN($U$2:$U$1001))),0), IFERROR(VALUE(TRIM(CLEAN($P$2:$P$1001))),0))</f>
        <v>0.23135628536430677</v>
      </c>
    </row>
    <row r="633" spans="1:22" x14ac:dyDescent="0.25">
      <c r="A633">
        <v>632</v>
      </c>
      <c r="B633" s="1">
        <v>40572</v>
      </c>
      <c r="C633">
        <v>1</v>
      </c>
      <c r="D633">
        <v>0</v>
      </c>
      <c r="E633">
        <v>1</v>
      </c>
      <c r="F633">
        <v>14</v>
      </c>
      <c r="G633" t="b">
        <v>0</v>
      </c>
      <c r="H633">
        <v>6</v>
      </c>
      <c r="I633">
        <v>2</v>
      </c>
      <c r="J633">
        <v>0.22</v>
      </c>
      <c r="K633">
        <v>0.2273</v>
      </c>
      <c r="L633">
        <v>0.6</v>
      </c>
      <c r="M633">
        <v>0.1343</v>
      </c>
      <c r="N633">
        <v>10</v>
      </c>
      <c r="O633">
        <v>89</v>
      </c>
      <c r="P633">
        <v>99</v>
      </c>
      <c r="Q633" t="str">
        <f t="shared" si="39"/>
        <v>Weekday</v>
      </c>
      <c r="R633" t="str">
        <f t="shared" si="36"/>
        <v>Mist/Cloudy</v>
      </c>
      <c r="S633">
        <f t="shared" si="37"/>
        <v>-0.25435329828790432</v>
      </c>
      <c r="T633">
        <f t="shared" si="38"/>
        <v>0.10399668008577614</v>
      </c>
      <c r="U633" s="6">
        <v>0.22</v>
      </c>
      <c r="V633">
        <f t="array" ref="V633">CORREL(IFERROR(VALUE(TRIM(CLEAN($U$2:$U$1001))),0), IFERROR(VALUE(TRIM(CLEAN($P$2:$P$1001))),0))</f>
        <v>0.23135628536430677</v>
      </c>
    </row>
    <row r="634" spans="1:22" x14ac:dyDescent="0.25">
      <c r="A634">
        <v>633</v>
      </c>
      <c r="B634" s="1">
        <v>40572</v>
      </c>
      <c r="C634">
        <v>1</v>
      </c>
      <c r="D634">
        <v>0</v>
      </c>
      <c r="E634">
        <v>1</v>
      </c>
      <c r="F634">
        <v>15</v>
      </c>
      <c r="G634" t="b">
        <v>0</v>
      </c>
      <c r="H634">
        <v>6</v>
      </c>
      <c r="I634">
        <v>1</v>
      </c>
      <c r="J634">
        <v>0.22</v>
      </c>
      <c r="K634">
        <v>0.21210000000000001</v>
      </c>
      <c r="L634">
        <v>0.69</v>
      </c>
      <c r="M634">
        <v>0.25369999999999998</v>
      </c>
      <c r="N634">
        <v>22</v>
      </c>
      <c r="O634">
        <v>98</v>
      </c>
      <c r="P634">
        <v>120</v>
      </c>
      <c r="Q634" t="str">
        <f t="shared" si="39"/>
        <v>Weekday</v>
      </c>
      <c r="R634" t="str">
        <f t="shared" si="36"/>
        <v>Clear</v>
      </c>
      <c r="S634">
        <f t="shared" si="37"/>
        <v>-0.25435329828790432</v>
      </c>
      <c r="T634">
        <f t="shared" si="38"/>
        <v>0.10399668008577614</v>
      </c>
      <c r="U634" s="6">
        <v>0.22</v>
      </c>
      <c r="V634">
        <f t="array" ref="V634">CORREL(IFERROR(VALUE(TRIM(CLEAN($U$2:$U$1001))),0), IFERROR(VALUE(TRIM(CLEAN($P$2:$P$1001))),0))</f>
        <v>0.23135628536430677</v>
      </c>
    </row>
    <row r="635" spans="1:22" x14ac:dyDescent="0.25">
      <c r="A635">
        <v>634</v>
      </c>
      <c r="B635" s="1">
        <v>40572</v>
      </c>
      <c r="C635">
        <v>1</v>
      </c>
      <c r="D635">
        <v>0</v>
      </c>
      <c r="E635">
        <v>1</v>
      </c>
      <c r="F635">
        <v>16</v>
      </c>
      <c r="G635" t="b">
        <v>0</v>
      </c>
      <c r="H635">
        <v>6</v>
      </c>
      <c r="I635">
        <v>1</v>
      </c>
      <c r="J635">
        <v>0.24</v>
      </c>
      <c r="K635">
        <v>0.2424</v>
      </c>
      <c r="L635">
        <v>0.6</v>
      </c>
      <c r="M635">
        <v>0.16420000000000001</v>
      </c>
      <c r="N635">
        <v>19</v>
      </c>
      <c r="O635">
        <v>88</v>
      </c>
      <c r="P635">
        <v>107</v>
      </c>
      <c r="Q635" t="str">
        <f t="shared" si="39"/>
        <v>Weekday</v>
      </c>
      <c r="R635" t="str">
        <f t="shared" si="36"/>
        <v>Clear</v>
      </c>
      <c r="S635">
        <f t="shared" si="37"/>
        <v>-0.25435329828790432</v>
      </c>
      <c r="T635">
        <f t="shared" si="38"/>
        <v>0.10399668008577614</v>
      </c>
      <c r="U635" s="6">
        <v>0.24</v>
      </c>
      <c r="V635">
        <f t="array" ref="V635">CORREL(IFERROR(VALUE(TRIM(CLEAN($U$2:$U$1001))),0), IFERROR(VALUE(TRIM(CLEAN($P$2:$P$1001))),0))</f>
        <v>0.23135628536430677</v>
      </c>
    </row>
    <row r="636" spans="1:22" x14ac:dyDescent="0.25">
      <c r="A636">
        <v>635</v>
      </c>
      <c r="B636" s="1">
        <v>40572</v>
      </c>
      <c r="C636">
        <v>1</v>
      </c>
      <c r="D636">
        <v>0</v>
      </c>
      <c r="E636">
        <v>1</v>
      </c>
      <c r="F636">
        <v>17</v>
      </c>
      <c r="G636" t="b">
        <v>0</v>
      </c>
      <c r="H636">
        <v>6</v>
      </c>
      <c r="I636">
        <v>1</v>
      </c>
      <c r="J636">
        <v>0.24</v>
      </c>
      <c r="K636">
        <v>0.28789999999999999</v>
      </c>
      <c r="L636">
        <v>0.6</v>
      </c>
      <c r="M636">
        <v>0</v>
      </c>
      <c r="N636">
        <v>9</v>
      </c>
      <c r="O636">
        <v>82</v>
      </c>
      <c r="P636">
        <v>91</v>
      </c>
      <c r="Q636" t="str">
        <f t="shared" si="39"/>
        <v>Weekday</v>
      </c>
      <c r="R636" t="str">
        <f t="shared" si="36"/>
        <v>Clear</v>
      </c>
      <c r="S636">
        <f t="shared" si="37"/>
        <v>-0.25435329828790432</v>
      </c>
      <c r="T636">
        <f t="shared" si="38"/>
        <v>0.10399668008577614</v>
      </c>
      <c r="U636" s="6">
        <v>0.24</v>
      </c>
      <c r="V636">
        <f t="array" ref="V636">CORREL(IFERROR(VALUE(TRIM(CLEAN($U$2:$U$1001))),0), IFERROR(VALUE(TRIM(CLEAN($P$2:$P$1001))),0))</f>
        <v>0.23135628536430677</v>
      </c>
    </row>
    <row r="637" spans="1:22" x14ac:dyDescent="0.25">
      <c r="A637">
        <v>636</v>
      </c>
      <c r="B637" s="1">
        <v>40572</v>
      </c>
      <c r="C637">
        <v>1</v>
      </c>
      <c r="D637">
        <v>0</v>
      </c>
      <c r="E637">
        <v>1</v>
      </c>
      <c r="F637">
        <v>18</v>
      </c>
      <c r="G637" t="b">
        <v>0</v>
      </c>
      <c r="H637">
        <v>6</v>
      </c>
      <c r="I637">
        <v>1</v>
      </c>
      <c r="J637">
        <v>0.22</v>
      </c>
      <c r="K637">
        <v>0.2273</v>
      </c>
      <c r="L637">
        <v>0.69</v>
      </c>
      <c r="M637">
        <v>0.1343</v>
      </c>
      <c r="N637">
        <v>9</v>
      </c>
      <c r="O637">
        <v>59</v>
      </c>
      <c r="P637">
        <v>68</v>
      </c>
      <c r="Q637" t="str">
        <f t="shared" si="39"/>
        <v>Weekday</v>
      </c>
      <c r="R637" t="str">
        <f t="shared" si="36"/>
        <v>Clear</v>
      </c>
      <c r="S637">
        <f t="shared" si="37"/>
        <v>-0.25435329828790432</v>
      </c>
      <c r="T637">
        <f t="shared" si="38"/>
        <v>0.10399668008577614</v>
      </c>
      <c r="U637" s="6">
        <v>0.22</v>
      </c>
      <c r="V637">
        <f t="array" ref="V637">CORREL(IFERROR(VALUE(TRIM(CLEAN($U$2:$U$1001))),0), IFERROR(VALUE(TRIM(CLEAN($P$2:$P$1001))),0))</f>
        <v>0.23135628536430677</v>
      </c>
    </row>
    <row r="638" spans="1:22" x14ac:dyDescent="0.25">
      <c r="A638">
        <v>637</v>
      </c>
      <c r="B638" s="1">
        <v>40572</v>
      </c>
      <c r="C638">
        <v>1</v>
      </c>
      <c r="D638">
        <v>0</v>
      </c>
      <c r="E638">
        <v>1</v>
      </c>
      <c r="F638">
        <v>19</v>
      </c>
      <c r="G638" t="b">
        <v>0</v>
      </c>
      <c r="H638">
        <v>6</v>
      </c>
      <c r="I638">
        <v>2</v>
      </c>
      <c r="J638">
        <v>0.22</v>
      </c>
      <c r="K638">
        <v>0.21210000000000001</v>
      </c>
      <c r="L638">
        <v>0.69</v>
      </c>
      <c r="M638">
        <v>0.25369999999999998</v>
      </c>
      <c r="N638">
        <v>6</v>
      </c>
      <c r="O638">
        <v>52</v>
      </c>
      <c r="P638">
        <v>58</v>
      </c>
      <c r="Q638" t="str">
        <f t="shared" si="39"/>
        <v>Weekend</v>
      </c>
      <c r="R638" t="str">
        <f t="shared" si="36"/>
        <v>Mist/Cloudy</v>
      </c>
      <c r="S638">
        <f t="shared" si="37"/>
        <v>-0.25435329828790432</v>
      </c>
      <c r="T638">
        <f t="shared" si="38"/>
        <v>0.10399668008577614</v>
      </c>
      <c r="U638" s="6">
        <v>0.22</v>
      </c>
      <c r="V638">
        <f t="array" ref="V638">CORREL(IFERROR(VALUE(TRIM(CLEAN($U$2:$U$1001))),0), IFERROR(VALUE(TRIM(CLEAN($P$2:$P$1001))),0))</f>
        <v>0.23135628536430677</v>
      </c>
    </row>
    <row r="639" spans="1:22" x14ac:dyDescent="0.25">
      <c r="A639">
        <v>638</v>
      </c>
      <c r="B639" s="1">
        <v>40572</v>
      </c>
      <c r="C639">
        <v>1</v>
      </c>
      <c r="D639">
        <v>0</v>
      </c>
      <c r="E639">
        <v>1</v>
      </c>
      <c r="F639">
        <v>20</v>
      </c>
      <c r="G639" t="b">
        <v>0</v>
      </c>
      <c r="H639">
        <v>6</v>
      </c>
      <c r="I639">
        <v>1</v>
      </c>
      <c r="J639">
        <v>0.18</v>
      </c>
      <c r="K639">
        <v>0.21210000000000001</v>
      </c>
      <c r="L639">
        <v>0.74</v>
      </c>
      <c r="M639">
        <v>8.9599999999999999E-2</v>
      </c>
      <c r="N639">
        <v>1</v>
      </c>
      <c r="O639">
        <v>42</v>
      </c>
      <c r="P639">
        <v>43</v>
      </c>
      <c r="Q639" t="str">
        <f t="shared" si="39"/>
        <v>Weekend</v>
      </c>
      <c r="R639" t="str">
        <f t="shared" si="36"/>
        <v>Clear</v>
      </c>
      <c r="S639">
        <f t="shared" si="37"/>
        <v>-0.25435329828790432</v>
      </c>
      <c r="T639">
        <f t="shared" si="38"/>
        <v>0.10399668008577614</v>
      </c>
      <c r="U639" s="6">
        <v>0.18</v>
      </c>
      <c r="V639">
        <f t="array" ref="V639">CORREL(IFERROR(VALUE(TRIM(CLEAN($U$2:$U$1001))),0), IFERROR(VALUE(TRIM(CLEAN($P$2:$P$1001))),0))</f>
        <v>0.23135628536430677</v>
      </c>
    </row>
    <row r="640" spans="1:22" x14ac:dyDescent="0.25">
      <c r="A640">
        <v>639</v>
      </c>
      <c r="B640" s="1">
        <v>40572</v>
      </c>
      <c r="C640">
        <v>1</v>
      </c>
      <c r="D640">
        <v>0</v>
      </c>
      <c r="E640">
        <v>1</v>
      </c>
      <c r="F640">
        <v>21</v>
      </c>
      <c r="G640" t="b">
        <v>0</v>
      </c>
      <c r="H640">
        <v>6</v>
      </c>
      <c r="I640">
        <v>1</v>
      </c>
      <c r="J640">
        <v>0.18</v>
      </c>
      <c r="K640">
        <v>0.21210000000000001</v>
      </c>
      <c r="L640">
        <v>0.74</v>
      </c>
      <c r="M640">
        <v>8.9599999999999999E-2</v>
      </c>
      <c r="N640">
        <v>1</v>
      </c>
      <c r="O640">
        <v>35</v>
      </c>
      <c r="P640">
        <v>36</v>
      </c>
      <c r="Q640" t="str">
        <f t="shared" si="39"/>
        <v>Weekday</v>
      </c>
      <c r="R640" t="str">
        <f t="shared" si="36"/>
        <v>Clear</v>
      </c>
      <c r="S640">
        <f t="shared" si="37"/>
        <v>-0.25435329828790432</v>
      </c>
      <c r="T640">
        <f t="shared" si="38"/>
        <v>0.10399668008577614</v>
      </c>
      <c r="U640" s="6">
        <v>0.18</v>
      </c>
      <c r="V640">
        <f t="array" ref="V640">CORREL(IFERROR(VALUE(TRIM(CLEAN($U$2:$U$1001))),0), IFERROR(VALUE(TRIM(CLEAN($P$2:$P$1001))),0))</f>
        <v>0.23135628536430677</v>
      </c>
    </row>
    <row r="641" spans="1:22" x14ac:dyDescent="0.25">
      <c r="A641">
        <v>640</v>
      </c>
      <c r="B641" s="1">
        <v>40572</v>
      </c>
      <c r="C641">
        <v>1</v>
      </c>
      <c r="D641">
        <v>0</v>
      </c>
      <c r="E641">
        <v>1</v>
      </c>
      <c r="F641">
        <v>22</v>
      </c>
      <c r="G641" t="b">
        <v>0</v>
      </c>
      <c r="H641">
        <v>6</v>
      </c>
      <c r="I641">
        <v>1</v>
      </c>
      <c r="J641">
        <v>0.16</v>
      </c>
      <c r="K641">
        <v>0.19700000000000001</v>
      </c>
      <c r="L641">
        <v>0.8</v>
      </c>
      <c r="M641">
        <v>8.9599999999999999E-2</v>
      </c>
      <c r="N641">
        <v>4</v>
      </c>
      <c r="O641">
        <v>28</v>
      </c>
      <c r="P641">
        <v>32</v>
      </c>
      <c r="Q641" t="str">
        <f t="shared" si="39"/>
        <v>Weekday</v>
      </c>
      <c r="R641" t="str">
        <f t="shared" si="36"/>
        <v>Clear</v>
      </c>
      <c r="S641">
        <f t="shared" si="37"/>
        <v>-0.25435329828790432</v>
      </c>
      <c r="T641">
        <f t="shared" si="38"/>
        <v>0.10399668008577614</v>
      </c>
      <c r="U641" s="6">
        <v>0.16</v>
      </c>
      <c r="V641">
        <f t="array" ref="V641">CORREL(IFERROR(VALUE(TRIM(CLEAN($U$2:$U$1001))),0), IFERROR(VALUE(TRIM(CLEAN($P$2:$P$1001))),0))</f>
        <v>0.23135628536430677</v>
      </c>
    </row>
    <row r="642" spans="1:22" x14ac:dyDescent="0.25">
      <c r="A642">
        <v>641</v>
      </c>
      <c r="B642" s="1">
        <v>40572</v>
      </c>
      <c r="C642">
        <v>1</v>
      </c>
      <c r="D642">
        <v>0</v>
      </c>
      <c r="E642">
        <v>1</v>
      </c>
      <c r="F642">
        <v>23</v>
      </c>
      <c r="G642" t="b">
        <v>0</v>
      </c>
      <c r="H642">
        <v>6</v>
      </c>
      <c r="I642">
        <v>1</v>
      </c>
      <c r="J642">
        <v>0.16</v>
      </c>
      <c r="K642">
        <v>0.19700000000000001</v>
      </c>
      <c r="L642">
        <v>0.8</v>
      </c>
      <c r="M642">
        <v>8.9599999999999999E-2</v>
      </c>
      <c r="N642">
        <v>3</v>
      </c>
      <c r="O642">
        <v>30</v>
      </c>
      <c r="P642">
        <v>33</v>
      </c>
      <c r="Q642" t="str">
        <f t="shared" si="39"/>
        <v>Weekday</v>
      </c>
      <c r="R642" t="str">
        <f t="shared" ref="R642:R705" si="40">IF(I642=1, "Clear", IF(I642=2, "Mist/Cloudy", IF(I642=3, "Light Snow/Rain", "Heavy Rain")))</f>
        <v>Clear</v>
      </c>
      <c r="S642">
        <f t="shared" ref="S642:S705" si="41">CORREL($L$2:$L$1001, $P$2:$P$1001)</f>
        <v>-0.25435329828790432</v>
      </c>
      <c r="T642">
        <f t="shared" ref="T642:T705" si="42">CORREL($M$2:$M$1001, $P$2:$P$1001)</f>
        <v>0.10399668008577614</v>
      </c>
      <c r="U642" s="6">
        <v>0.16</v>
      </c>
      <c r="V642">
        <f t="array" ref="V642">CORREL(IFERROR(VALUE(TRIM(CLEAN($U$2:$U$1001))),0), IFERROR(VALUE(TRIM(CLEAN($P$2:$P$1001))),0))</f>
        <v>0.23135628536430677</v>
      </c>
    </row>
    <row r="643" spans="1:22" x14ac:dyDescent="0.25">
      <c r="A643">
        <v>642</v>
      </c>
      <c r="B643" s="1">
        <v>40573</v>
      </c>
      <c r="C643">
        <v>1</v>
      </c>
      <c r="D643">
        <v>0</v>
      </c>
      <c r="E643">
        <v>1</v>
      </c>
      <c r="F643">
        <v>0</v>
      </c>
      <c r="G643" t="b">
        <v>0</v>
      </c>
      <c r="H643">
        <v>0</v>
      </c>
      <c r="I643">
        <v>1</v>
      </c>
      <c r="J643">
        <v>0.16</v>
      </c>
      <c r="K643">
        <v>0.18179999999999999</v>
      </c>
      <c r="L643">
        <v>0.8</v>
      </c>
      <c r="M643">
        <v>0.1045</v>
      </c>
      <c r="N643">
        <v>0</v>
      </c>
      <c r="O643">
        <v>33</v>
      </c>
      <c r="P643">
        <v>33</v>
      </c>
      <c r="Q643" t="str">
        <f t="shared" ref="Q643:Q706" si="43">IF(WEEKDAY(A643,2)&gt;5,"Weekend","Weekday")</f>
        <v>Weekday</v>
      </c>
      <c r="R643" t="str">
        <f t="shared" si="40"/>
        <v>Clear</v>
      </c>
      <c r="S643">
        <f t="shared" si="41"/>
        <v>-0.25435329828790432</v>
      </c>
      <c r="T643">
        <f t="shared" si="42"/>
        <v>0.10399668008577614</v>
      </c>
      <c r="U643" s="6">
        <v>0.16</v>
      </c>
      <c r="V643">
        <f t="array" ref="V643">CORREL(IFERROR(VALUE(TRIM(CLEAN($U$2:$U$1001))),0), IFERROR(VALUE(TRIM(CLEAN($P$2:$P$1001))),0))</f>
        <v>0.23135628536430677</v>
      </c>
    </row>
    <row r="644" spans="1:22" x14ac:dyDescent="0.25">
      <c r="A644">
        <v>643</v>
      </c>
      <c r="B644" s="1">
        <v>40573</v>
      </c>
      <c r="C644">
        <v>1</v>
      </c>
      <c r="D644">
        <v>0</v>
      </c>
      <c r="E644">
        <v>1</v>
      </c>
      <c r="F644">
        <v>1</v>
      </c>
      <c r="G644" t="b">
        <v>0</v>
      </c>
      <c r="H644">
        <v>0</v>
      </c>
      <c r="I644">
        <v>1</v>
      </c>
      <c r="J644">
        <v>0.14000000000000001</v>
      </c>
      <c r="K644">
        <v>0.21210000000000001</v>
      </c>
      <c r="L644">
        <v>0.8</v>
      </c>
      <c r="M644">
        <v>0</v>
      </c>
      <c r="N644">
        <v>7</v>
      </c>
      <c r="O644">
        <v>22</v>
      </c>
      <c r="P644">
        <v>29</v>
      </c>
      <c r="Q644" t="str">
        <f t="shared" si="43"/>
        <v>Weekday</v>
      </c>
      <c r="R644" t="str">
        <f t="shared" si="40"/>
        <v>Clear</v>
      </c>
      <c r="S644">
        <f t="shared" si="41"/>
        <v>-0.25435329828790432</v>
      </c>
      <c r="T644">
        <f t="shared" si="42"/>
        <v>0.10399668008577614</v>
      </c>
      <c r="U644" s="6">
        <v>0.14000000000000001</v>
      </c>
      <c r="V644">
        <f t="array" ref="V644">CORREL(IFERROR(VALUE(TRIM(CLEAN($U$2:$U$1001))),0), IFERROR(VALUE(TRIM(CLEAN($P$2:$P$1001))),0))</f>
        <v>0.23135628536430677</v>
      </c>
    </row>
    <row r="645" spans="1:22" x14ac:dyDescent="0.25">
      <c r="A645">
        <v>644</v>
      </c>
      <c r="B645" s="1">
        <v>40573</v>
      </c>
      <c r="C645">
        <v>1</v>
      </c>
      <c r="D645">
        <v>0</v>
      </c>
      <c r="E645">
        <v>1</v>
      </c>
      <c r="F645">
        <v>2</v>
      </c>
      <c r="G645" t="b">
        <v>0</v>
      </c>
      <c r="H645">
        <v>0</v>
      </c>
      <c r="I645">
        <v>1</v>
      </c>
      <c r="J645">
        <v>0.16</v>
      </c>
      <c r="K645">
        <v>0.2273</v>
      </c>
      <c r="L645">
        <v>0.8</v>
      </c>
      <c r="M645">
        <v>0</v>
      </c>
      <c r="N645">
        <v>1</v>
      </c>
      <c r="O645">
        <v>10</v>
      </c>
      <c r="P645">
        <v>11</v>
      </c>
      <c r="Q645" t="str">
        <f t="shared" si="43"/>
        <v>Weekend</v>
      </c>
      <c r="R645" t="str">
        <f t="shared" si="40"/>
        <v>Clear</v>
      </c>
      <c r="S645">
        <f t="shared" si="41"/>
        <v>-0.25435329828790432</v>
      </c>
      <c r="T645">
        <f t="shared" si="42"/>
        <v>0.10399668008577614</v>
      </c>
      <c r="U645" s="6">
        <v>0.16</v>
      </c>
      <c r="V645">
        <f t="array" ref="V645">CORREL(IFERROR(VALUE(TRIM(CLEAN($U$2:$U$1001))),0), IFERROR(VALUE(TRIM(CLEAN($P$2:$P$1001))),0))</f>
        <v>0.23135628536430677</v>
      </c>
    </row>
    <row r="646" spans="1:22" x14ac:dyDescent="0.25">
      <c r="A646">
        <v>645</v>
      </c>
      <c r="B646" s="1">
        <v>40573</v>
      </c>
      <c r="C646">
        <v>1</v>
      </c>
      <c r="D646">
        <v>0</v>
      </c>
      <c r="E646">
        <v>1</v>
      </c>
      <c r="F646">
        <v>3</v>
      </c>
      <c r="G646" t="b">
        <v>0</v>
      </c>
      <c r="H646">
        <v>0</v>
      </c>
      <c r="I646">
        <v>1</v>
      </c>
      <c r="J646">
        <v>0.14000000000000001</v>
      </c>
      <c r="K646">
        <v>0.21210000000000001</v>
      </c>
      <c r="L646">
        <v>0.93</v>
      </c>
      <c r="M646">
        <v>0</v>
      </c>
      <c r="N646">
        <v>1</v>
      </c>
      <c r="O646">
        <v>7</v>
      </c>
      <c r="P646">
        <v>8</v>
      </c>
      <c r="Q646" t="str">
        <f t="shared" si="43"/>
        <v>Weekend</v>
      </c>
      <c r="R646" t="str">
        <f t="shared" si="40"/>
        <v>Clear</v>
      </c>
      <c r="S646">
        <f t="shared" si="41"/>
        <v>-0.25435329828790432</v>
      </c>
      <c r="T646">
        <f t="shared" si="42"/>
        <v>0.10399668008577614</v>
      </c>
      <c r="U646" s="6">
        <v>0.14000000000000001</v>
      </c>
      <c r="V646">
        <f t="array" ref="V646">CORREL(IFERROR(VALUE(TRIM(CLEAN($U$2:$U$1001))),0), IFERROR(VALUE(TRIM(CLEAN($P$2:$P$1001))),0))</f>
        <v>0.23135628536430677</v>
      </c>
    </row>
    <row r="647" spans="1:22" x14ac:dyDescent="0.25">
      <c r="A647">
        <v>646</v>
      </c>
      <c r="B647" s="1">
        <v>40573</v>
      </c>
      <c r="C647">
        <v>1</v>
      </c>
      <c r="D647">
        <v>0</v>
      </c>
      <c r="E647">
        <v>1</v>
      </c>
      <c r="F647">
        <v>4</v>
      </c>
      <c r="G647" t="b">
        <v>0</v>
      </c>
      <c r="H647">
        <v>0</v>
      </c>
      <c r="I647">
        <v>1</v>
      </c>
      <c r="J647">
        <v>0.14000000000000001</v>
      </c>
      <c r="K647">
        <v>0.21210000000000001</v>
      </c>
      <c r="L647">
        <v>0.93</v>
      </c>
      <c r="M647">
        <v>0</v>
      </c>
      <c r="N647">
        <v>0</v>
      </c>
      <c r="O647">
        <v>1</v>
      </c>
      <c r="P647">
        <v>1</v>
      </c>
      <c r="Q647" t="str">
        <f t="shared" si="43"/>
        <v>Weekday</v>
      </c>
      <c r="R647" t="str">
        <f t="shared" si="40"/>
        <v>Clear</v>
      </c>
      <c r="S647">
        <f t="shared" si="41"/>
        <v>-0.25435329828790432</v>
      </c>
      <c r="T647">
        <f t="shared" si="42"/>
        <v>0.10399668008577614</v>
      </c>
      <c r="U647" s="6">
        <v>0.14000000000000001</v>
      </c>
      <c r="V647">
        <f t="array" ref="V647">CORREL(IFERROR(VALUE(TRIM(CLEAN($U$2:$U$1001))),0), IFERROR(VALUE(TRIM(CLEAN($P$2:$P$1001))),0))</f>
        <v>0.23135628536430677</v>
      </c>
    </row>
    <row r="648" spans="1:22" x14ac:dyDescent="0.25">
      <c r="A648">
        <v>647</v>
      </c>
      <c r="B648" s="1">
        <v>40573</v>
      </c>
      <c r="C648">
        <v>1</v>
      </c>
      <c r="D648">
        <v>0</v>
      </c>
      <c r="E648">
        <v>1</v>
      </c>
      <c r="F648">
        <v>5</v>
      </c>
      <c r="G648" t="b">
        <v>0</v>
      </c>
      <c r="H648">
        <v>0</v>
      </c>
      <c r="I648">
        <v>1</v>
      </c>
      <c r="J648">
        <v>0.14000000000000001</v>
      </c>
      <c r="K648">
        <v>0.21210000000000001</v>
      </c>
      <c r="L648">
        <v>0.86</v>
      </c>
      <c r="M648">
        <v>0</v>
      </c>
      <c r="N648">
        <v>0</v>
      </c>
      <c r="O648">
        <v>3</v>
      </c>
      <c r="P648">
        <v>3</v>
      </c>
      <c r="Q648" t="str">
        <f t="shared" si="43"/>
        <v>Weekday</v>
      </c>
      <c r="R648" t="str">
        <f t="shared" si="40"/>
        <v>Clear</v>
      </c>
      <c r="S648">
        <f t="shared" si="41"/>
        <v>-0.25435329828790432</v>
      </c>
      <c r="T648">
        <f t="shared" si="42"/>
        <v>0.10399668008577614</v>
      </c>
      <c r="U648" s="6">
        <v>0.14000000000000001</v>
      </c>
      <c r="V648">
        <f t="array" ref="V648">CORREL(IFERROR(VALUE(TRIM(CLEAN($U$2:$U$1001))),0), IFERROR(VALUE(TRIM(CLEAN($P$2:$P$1001))),0))</f>
        <v>0.23135628536430677</v>
      </c>
    </row>
    <row r="649" spans="1:22" x14ac:dyDescent="0.25">
      <c r="A649">
        <v>648</v>
      </c>
      <c r="B649" s="1">
        <v>40573</v>
      </c>
      <c r="C649">
        <v>1</v>
      </c>
      <c r="D649">
        <v>0</v>
      </c>
      <c r="E649">
        <v>1</v>
      </c>
      <c r="F649">
        <v>7</v>
      </c>
      <c r="G649" t="b">
        <v>0</v>
      </c>
      <c r="H649">
        <v>0</v>
      </c>
      <c r="I649">
        <v>1</v>
      </c>
      <c r="J649">
        <v>0.14000000000000001</v>
      </c>
      <c r="K649">
        <v>0.21210000000000001</v>
      </c>
      <c r="L649">
        <v>0.86</v>
      </c>
      <c r="M649">
        <v>0</v>
      </c>
      <c r="N649">
        <v>0</v>
      </c>
      <c r="O649">
        <v>3</v>
      </c>
      <c r="P649">
        <v>3</v>
      </c>
      <c r="Q649" t="str">
        <f t="shared" si="43"/>
        <v>Weekday</v>
      </c>
      <c r="R649" t="str">
        <f t="shared" si="40"/>
        <v>Clear</v>
      </c>
      <c r="S649">
        <f t="shared" si="41"/>
        <v>-0.25435329828790432</v>
      </c>
      <c r="T649">
        <f t="shared" si="42"/>
        <v>0.10399668008577614</v>
      </c>
      <c r="U649" s="6">
        <v>0.14000000000000001</v>
      </c>
      <c r="V649">
        <f t="array" ref="V649">CORREL(IFERROR(VALUE(TRIM(CLEAN($U$2:$U$1001))),0), IFERROR(VALUE(TRIM(CLEAN($P$2:$P$1001))),0))</f>
        <v>0.23135628536430677</v>
      </c>
    </row>
    <row r="650" spans="1:22" x14ac:dyDescent="0.25">
      <c r="A650">
        <v>649</v>
      </c>
      <c r="B650" s="1">
        <v>40573</v>
      </c>
      <c r="C650">
        <v>1</v>
      </c>
      <c r="D650">
        <v>0</v>
      </c>
      <c r="E650">
        <v>1</v>
      </c>
      <c r="F650">
        <v>8</v>
      </c>
      <c r="G650" t="b">
        <v>0</v>
      </c>
      <c r="H650">
        <v>0</v>
      </c>
      <c r="I650">
        <v>2</v>
      </c>
      <c r="J650">
        <v>0.14000000000000001</v>
      </c>
      <c r="K650">
        <v>0.21210000000000001</v>
      </c>
      <c r="L650">
        <v>0.86</v>
      </c>
      <c r="M650">
        <v>0</v>
      </c>
      <c r="N650">
        <v>1</v>
      </c>
      <c r="O650">
        <v>11</v>
      </c>
      <c r="P650">
        <v>12</v>
      </c>
      <c r="Q650" t="str">
        <f t="shared" si="43"/>
        <v>Weekday</v>
      </c>
      <c r="R650" t="str">
        <f t="shared" si="40"/>
        <v>Mist/Cloudy</v>
      </c>
      <c r="S650">
        <f t="shared" si="41"/>
        <v>-0.25435329828790432</v>
      </c>
      <c r="T650">
        <f t="shared" si="42"/>
        <v>0.10399668008577614</v>
      </c>
      <c r="U650" s="6">
        <v>0.14000000000000001</v>
      </c>
      <c r="V650">
        <f t="array" ref="V650">CORREL(IFERROR(VALUE(TRIM(CLEAN($U$2:$U$1001))),0), IFERROR(VALUE(TRIM(CLEAN($P$2:$P$1001))),0))</f>
        <v>0.23135628536430677</v>
      </c>
    </row>
    <row r="651" spans="1:22" x14ac:dyDescent="0.25">
      <c r="A651">
        <v>650</v>
      </c>
      <c r="B651" s="1">
        <v>40573</v>
      </c>
      <c r="C651">
        <v>1</v>
      </c>
      <c r="D651">
        <v>0</v>
      </c>
      <c r="E651">
        <v>1</v>
      </c>
      <c r="F651">
        <v>9</v>
      </c>
      <c r="G651" t="b">
        <v>0</v>
      </c>
      <c r="H651">
        <v>0</v>
      </c>
      <c r="I651">
        <v>2</v>
      </c>
      <c r="J651">
        <v>0.16</v>
      </c>
      <c r="K651">
        <v>0.2273</v>
      </c>
      <c r="L651">
        <v>0.8</v>
      </c>
      <c r="M651">
        <v>0</v>
      </c>
      <c r="N651">
        <v>4</v>
      </c>
      <c r="O651">
        <v>34</v>
      </c>
      <c r="P651">
        <v>38</v>
      </c>
      <c r="Q651" t="str">
        <f t="shared" si="43"/>
        <v>Weekday</v>
      </c>
      <c r="R651" t="str">
        <f t="shared" si="40"/>
        <v>Mist/Cloudy</v>
      </c>
      <c r="S651">
        <f t="shared" si="41"/>
        <v>-0.25435329828790432</v>
      </c>
      <c r="T651">
        <f t="shared" si="42"/>
        <v>0.10399668008577614</v>
      </c>
      <c r="U651" s="6">
        <v>0.16</v>
      </c>
      <c r="V651">
        <f t="array" ref="V651">CORREL(IFERROR(VALUE(TRIM(CLEAN($U$2:$U$1001))),0), IFERROR(VALUE(TRIM(CLEAN($P$2:$P$1001))),0))</f>
        <v>0.23135628536430677</v>
      </c>
    </row>
    <row r="652" spans="1:22" x14ac:dyDescent="0.25">
      <c r="A652">
        <v>651</v>
      </c>
      <c r="B652" s="1">
        <v>40573</v>
      </c>
      <c r="C652">
        <v>1</v>
      </c>
      <c r="D652">
        <v>0</v>
      </c>
      <c r="E652">
        <v>1</v>
      </c>
      <c r="F652">
        <v>10</v>
      </c>
      <c r="G652" t="b">
        <v>0</v>
      </c>
      <c r="H652">
        <v>0</v>
      </c>
      <c r="I652">
        <v>2</v>
      </c>
      <c r="J652">
        <v>0.18</v>
      </c>
      <c r="K652">
        <v>0.2424</v>
      </c>
      <c r="L652">
        <v>0.8</v>
      </c>
      <c r="M652">
        <v>0</v>
      </c>
      <c r="N652">
        <v>7</v>
      </c>
      <c r="O652">
        <v>57</v>
      </c>
      <c r="P652">
        <v>64</v>
      </c>
      <c r="Q652" t="str">
        <f t="shared" si="43"/>
        <v>Weekend</v>
      </c>
      <c r="R652" t="str">
        <f t="shared" si="40"/>
        <v>Mist/Cloudy</v>
      </c>
      <c r="S652">
        <f t="shared" si="41"/>
        <v>-0.25435329828790432</v>
      </c>
      <c r="T652">
        <f t="shared" si="42"/>
        <v>0.10399668008577614</v>
      </c>
      <c r="U652" s="6">
        <v>0.18</v>
      </c>
      <c r="V652">
        <f t="array" ref="V652">CORREL(IFERROR(VALUE(TRIM(CLEAN($U$2:$U$1001))),0), IFERROR(VALUE(TRIM(CLEAN($P$2:$P$1001))),0))</f>
        <v>0.23135628536430677</v>
      </c>
    </row>
    <row r="653" spans="1:22" x14ac:dyDescent="0.25">
      <c r="A653">
        <v>652</v>
      </c>
      <c r="B653" s="1">
        <v>40573</v>
      </c>
      <c r="C653">
        <v>1</v>
      </c>
      <c r="D653">
        <v>0</v>
      </c>
      <c r="E653">
        <v>1</v>
      </c>
      <c r="F653">
        <v>11</v>
      </c>
      <c r="G653" t="b">
        <v>0</v>
      </c>
      <c r="H653">
        <v>0</v>
      </c>
      <c r="I653">
        <v>1</v>
      </c>
      <c r="J653">
        <v>0.22</v>
      </c>
      <c r="K653">
        <v>0.2727</v>
      </c>
      <c r="L653">
        <v>0.75</v>
      </c>
      <c r="M653">
        <v>0</v>
      </c>
      <c r="N653">
        <v>9</v>
      </c>
      <c r="O653">
        <v>50</v>
      </c>
      <c r="P653">
        <v>59</v>
      </c>
      <c r="Q653" t="str">
        <f t="shared" si="43"/>
        <v>Weekend</v>
      </c>
      <c r="R653" t="str">
        <f t="shared" si="40"/>
        <v>Clear</v>
      </c>
      <c r="S653">
        <f t="shared" si="41"/>
        <v>-0.25435329828790432</v>
      </c>
      <c r="T653">
        <f t="shared" si="42"/>
        <v>0.10399668008577614</v>
      </c>
      <c r="U653" s="6">
        <v>0.22</v>
      </c>
      <c r="V653">
        <f t="array" ref="V653">CORREL(IFERROR(VALUE(TRIM(CLEAN($U$2:$U$1001))),0), IFERROR(VALUE(TRIM(CLEAN($P$2:$P$1001))),0))</f>
        <v>0.23135628536430677</v>
      </c>
    </row>
    <row r="654" spans="1:22" x14ac:dyDescent="0.25">
      <c r="A654">
        <v>653</v>
      </c>
      <c r="B654" s="1">
        <v>40573</v>
      </c>
      <c r="C654">
        <v>1</v>
      </c>
      <c r="D654">
        <v>0</v>
      </c>
      <c r="E654">
        <v>1</v>
      </c>
      <c r="F654">
        <v>12</v>
      </c>
      <c r="G654" t="b">
        <v>0</v>
      </c>
      <c r="H654">
        <v>0</v>
      </c>
      <c r="I654">
        <v>1</v>
      </c>
      <c r="J654">
        <v>0.3</v>
      </c>
      <c r="K654">
        <v>0.31819999999999998</v>
      </c>
      <c r="L654">
        <v>0.52</v>
      </c>
      <c r="M654">
        <v>0.1045</v>
      </c>
      <c r="N654">
        <v>10</v>
      </c>
      <c r="O654">
        <v>87</v>
      </c>
      <c r="P654">
        <v>97</v>
      </c>
      <c r="Q654" t="str">
        <f t="shared" si="43"/>
        <v>Weekday</v>
      </c>
      <c r="R654" t="str">
        <f t="shared" si="40"/>
        <v>Clear</v>
      </c>
      <c r="S654">
        <f t="shared" si="41"/>
        <v>-0.25435329828790432</v>
      </c>
      <c r="T654">
        <f t="shared" si="42"/>
        <v>0.10399668008577614</v>
      </c>
      <c r="U654" s="6">
        <v>0.3</v>
      </c>
      <c r="V654">
        <f t="array" ref="V654">CORREL(IFERROR(VALUE(TRIM(CLEAN($U$2:$U$1001))),0), IFERROR(VALUE(TRIM(CLEAN($P$2:$P$1001))),0))</f>
        <v>0.23135628536430677</v>
      </c>
    </row>
    <row r="655" spans="1:22" x14ac:dyDescent="0.25">
      <c r="A655">
        <v>654</v>
      </c>
      <c r="B655" s="1">
        <v>40573</v>
      </c>
      <c r="C655">
        <v>1</v>
      </c>
      <c r="D655">
        <v>0</v>
      </c>
      <c r="E655">
        <v>1</v>
      </c>
      <c r="F655">
        <v>13</v>
      </c>
      <c r="G655" t="b">
        <v>0</v>
      </c>
      <c r="H655">
        <v>0</v>
      </c>
      <c r="I655">
        <v>1</v>
      </c>
      <c r="J655">
        <v>0.28000000000000003</v>
      </c>
      <c r="K655">
        <v>0.28789999999999999</v>
      </c>
      <c r="L655">
        <v>0.61</v>
      </c>
      <c r="M655">
        <v>0.1045</v>
      </c>
      <c r="N655">
        <v>13</v>
      </c>
      <c r="O655">
        <v>71</v>
      </c>
      <c r="P655">
        <v>84</v>
      </c>
      <c r="Q655" t="str">
        <f t="shared" si="43"/>
        <v>Weekday</v>
      </c>
      <c r="R655" t="str">
        <f t="shared" si="40"/>
        <v>Clear</v>
      </c>
      <c r="S655">
        <f t="shared" si="41"/>
        <v>-0.25435329828790432</v>
      </c>
      <c r="T655">
        <f t="shared" si="42"/>
        <v>0.10399668008577614</v>
      </c>
      <c r="U655" s="6">
        <v>0.28000000000000003</v>
      </c>
      <c r="V655">
        <f t="array" ref="V655">CORREL(IFERROR(VALUE(TRIM(CLEAN($U$2:$U$1001))),0), IFERROR(VALUE(TRIM(CLEAN($P$2:$P$1001))),0))</f>
        <v>0.23135628536430677</v>
      </c>
    </row>
    <row r="656" spans="1:22" x14ac:dyDescent="0.25">
      <c r="A656">
        <v>655</v>
      </c>
      <c r="B656" s="1">
        <v>40573</v>
      </c>
      <c r="C656">
        <v>1</v>
      </c>
      <c r="D656">
        <v>0</v>
      </c>
      <c r="E656">
        <v>1</v>
      </c>
      <c r="F656">
        <v>14</v>
      </c>
      <c r="G656" t="b">
        <v>0</v>
      </c>
      <c r="H656">
        <v>0</v>
      </c>
      <c r="I656">
        <v>1</v>
      </c>
      <c r="J656">
        <v>0.28000000000000003</v>
      </c>
      <c r="K656">
        <v>0.30299999999999999</v>
      </c>
      <c r="L656">
        <v>0.61</v>
      </c>
      <c r="M656">
        <v>8.9599999999999999E-2</v>
      </c>
      <c r="N656">
        <v>18</v>
      </c>
      <c r="O656">
        <v>104</v>
      </c>
      <c r="P656">
        <v>122</v>
      </c>
      <c r="Q656" t="str">
        <f t="shared" si="43"/>
        <v>Weekday</v>
      </c>
      <c r="R656" t="str">
        <f t="shared" si="40"/>
        <v>Clear</v>
      </c>
      <c r="S656">
        <f t="shared" si="41"/>
        <v>-0.25435329828790432</v>
      </c>
      <c r="T656">
        <f t="shared" si="42"/>
        <v>0.10399668008577614</v>
      </c>
      <c r="U656" s="6">
        <v>0.28000000000000003</v>
      </c>
      <c r="V656">
        <f t="array" ref="V656">CORREL(IFERROR(VALUE(TRIM(CLEAN($U$2:$U$1001))),0), IFERROR(VALUE(TRIM(CLEAN($P$2:$P$1001))),0))</f>
        <v>0.23135628536430677</v>
      </c>
    </row>
    <row r="657" spans="1:22" x14ac:dyDescent="0.25">
      <c r="A657">
        <v>656</v>
      </c>
      <c r="B657" s="1">
        <v>40573</v>
      </c>
      <c r="C657">
        <v>1</v>
      </c>
      <c r="D657">
        <v>0</v>
      </c>
      <c r="E657">
        <v>1</v>
      </c>
      <c r="F657">
        <v>15</v>
      </c>
      <c r="G657" t="b">
        <v>0</v>
      </c>
      <c r="H657">
        <v>0</v>
      </c>
      <c r="I657">
        <v>1</v>
      </c>
      <c r="J657">
        <v>0.3</v>
      </c>
      <c r="K657">
        <v>0.33329999999999999</v>
      </c>
      <c r="L657">
        <v>0.56000000000000005</v>
      </c>
      <c r="M657">
        <v>0</v>
      </c>
      <c r="N657">
        <v>14</v>
      </c>
      <c r="O657">
        <v>95</v>
      </c>
      <c r="P657">
        <v>109</v>
      </c>
      <c r="Q657" t="str">
        <f t="shared" si="43"/>
        <v>Weekday</v>
      </c>
      <c r="R657" t="str">
        <f t="shared" si="40"/>
        <v>Clear</v>
      </c>
      <c r="S657">
        <f t="shared" si="41"/>
        <v>-0.25435329828790432</v>
      </c>
      <c r="T657">
        <f t="shared" si="42"/>
        <v>0.10399668008577614</v>
      </c>
      <c r="U657" s="6">
        <v>0.3</v>
      </c>
      <c r="V657">
        <f t="array" ref="V657">CORREL(IFERROR(VALUE(TRIM(CLEAN($U$2:$U$1001))),0), IFERROR(VALUE(TRIM(CLEAN($P$2:$P$1001))),0))</f>
        <v>0.23135628536430677</v>
      </c>
    </row>
    <row r="658" spans="1:22" x14ac:dyDescent="0.25">
      <c r="A658">
        <v>657</v>
      </c>
      <c r="B658" s="1">
        <v>40573</v>
      </c>
      <c r="C658">
        <v>1</v>
      </c>
      <c r="D658">
        <v>0</v>
      </c>
      <c r="E658">
        <v>1</v>
      </c>
      <c r="F658">
        <v>16</v>
      </c>
      <c r="G658" t="b">
        <v>0</v>
      </c>
      <c r="H658">
        <v>0</v>
      </c>
      <c r="I658">
        <v>1</v>
      </c>
      <c r="J658">
        <v>0.3</v>
      </c>
      <c r="K658">
        <v>0.33329999999999999</v>
      </c>
      <c r="L658">
        <v>0.56000000000000005</v>
      </c>
      <c r="M658">
        <v>0</v>
      </c>
      <c r="N658">
        <v>19</v>
      </c>
      <c r="O658">
        <v>104</v>
      </c>
      <c r="P658">
        <v>123</v>
      </c>
      <c r="Q658" t="str">
        <f t="shared" si="43"/>
        <v>Weekday</v>
      </c>
      <c r="R658" t="str">
        <f t="shared" si="40"/>
        <v>Clear</v>
      </c>
      <c r="S658">
        <f t="shared" si="41"/>
        <v>-0.25435329828790432</v>
      </c>
      <c r="T658">
        <f t="shared" si="42"/>
        <v>0.10399668008577614</v>
      </c>
      <c r="U658" s="6">
        <v>0.3</v>
      </c>
      <c r="V658">
        <f t="array" ref="V658">CORREL(IFERROR(VALUE(TRIM(CLEAN($U$2:$U$1001))),0), IFERROR(VALUE(TRIM(CLEAN($P$2:$P$1001))),0))</f>
        <v>0.23135628536430677</v>
      </c>
    </row>
    <row r="659" spans="1:22" x14ac:dyDescent="0.25">
      <c r="A659">
        <v>658</v>
      </c>
      <c r="B659" s="1">
        <v>40573</v>
      </c>
      <c r="C659">
        <v>1</v>
      </c>
      <c r="D659">
        <v>0</v>
      </c>
      <c r="E659">
        <v>1</v>
      </c>
      <c r="F659">
        <v>17</v>
      </c>
      <c r="G659" t="b">
        <v>0</v>
      </c>
      <c r="H659">
        <v>0</v>
      </c>
      <c r="I659">
        <v>1</v>
      </c>
      <c r="J659">
        <v>0.3</v>
      </c>
      <c r="K659">
        <v>0.28789999999999999</v>
      </c>
      <c r="L659">
        <v>0.56000000000000005</v>
      </c>
      <c r="M659">
        <v>0.19400000000000001</v>
      </c>
      <c r="N659">
        <v>6</v>
      </c>
      <c r="O659">
        <v>71</v>
      </c>
      <c r="P659">
        <v>77</v>
      </c>
      <c r="Q659" t="str">
        <f t="shared" si="43"/>
        <v>Weekend</v>
      </c>
      <c r="R659" t="str">
        <f t="shared" si="40"/>
        <v>Clear</v>
      </c>
      <c r="S659">
        <f t="shared" si="41"/>
        <v>-0.25435329828790432</v>
      </c>
      <c r="T659">
        <f t="shared" si="42"/>
        <v>0.10399668008577614</v>
      </c>
      <c r="U659" s="6">
        <v>0.3</v>
      </c>
      <c r="V659">
        <f t="array" ref="V659">CORREL(IFERROR(VALUE(TRIM(CLEAN($U$2:$U$1001))),0), IFERROR(VALUE(TRIM(CLEAN($P$2:$P$1001))),0))</f>
        <v>0.23135628536430677</v>
      </c>
    </row>
    <row r="660" spans="1:22" x14ac:dyDescent="0.25">
      <c r="A660">
        <v>659</v>
      </c>
      <c r="B660" s="1">
        <v>40573</v>
      </c>
      <c r="C660">
        <v>1</v>
      </c>
      <c r="D660">
        <v>0</v>
      </c>
      <c r="E660">
        <v>1</v>
      </c>
      <c r="F660">
        <v>18</v>
      </c>
      <c r="G660" t="b">
        <v>0</v>
      </c>
      <c r="H660">
        <v>0</v>
      </c>
      <c r="I660">
        <v>1</v>
      </c>
      <c r="J660">
        <v>0.26</v>
      </c>
      <c r="K660">
        <v>0.2576</v>
      </c>
      <c r="L660">
        <v>0.65</v>
      </c>
      <c r="M660">
        <v>0.16420000000000001</v>
      </c>
      <c r="N660">
        <v>8</v>
      </c>
      <c r="O660">
        <v>57</v>
      </c>
      <c r="P660">
        <v>65</v>
      </c>
      <c r="Q660" t="str">
        <f t="shared" si="43"/>
        <v>Weekend</v>
      </c>
      <c r="R660" t="str">
        <f t="shared" si="40"/>
        <v>Clear</v>
      </c>
      <c r="S660">
        <f t="shared" si="41"/>
        <v>-0.25435329828790432</v>
      </c>
      <c r="T660">
        <f t="shared" si="42"/>
        <v>0.10399668008577614</v>
      </c>
      <c r="U660" s="6">
        <v>0.26</v>
      </c>
      <c r="V660">
        <f t="array" ref="V660">CORREL(IFERROR(VALUE(TRIM(CLEAN($U$2:$U$1001))),0), IFERROR(VALUE(TRIM(CLEAN($P$2:$P$1001))),0))</f>
        <v>0.23135628536430677</v>
      </c>
    </row>
    <row r="661" spans="1:22" x14ac:dyDescent="0.25">
      <c r="A661">
        <v>660</v>
      </c>
      <c r="B661" s="1">
        <v>40573</v>
      </c>
      <c r="C661">
        <v>1</v>
      </c>
      <c r="D661">
        <v>0</v>
      </c>
      <c r="E661">
        <v>1</v>
      </c>
      <c r="F661">
        <v>19</v>
      </c>
      <c r="G661" t="b">
        <v>0</v>
      </c>
      <c r="H661">
        <v>0</v>
      </c>
      <c r="I661">
        <v>1</v>
      </c>
      <c r="J661">
        <v>0.26</v>
      </c>
      <c r="K661">
        <v>0.2576</v>
      </c>
      <c r="L661">
        <v>0.65</v>
      </c>
      <c r="M661">
        <v>0.19400000000000001</v>
      </c>
      <c r="N661">
        <v>9</v>
      </c>
      <c r="O661">
        <v>46</v>
      </c>
      <c r="P661">
        <v>55</v>
      </c>
      <c r="Q661" t="str">
        <f t="shared" si="43"/>
        <v>Weekday</v>
      </c>
      <c r="R661" t="str">
        <f t="shared" si="40"/>
        <v>Clear</v>
      </c>
      <c r="S661">
        <f t="shared" si="41"/>
        <v>-0.25435329828790432</v>
      </c>
      <c r="T661">
        <f t="shared" si="42"/>
        <v>0.10399668008577614</v>
      </c>
      <c r="U661" s="6">
        <v>0.26</v>
      </c>
      <c r="V661">
        <f t="array" ref="V661">CORREL(IFERROR(VALUE(TRIM(CLEAN($U$2:$U$1001))),0), IFERROR(VALUE(TRIM(CLEAN($P$2:$P$1001))),0))</f>
        <v>0.23135628536430677</v>
      </c>
    </row>
    <row r="662" spans="1:22" x14ac:dyDescent="0.25">
      <c r="A662">
        <v>661</v>
      </c>
      <c r="B662" s="1">
        <v>40573</v>
      </c>
      <c r="C662">
        <v>1</v>
      </c>
      <c r="D662">
        <v>0</v>
      </c>
      <c r="E662">
        <v>1</v>
      </c>
      <c r="F662">
        <v>20</v>
      </c>
      <c r="G662" t="b">
        <v>0</v>
      </c>
      <c r="H662">
        <v>0</v>
      </c>
      <c r="I662">
        <v>2</v>
      </c>
      <c r="J662">
        <v>0.26</v>
      </c>
      <c r="K662">
        <v>0.2727</v>
      </c>
      <c r="L662">
        <v>0.65</v>
      </c>
      <c r="M662">
        <v>0.1045</v>
      </c>
      <c r="N662">
        <v>3</v>
      </c>
      <c r="O662">
        <v>30</v>
      </c>
      <c r="P662">
        <v>33</v>
      </c>
      <c r="Q662" t="str">
        <f t="shared" si="43"/>
        <v>Weekday</v>
      </c>
      <c r="R662" t="str">
        <f t="shared" si="40"/>
        <v>Mist/Cloudy</v>
      </c>
      <c r="S662">
        <f t="shared" si="41"/>
        <v>-0.25435329828790432</v>
      </c>
      <c r="T662">
        <f t="shared" si="42"/>
        <v>0.10399668008577614</v>
      </c>
      <c r="U662" s="6">
        <v>0.26</v>
      </c>
      <c r="V662">
        <f t="array" ref="V662">CORREL(IFERROR(VALUE(TRIM(CLEAN($U$2:$U$1001))),0), IFERROR(VALUE(TRIM(CLEAN($P$2:$P$1001))),0))</f>
        <v>0.23135628536430677</v>
      </c>
    </row>
    <row r="663" spans="1:22" x14ac:dyDescent="0.25">
      <c r="A663">
        <v>662</v>
      </c>
      <c r="B663" s="1">
        <v>40573</v>
      </c>
      <c r="C663">
        <v>1</v>
      </c>
      <c r="D663">
        <v>0</v>
      </c>
      <c r="E663">
        <v>1</v>
      </c>
      <c r="F663">
        <v>21</v>
      </c>
      <c r="G663" t="b">
        <v>0</v>
      </c>
      <c r="H663">
        <v>0</v>
      </c>
      <c r="I663">
        <v>2</v>
      </c>
      <c r="J663">
        <v>0.24</v>
      </c>
      <c r="K663">
        <v>0.2424</v>
      </c>
      <c r="L663">
        <v>0.7</v>
      </c>
      <c r="M663">
        <v>0.16420000000000001</v>
      </c>
      <c r="N663">
        <v>3</v>
      </c>
      <c r="O663">
        <v>25</v>
      </c>
      <c r="P663">
        <v>28</v>
      </c>
      <c r="Q663" t="str">
        <f t="shared" si="43"/>
        <v>Weekday</v>
      </c>
      <c r="R663" t="str">
        <f t="shared" si="40"/>
        <v>Mist/Cloudy</v>
      </c>
      <c r="S663">
        <f t="shared" si="41"/>
        <v>-0.25435329828790432</v>
      </c>
      <c r="T663">
        <f t="shared" si="42"/>
        <v>0.10399668008577614</v>
      </c>
      <c r="U663" s="6">
        <v>0.24</v>
      </c>
      <c r="V663">
        <f t="array" ref="V663">CORREL(IFERROR(VALUE(TRIM(CLEAN($U$2:$U$1001))),0), IFERROR(VALUE(TRIM(CLEAN($P$2:$P$1001))),0))</f>
        <v>0.23135628536430677</v>
      </c>
    </row>
    <row r="664" spans="1:22" x14ac:dyDescent="0.25">
      <c r="A664">
        <v>663</v>
      </c>
      <c r="B664" s="1">
        <v>40573</v>
      </c>
      <c r="C664">
        <v>1</v>
      </c>
      <c r="D664">
        <v>0</v>
      </c>
      <c r="E664">
        <v>1</v>
      </c>
      <c r="F664">
        <v>22</v>
      </c>
      <c r="G664" t="b">
        <v>0</v>
      </c>
      <c r="H664">
        <v>0</v>
      </c>
      <c r="I664">
        <v>2</v>
      </c>
      <c r="J664">
        <v>0.24</v>
      </c>
      <c r="K664">
        <v>0.2273</v>
      </c>
      <c r="L664">
        <v>0.7</v>
      </c>
      <c r="M664">
        <v>0.19400000000000001</v>
      </c>
      <c r="N664">
        <v>2</v>
      </c>
      <c r="O664">
        <v>19</v>
      </c>
      <c r="P664">
        <v>21</v>
      </c>
      <c r="Q664" t="str">
        <f t="shared" si="43"/>
        <v>Weekday</v>
      </c>
      <c r="R664" t="str">
        <f t="shared" si="40"/>
        <v>Mist/Cloudy</v>
      </c>
      <c r="S664">
        <f t="shared" si="41"/>
        <v>-0.25435329828790432</v>
      </c>
      <c r="T664">
        <f t="shared" si="42"/>
        <v>0.10399668008577614</v>
      </c>
      <c r="U664" s="6">
        <v>0.24</v>
      </c>
      <c r="V664">
        <f t="array" ref="V664">CORREL(IFERROR(VALUE(TRIM(CLEAN($U$2:$U$1001))),0), IFERROR(VALUE(TRIM(CLEAN($P$2:$P$1001))),0))</f>
        <v>0.23135628536430677</v>
      </c>
    </row>
    <row r="665" spans="1:22" x14ac:dyDescent="0.25">
      <c r="A665">
        <v>664</v>
      </c>
      <c r="B665" s="1">
        <v>40573</v>
      </c>
      <c r="C665">
        <v>1</v>
      </c>
      <c r="D665">
        <v>0</v>
      </c>
      <c r="E665">
        <v>1</v>
      </c>
      <c r="F665">
        <v>23</v>
      </c>
      <c r="G665" t="b">
        <v>0</v>
      </c>
      <c r="H665">
        <v>0</v>
      </c>
      <c r="I665">
        <v>2</v>
      </c>
      <c r="J665">
        <v>0.24</v>
      </c>
      <c r="K665">
        <v>0.21210000000000001</v>
      </c>
      <c r="L665">
        <v>0.65</v>
      </c>
      <c r="M665">
        <v>0.28360000000000002</v>
      </c>
      <c r="N665">
        <v>5</v>
      </c>
      <c r="O665">
        <v>16</v>
      </c>
      <c r="P665">
        <v>21</v>
      </c>
      <c r="Q665" t="str">
        <f t="shared" si="43"/>
        <v>Weekday</v>
      </c>
      <c r="R665" t="str">
        <f t="shared" si="40"/>
        <v>Mist/Cloudy</v>
      </c>
      <c r="S665">
        <f t="shared" si="41"/>
        <v>-0.25435329828790432</v>
      </c>
      <c r="T665">
        <f t="shared" si="42"/>
        <v>0.10399668008577614</v>
      </c>
      <c r="U665" s="6">
        <v>0.24</v>
      </c>
      <c r="V665">
        <f t="array" ref="V665">CORREL(IFERROR(VALUE(TRIM(CLEAN($U$2:$U$1001))),0), IFERROR(VALUE(TRIM(CLEAN($P$2:$P$1001))),0))</f>
        <v>0.23135628536430677</v>
      </c>
    </row>
    <row r="666" spans="1:22" x14ac:dyDescent="0.25">
      <c r="A666">
        <v>665</v>
      </c>
      <c r="B666" s="1">
        <v>40574</v>
      </c>
      <c r="C666">
        <v>1</v>
      </c>
      <c r="D666">
        <v>0</v>
      </c>
      <c r="E666">
        <v>1</v>
      </c>
      <c r="F666">
        <v>0</v>
      </c>
      <c r="G666" t="b">
        <v>0</v>
      </c>
      <c r="H666">
        <v>1</v>
      </c>
      <c r="I666">
        <v>2</v>
      </c>
      <c r="J666">
        <v>0.24</v>
      </c>
      <c r="K666">
        <v>0.2273</v>
      </c>
      <c r="L666">
        <v>0.65</v>
      </c>
      <c r="M666">
        <v>0.22389999999999999</v>
      </c>
      <c r="N666">
        <v>1</v>
      </c>
      <c r="O666">
        <v>6</v>
      </c>
      <c r="P666">
        <v>7</v>
      </c>
      <c r="Q666" t="str">
        <f t="shared" si="43"/>
        <v>Weekend</v>
      </c>
      <c r="R666" t="str">
        <f t="shared" si="40"/>
        <v>Mist/Cloudy</v>
      </c>
      <c r="S666">
        <f t="shared" si="41"/>
        <v>-0.25435329828790432</v>
      </c>
      <c r="T666">
        <f t="shared" si="42"/>
        <v>0.10399668008577614</v>
      </c>
      <c r="U666" s="6">
        <v>0.24</v>
      </c>
      <c r="V666">
        <f t="array" ref="V666">CORREL(IFERROR(VALUE(TRIM(CLEAN($U$2:$U$1001))),0), IFERROR(VALUE(TRIM(CLEAN($P$2:$P$1001))),0))</f>
        <v>0.23135628536430677</v>
      </c>
    </row>
    <row r="667" spans="1:22" x14ac:dyDescent="0.25">
      <c r="A667">
        <v>666</v>
      </c>
      <c r="B667" s="1">
        <v>40574</v>
      </c>
      <c r="C667">
        <v>1</v>
      </c>
      <c r="D667">
        <v>0</v>
      </c>
      <c r="E667">
        <v>1</v>
      </c>
      <c r="F667">
        <v>1</v>
      </c>
      <c r="G667" t="b">
        <v>0</v>
      </c>
      <c r="H667">
        <v>1</v>
      </c>
      <c r="I667">
        <v>1</v>
      </c>
      <c r="J667">
        <v>0.22</v>
      </c>
      <c r="K667">
        <v>0.21210000000000001</v>
      </c>
      <c r="L667">
        <v>0.64</v>
      </c>
      <c r="M667">
        <v>0.25369999999999998</v>
      </c>
      <c r="N667">
        <v>2</v>
      </c>
      <c r="O667">
        <v>5</v>
      </c>
      <c r="P667">
        <v>7</v>
      </c>
      <c r="Q667" t="str">
        <f t="shared" si="43"/>
        <v>Weekend</v>
      </c>
      <c r="R667" t="str">
        <f t="shared" si="40"/>
        <v>Clear</v>
      </c>
      <c r="S667">
        <f t="shared" si="41"/>
        <v>-0.25435329828790432</v>
      </c>
      <c r="T667">
        <f t="shared" si="42"/>
        <v>0.10399668008577614</v>
      </c>
      <c r="U667" s="6">
        <v>0.22</v>
      </c>
      <c r="V667">
        <f t="array" ref="V667">CORREL(IFERROR(VALUE(TRIM(CLEAN($U$2:$U$1001))),0), IFERROR(VALUE(TRIM(CLEAN($P$2:$P$1001))),0))</f>
        <v>0.23135628536430677</v>
      </c>
    </row>
    <row r="668" spans="1:22" x14ac:dyDescent="0.25">
      <c r="A668">
        <v>667</v>
      </c>
      <c r="B668" s="1">
        <v>40574</v>
      </c>
      <c r="C668">
        <v>1</v>
      </c>
      <c r="D668">
        <v>0</v>
      </c>
      <c r="E668">
        <v>1</v>
      </c>
      <c r="F668">
        <v>2</v>
      </c>
      <c r="G668" t="b">
        <v>0</v>
      </c>
      <c r="H668">
        <v>1</v>
      </c>
      <c r="I668">
        <v>1</v>
      </c>
      <c r="J668">
        <v>0.22</v>
      </c>
      <c r="K668">
        <v>0.2273</v>
      </c>
      <c r="L668">
        <v>0.64</v>
      </c>
      <c r="M668">
        <v>0.19400000000000001</v>
      </c>
      <c r="N668">
        <v>0</v>
      </c>
      <c r="O668">
        <v>1</v>
      </c>
      <c r="P668">
        <v>1</v>
      </c>
      <c r="Q668" t="str">
        <f t="shared" si="43"/>
        <v>Weekday</v>
      </c>
      <c r="R668" t="str">
        <f t="shared" si="40"/>
        <v>Clear</v>
      </c>
      <c r="S668">
        <f t="shared" si="41"/>
        <v>-0.25435329828790432</v>
      </c>
      <c r="T668">
        <f t="shared" si="42"/>
        <v>0.10399668008577614</v>
      </c>
      <c r="U668" s="6">
        <v>0.22</v>
      </c>
      <c r="V668">
        <f t="array" ref="V668">CORREL(IFERROR(VALUE(TRIM(CLEAN($U$2:$U$1001))),0), IFERROR(VALUE(TRIM(CLEAN($P$2:$P$1001))),0))</f>
        <v>0.23135628536430677</v>
      </c>
    </row>
    <row r="669" spans="1:22" x14ac:dyDescent="0.25">
      <c r="A669">
        <v>668</v>
      </c>
      <c r="B669" s="1">
        <v>40574</v>
      </c>
      <c r="C669">
        <v>1</v>
      </c>
      <c r="D669">
        <v>0</v>
      </c>
      <c r="E669">
        <v>1</v>
      </c>
      <c r="F669">
        <v>3</v>
      </c>
      <c r="G669" t="b">
        <v>0</v>
      </c>
      <c r="H669">
        <v>1</v>
      </c>
      <c r="I669">
        <v>1</v>
      </c>
      <c r="J669">
        <v>0.22</v>
      </c>
      <c r="K669">
        <v>0.2273</v>
      </c>
      <c r="L669">
        <v>0.64</v>
      </c>
      <c r="M669">
        <v>0.19400000000000001</v>
      </c>
      <c r="N669">
        <v>0</v>
      </c>
      <c r="O669">
        <v>2</v>
      </c>
      <c r="P669">
        <v>2</v>
      </c>
      <c r="Q669" t="str">
        <f t="shared" si="43"/>
        <v>Weekday</v>
      </c>
      <c r="R669" t="str">
        <f t="shared" si="40"/>
        <v>Clear</v>
      </c>
      <c r="S669">
        <f t="shared" si="41"/>
        <v>-0.25435329828790432</v>
      </c>
      <c r="T669">
        <f t="shared" si="42"/>
        <v>0.10399668008577614</v>
      </c>
      <c r="U669" s="6">
        <v>0.22</v>
      </c>
      <c r="V669">
        <f t="array" ref="V669">CORREL(IFERROR(VALUE(TRIM(CLEAN($U$2:$U$1001))),0), IFERROR(VALUE(TRIM(CLEAN($P$2:$P$1001))),0))</f>
        <v>0.23135628536430677</v>
      </c>
    </row>
    <row r="670" spans="1:22" x14ac:dyDescent="0.25">
      <c r="A670">
        <v>669</v>
      </c>
      <c r="B670" s="1">
        <v>40574</v>
      </c>
      <c r="C670">
        <v>1</v>
      </c>
      <c r="D670">
        <v>0</v>
      </c>
      <c r="E670">
        <v>1</v>
      </c>
      <c r="F670">
        <v>4</v>
      </c>
      <c r="G670" t="b">
        <v>0</v>
      </c>
      <c r="H670">
        <v>1</v>
      </c>
      <c r="I670">
        <v>1</v>
      </c>
      <c r="J670">
        <v>0.2</v>
      </c>
      <c r="K670">
        <v>0.19700000000000001</v>
      </c>
      <c r="L670">
        <v>0.59</v>
      </c>
      <c r="M670">
        <v>0.22389999999999999</v>
      </c>
      <c r="N670">
        <v>0</v>
      </c>
      <c r="O670">
        <v>2</v>
      </c>
      <c r="P670">
        <v>2</v>
      </c>
      <c r="Q670" t="str">
        <f t="shared" si="43"/>
        <v>Weekday</v>
      </c>
      <c r="R670" t="str">
        <f t="shared" si="40"/>
        <v>Clear</v>
      </c>
      <c r="S670">
        <f t="shared" si="41"/>
        <v>-0.25435329828790432</v>
      </c>
      <c r="T670">
        <f t="shared" si="42"/>
        <v>0.10399668008577614</v>
      </c>
      <c r="U670" s="6">
        <v>0.2</v>
      </c>
      <c r="V670">
        <f t="array" ref="V670">CORREL(IFERROR(VALUE(TRIM(CLEAN($U$2:$U$1001))),0), IFERROR(VALUE(TRIM(CLEAN($P$2:$P$1001))),0))</f>
        <v>0.23135628536430677</v>
      </c>
    </row>
    <row r="671" spans="1:22" x14ac:dyDescent="0.25">
      <c r="A671">
        <v>670</v>
      </c>
      <c r="B671" s="1">
        <v>40574</v>
      </c>
      <c r="C671">
        <v>1</v>
      </c>
      <c r="D671">
        <v>0</v>
      </c>
      <c r="E671">
        <v>1</v>
      </c>
      <c r="F671">
        <v>5</v>
      </c>
      <c r="G671" t="b">
        <v>0</v>
      </c>
      <c r="H671">
        <v>1</v>
      </c>
      <c r="I671">
        <v>1</v>
      </c>
      <c r="J671">
        <v>0.18</v>
      </c>
      <c r="K671">
        <v>0.16669999999999999</v>
      </c>
      <c r="L671">
        <v>0.64</v>
      </c>
      <c r="M671">
        <v>0.28360000000000002</v>
      </c>
      <c r="N671">
        <v>0</v>
      </c>
      <c r="O671">
        <v>8</v>
      </c>
      <c r="P671">
        <v>8</v>
      </c>
      <c r="Q671" t="str">
        <f t="shared" si="43"/>
        <v>Weekday</v>
      </c>
      <c r="R671" t="str">
        <f t="shared" si="40"/>
        <v>Clear</v>
      </c>
      <c r="S671">
        <f t="shared" si="41"/>
        <v>-0.25435329828790432</v>
      </c>
      <c r="T671">
        <f t="shared" si="42"/>
        <v>0.10399668008577614</v>
      </c>
      <c r="U671" s="6">
        <v>0.18</v>
      </c>
      <c r="V671">
        <f t="array" ref="V671">CORREL(IFERROR(VALUE(TRIM(CLEAN($U$2:$U$1001))),0), IFERROR(VALUE(TRIM(CLEAN($P$2:$P$1001))),0))</f>
        <v>0.23135628536430677</v>
      </c>
    </row>
    <row r="672" spans="1:22" x14ac:dyDescent="0.25">
      <c r="A672">
        <v>671</v>
      </c>
      <c r="B672" s="1">
        <v>40574</v>
      </c>
      <c r="C672">
        <v>1</v>
      </c>
      <c r="D672">
        <v>0</v>
      </c>
      <c r="E672">
        <v>1</v>
      </c>
      <c r="F672">
        <v>6</v>
      </c>
      <c r="G672" t="b">
        <v>0</v>
      </c>
      <c r="H672">
        <v>1</v>
      </c>
      <c r="I672">
        <v>1</v>
      </c>
      <c r="J672">
        <v>0.16</v>
      </c>
      <c r="K672">
        <v>0.13639999999999999</v>
      </c>
      <c r="L672">
        <v>0.69</v>
      </c>
      <c r="M672">
        <v>0.32840000000000003</v>
      </c>
      <c r="N672">
        <v>0</v>
      </c>
      <c r="O672">
        <v>37</v>
      </c>
      <c r="P672">
        <v>37</v>
      </c>
      <c r="Q672" t="str">
        <f t="shared" si="43"/>
        <v>Weekday</v>
      </c>
      <c r="R672" t="str">
        <f t="shared" si="40"/>
        <v>Clear</v>
      </c>
      <c r="S672">
        <f t="shared" si="41"/>
        <v>-0.25435329828790432</v>
      </c>
      <c r="T672">
        <f t="shared" si="42"/>
        <v>0.10399668008577614</v>
      </c>
      <c r="U672" s="6">
        <v>0.16</v>
      </c>
      <c r="V672">
        <f t="array" ref="V672">CORREL(IFERROR(VALUE(TRIM(CLEAN($U$2:$U$1001))),0), IFERROR(VALUE(TRIM(CLEAN($P$2:$P$1001))),0))</f>
        <v>0.23135628536430677</v>
      </c>
    </row>
    <row r="673" spans="1:22" x14ac:dyDescent="0.25">
      <c r="A673">
        <v>672</v>
      </c>
      <c r="B673" s="1">
        <v>40574</v>
      </c>
      <c r="C673">
        <v>1</v>
      </c>
      <c r="D673">
        <v>0</v>
      </c>
      <c r="E673">
        <v>1</v>
      </c>
      <c r="F673">
        <v>7</v>
      </c>
      <c r="G673" t="b">
        <v>0</v>
      </c>
      <c r="H673">
        <v>1</v>
      </c>
      <c r="I673">
        <v>2</v>
      </c>
      <c r="J673">
        <v>0.16</v>
      </c>
      <c r="K673">
        <v>0.13639999999999999</v>
      </c>
      <c r="L673">
        <v>0.64</v>
      </c>
      <c r="M673">
        <v>0.28360000000000002</v>
      </c>
      <c r="N673">
        <v>1</v>
      </c>
      <c r="O673">
        <v>71</v>
      </c>
      <c r="P673">
        <v>72</v>
      </c>
      <c r="Q673" t="str">
        <f t="shared" si="43"/>
        <v>Weekend</v>
      </c>
      <c r="R673" t="str">
        <f t="shared" si="40"/>
        <v>Mist/Cloudy</v>
      </c>
      <c r="S673">
        <f t="shared" si="41"/>
        <v>-0.25435329828790432</v>
      </c>
      <c r="T673">
        <f t="shared" si="42"/>
        <v>0.10399668008577614</v>
      </c>
      <c r="U673" s="6">
        <v>0.16</v>
      </c>
      <c r="V673">
        <f t="array" ref="V673">CORREL(IFERROR(VALUE(TRIM(CLEAN($U$2:$U$1001))),0), IFERROR(VALUE(TRIM(CLEAN($P$2:$P$1001))),0))</f>
        <v>0.23135628536430677</v>
      </c>
    </row>
    <row r="674" spans="1:22" x14ac:dyDescent="0.25">
      <c r="A674">
        <v>673</v>
      </c>
      <c r="B674" s="1">
        <v>40574</v>
      </c>
      <c r="C674">
        <v>1</v>
      </c>
      <c r="D674">
        <v>0</v>
      </c>
      <c r="E674">
        <v>1</v>
      </c>
      <c r="F674">
        <v>8</v>
      </c>
      <c r="G674" t="b">
        <v>0</v>
      </c>
      <c r="H674">
        <v>1</v>
      </c>
      <c r="I674">
        <v>2</v>
      </c>
      <c r="J674">
        <v>0.16</v>
      </c>
      <c r="K674">
        <v>0.13639999999999999</v>
      </c>
      <c r="L674">
        <v>0.59</v>
      </c>
      <c r="M674">
        <v>0.28360000000000002</v>
      </c>
      <c r="N674">
        <v>3</v>
      </c>
      <c r="O674">
        <v>182</v>
      </c>
      <c r="P674">
        <v>185</v>
      </c>
      <c r="Q674" t="str">
        <f t="shared" si="43"/>
        <v>Weekend</v>
      </c>
      <c r="R674" t="str">
        <f t="shared" si="40"/>
        <v>Mist/Cloudy</v>
      </c>
      <c r="S674">
        <f t="shared" si="41"/>
        <v>-0.25435329828790432</v>
      </c>
      <c r="T674">
        <f t="shared" si="42"/>
        <v>0.10399668008577614</v>
      </c>
      <c r="U674" s="6">
        <v>0.16</v>
      </c>
      <c r="V674">
        <f t="array" ref="V674">CORREL(IFERROR(VALUE(TRIM(CLEAN($U$2:$U$1001))),0), IFERROR(VALUE(TRIM(CLEAN($P$2:$P$1001))),0))</f>
        <v>0.23135628536430677</v>
      </c>
    </row>
    <row r="675" spans="1:22" x14ac:dyDescent="0.25">
      <c r="A675">
        <v>674</v>
      </c>
      <c r="B675" s="1">
        <v>40574</v>
      </c>
      <c r="C675">
        <v>1</v>
      </c>
      <c r="D675">
        <v>0</v>
      </c>
      <c r="E675">
        <v>1</v>
      </c>
      <c r="F675">
        <v>9</v>
      </c>
      <c r="G675" t="b">
        <v>0</v>
      </c>
      <c r="H675">
        <v>1</v>
      </c>
      <c r="I675">
        <v>2</v>
      </c>
      <c r="J675">
        <v>0.16</v>
      </c>
      <c r="K675">
        <v>0.13639999999999999</v>
      </c>
      <c r="L675">
        <v>0.59</v>
      </c>
      <c r="M675">
        <v>0.29849999999999999</v>
      </c>
      <c r="N675">
        <v>0</v>
      </c>
      <c r="O675">
        <v>112</v>
      </c>
      <c r="P675">
        <v>112</v>
      </c>
      <c r="Q675" t="str">
        <f t="shared" si="43"/>
        <v>Weekday</v>
      </c>
      <c r="R675" t="str">
        <f t="shared" si="40"/>
        <v>Mist/Cloudy</v>
      </c>
      <c r="S675">
        <f t="shared" si="41"/>
        <v>-0.25435329828790432</v>
      </c>
      <c r="T675">
        <f t="shared" si="42"/>
        <v>0.10399668008577614</v>
      </c>
      <c r="U675" s="6">
        <v>0.16</v>
      </c>
      <c r="V675">
        <f t="array" ref="V675">CORREL(IFERROR(VALUE(TRIM(CLEAN($U$2:$U$1001))),0), IFERROR(VALUE(TRIM(CLEAN($P$2:$P$1001))),0))</f>
        <v>0.23135628536430677</v>
      </c>
    </row>
    <row r="676" spans="1:22" x14ac:dyDescent="0.25">
      <c r="A676">
        <v>675</v>
      </c>
      <c r="B676" s="1">
        <v>40574</v>
      </c>
      <c r="C676">
        <v>1</v>
      </c>
      <c r="D676">
        <v>0</v>
      </c>
      <c r="E676">
        <v>1</v>
      </c>
      <c r="F676">
        <v>10</v>
      </c>
      <c r="G676" t="b">
        <v>0</v>
      </c>
      <c r="H676">
        <v>1</v>
      </c>
      <c r="I676">
        <v>2</v>
      </c>
      <c r="J676">
        <v>0.16</v>
      </c>
      <c r="K676">
        <v>0.1515</v>
      </c>
      <c r="L676">
        <v>0.59</v>
      </c>
      <c r="M676">
        <v>0.19400000000000001</v>
      </c>
      <c r="N676">
        <v>1</v>
      </c>
      <c r="O676">
        <v>68</v>
      </c>
      <c r="P676">
        <v>69</v>
      </c>
      <c r="Q676" t="str">
        <f t="shared" si="43"/>
        <v>Weekday</v>
      </c>
      <c r="R676" t="str">
        <f t="shared" si="40"/>
        <v>Mist/Cloudy</v>
      </c>
      <c r="S676">
        <f t="shared" si="41"/>
        <v>-0.25435329828790432</v>
      </c>
      <c r="T676">
        <f t="shared" si="42"/>
        <v>0.10399668008577614</v>
      </c>
      <c r="U676" s="6">
        <v>0.16</v>
      </c>
      <c r="V676">
        <f t="array" ref="V676">CORREL(IFERROR(VALUE(TRIM(CLEAN($U$2:$U$1001))),0), IFERROR(VALUE(TRIM(CLEAN($P$2:$P$1001))),0))</f>
        <v>0.23135628536430677</v>
      </c>
    </row>
    <row r="677" spans="1:22" x14ac:dyDescent="0.25">
      <c r="A677">
        <v>676</v>
      </c>
      <c r="B677" s="1">
        <v>40574</v>
      </c>
      <c r="C677">
        <v>1</v>
      </c>
      <c r="D677">
        <v>0</v>
      </c>
      <c r="E677">
        <v>1</v>
      </c>
      <c r="F677">
        <v>11</v>
      </c>
      <c r="G677" t="b">
        <v>0</v>
      </c>
      <c r="H677">
        <v>1</v>
      </c>
      <c r="I677">
        <v>2</v>
      </c>
      <c r="J677">
        <v>0.16</v>
      </c>
      <c r="K677">
        <v>0.1515</v>
      </c>
      <c r="L677">
        <v>0.59</v>
      </c>
      <c r="M677">
        <v>0.19400000000000001</v>
      </c>
      <c r="N677">
        <v>2</v>
      </c>
      <c r="O677">
        <v>46</v>
      </c>
      <c r="P677">
        <v>48</v>
      </c>
      <c r="Q677" t="str">
        <f t="shared" si="43"/>
        <v>Weekday</v>
      </c>
      <c r="R677" t="str">
        <f t="shared" si="40"/>
        <v>Mist/Cloudy</v>
      </c>
      <c r="S677">
        <f t="shared" si="41"/>
        <v>-0.25435329828790432</v>
      </c>
      <c r="T677">
        <f t="shared" si="42"/>
        <v>0.10399668008577614</v>
      </c>
      <c r="U677" s="6">
        <v>0.16</v>
      </c>
      <c r="V677">
        <f t="array" ref="V677">CORREL(IFERROR(VALUE(TRIM(CLEAN($U$2:$U$1001))),0), IFERROR(VALUE(TRIM(CLEAN($P$2:$P$1001))),0))</f>
        <v>0.23135628536430677</v>
      </c>
    </row>
    <row r="678" spans="1:22" x14ac:dyDescent="0.25">
      <c r="A678">
        <v>677</v>
      </c>
      <c r="B678" s="1">
        <v>40574</v>
      </c>
      <c r="C678">
        <v>1</v>
      </c>
      <c r="D678">
        <v>0</v>
      </c>
      <c r="E678">
        <v>1</v>
      </c>
      <c r="F678">
        <v>12</v>
      </c>
      <c r="G678" t="b">
        <v>0</v>
      </c>
      <c r="H678">
        <v>1</v>
      </c>
      <c r="I678">
        <v>2</v>
      </c>
      <c r="J678">
        <v>0.18</v>
      </c>
      <c r="K678">
        <v>0.21210000000000001</v>
      </c>
      <c r="L678">
        <v>0.55000000000000004</v>
      </c>
      <c r="M678">
        <v>0.1045</v>
      </c>
      <c r="N678">
        <v>6</v>
      </c>
      <c r="O678">
        <v>62</v>
      </c>
      <c r="P678">
        <v>68</v>
      </c>
      <c r="Q678" t="str">
        <f t="shared" si="43"/>
        <v>Weekday</v>
      </c>
      <c r="R678" t="str">
        <f t="shared" si="40"/>
        <v>Mist/Cloudy</v>
      </c>
      <c r="S678">
        <f t="shared" si="41"/>
        <v>-0.25435329828790432</v>
      </c>
      <c r="T678">
        <f t="shared" si="42"/>
        <v>0.10399668008577614</v>
      </c>
      <c r="U678" s="6">
        <v>0.18</v>
      </c>
      <c r="V678">
        <f t="array" ref="V678">CORREL(IFERROR(VALUE(TRIM(CLEAN($U$2:$U$1001))),0), IFERROR(VALUE(TRIM(CLEAN($P$2:$P$1001))),0))</f>
        <v>0.23135628536430677</v>
      </c>
    </row>
    <row r="679" spans="1:22" x14ac:dyDescent="0.25">
      <c r="A679">
        <v>678</v>
      </c>
      <c r="B679" s="1">
        <v>40574</v>
      </c>
      <c r="C679">
        <v>1</v>
      </c>
      <c r="D679">
        <v>0</v>
      </c>
      <c r="E679">
        <v>1</v>
      </c>
      <c r="F679">
        <v>13</v>
      </c>
      <c r="G679" t="b">
        <v>0</v>
      </c>
      <c r="H679">
        <v>1</v>
      </c>
      <c r="I679">
        <v>2</v>
      </c>
      <c r="J679">
        <v>0.16</v>
      </c>
      <c r="K679">
        <v>0.2273</v>
      </c>
      <c r="L679">
        <v>0.59</v>
      </c>
      <c r="M679">
        <v>0</v>
      </c>
      <c r="N679">
        <v>2</v>
      </c>
      <c r="O679">
        <v>52</v>
      </c>
      <c r="P679">
        <v>54</v>
      </c>
      <c r="Q679" t="str">
        <f t="shared" si="43"/>
        <v>Weekday</v>
      </c>
      <c r="R679" t="str">
        <f t="shared" si="40"/>
        <v>Mist/Cloudy</v>
      </c>
      <c r="S679">
        <f t="shared" si="41"/>
        <v>-0.25435329828790432</v>
      </c>
      <c r="T679">
        <f t="shared" si="42"/>
        <v>0.10399668008577614</v>
      </c>
      <c r="U679" s="6">
        <v>0.16</v>
      </c>
      <c r="V679">
        <f t="array" ref="V679">CORREL(IFERROR(VALUE(TRIM(CLEAN($U$2:$U$1001))),0), IFERROR(VALUE(TRIM(CLEAN($P$2:$P$1001))),0))</f>
        <v>0.23135628536430677</v>
      </c>
    </row>
    <row r="680" spans="1:22" x14ac:dyDescent="0.25">
      <c r="A680">
        <v>679</v>
      </c>
      <c r="B680" s="1">
        <v>40574</v>
      </c>
      <c r="C680">
        <v>1</v>
      </c>
      <c r="D680">
        <v>0</v>
      </c>
      <c r="E680">
        <v>1</v>
      </c>
      <c r="F680">
        <v>14</v>
      </c>
      <c r="G680" t="b">
        <v>0</v>
      </c>
      <c r="H680">
        <v>1</v>
      </c>
      <c r="I680">
        <v>2</v>
      </c>
      <c r="J680">
        <v>0.18</v>
      </c>
      <c r="K680">
        <v>0.19700000000000001</v>
      </c>
      <c r="L680">
        <v>0.55000000000000004</v>
      </c>
      <c r="M680">
        <v>0.1343</v>
      </c>
      <c r="N680">
        <v>1</v>
      </c>
      <c r="O680">
        <v>85</v>
      </c>
      <c r="P680">
        <v>86</v>
      </c>
      <c r="Q680" t="str">
        <f t="shared" si="43"/>
        <v>Weekend</v>
      </c>
      <c r="R680" t="str">
        <f t="shared" si="40"/>
        <v>Mist/Cloudy</v>
      </c>
      <c r="S680">
        <f t="shared" si="41"/>
        <v>-0.25435329828790432</v>
      </c>
      <c r="T680">
        <f t="shared" si="42"/>
        <v>0.10399668008577614</v>
      </c>
      <c r="U680" s="6">
        <v>0.18</v>
      </c>
      <c r="V680">
        <f t="array" ref="V680">CORREL(IFERROR(VALUE(TRIM(CLEAN($U$2:$U$1001))),0), IFERROR(VALUE(TRIM(CLEAN($P$2:$P$1001))),0))</f>
        <v>0.23135628536430677</v>
      </c>
    </row>
    <row r="681" spans="1:22" x14ac:dyDescent="0.25">
      <c r="A681">
        <v>680</v>
      </c>
      <c r="B681" s="1">
        <v>40574</v>
      </c>
      <c r="C681">
        <v>1</v>
      </c>
      <c r="D681">
        <v>0</v>
      </c>
      <c r="E681">
        <v>1</v>
      </c>
      <c r="F681">
        <v>15</v>
      </c>
      <c r="G681" t="b">
        <v>0</v>
      </c>
      <c r="H681">
        <v>1</v>
      </c>
      <c r="I681">
        <v>2</v>
      </c>
      <c r="J681">
        <v>0.16</v>
      </c>
      <c r="K681">
        <v>0.18179999999999999</v>
      </c>
      <c r="L681">
        <v>0.59</v>
      </c>
      <c r="M681">
        <v>0.1343</v>
      </c>
      <c r="N681">
        <v>3</v>
      </c>
      <c r="O681">
        <v>41</v>
      </c>
      <c r="P681">
        <v>44</v>
      </c>
      <c r="Q681" t="str">
        <f t="shared" si="43"/>
        <v>Weekend</v>
      </c>
      <c r="R681" t="str">
        <f t="shared" si="40"/>
        <v>Mist/Cloudy</v>
      </c>
      <c r="S681">
        <f t="shared" si="41"/>
        <v>-0.25435329828790432</v>
      </c>
      <c r="T681">
        <f t="shared" si="42"/>
        <v>0.10399668008577614</v>
      </c>
      <c r="U681" s="6">
        <v>0.16</v>
      </c>
      <c r="V681">
        <f t="array" ref="V681">CORREL(IFERROR(VALUE(TRIM(CLEAN($U$2:$U$1001))),0), IFERROR(VALUE(TRIM(CLEAN($P$2:$P$1001))),0))</f>
        <v>0.23135628536430677</v>
      </c>
    </row>
    <row r="682" spans="1:22" x14ac:dyDescent="0.25">
      <c r="A682">
        <v>681</v>
      </c>
      <c r="B682" s="1">
        <v>40574</v>
      </c>
      <c r="C682">
        <v>1</v>
      </c>
      <c r="D682">
        <v>0</v>
      </c>
      <c r="E682">
        <v>1</v>
      </c>
      <c r="F682">
        <v>16</v>
      </c>
      <c r="G682" t="b">
        <v>0</v>
      </c>
      <c r="H682">
        <v>1</v>
      </c>
      <c r="I682">
        <v>2</v>
      </c>
      <c r="J682">
        <v>0.16</v>
      </c>
      <c r="K682">
        <v>0.18179999999999999</v>
      </c>
      <c r="L682">
        <v>0.56000000000000005</v>
      </c>
      <c r="M682">
        <v>0.19400000000000001</v>
      </c>
      <c r="N682">
        <v>3</v>
      </c>
      <c r="O682">
        <v>83</v>
      </c>
      <c r="P682">
        <v>86</v>
      </c>
      <c r="Q682" t="str">
        <f t="shared" si="43"/>
        <v>Weekday</v>
      </c>
      <c r="R682" t="str">
        <f t="shared" si="40"/>
        <v>Mist/Cloudy</v>
      </c>
      <c r="S682">
        <f t="shared" si="41"/>
        <v>-0.25435329828790432</v>
      </c>
      <c r="T682">
        <f t="shared" si="42"/>
        <v>0.10399668008577614</v>
      </c>
      <c r="U682" s="6">
        <v>0.16</v>
      </c>
      <c r="V682">
        <f t="array" ref="V682">CORREL(IFERROR(VALUE(TRIM(CLEAN($U$2:$U$1001))),0), IFERROR(VALUE(TRIM(CLEAN($P$2:$P$1001))),0))</f>
        <v>0.23135628536430677</v>
      </c>
    </row>
    <row r="683" spans="1:22" x14ac:dyDescent="0.25">
      <c r="A683">
        <v>682</v>
      </c>
      <c r="B683" s="1">
        <v>40574</v>
      </c>
      <c r="C683">
        <v>1</v>
      </c>
      <c r="D683">
        <v>0</v>
      </c>
      <c r="E683">
        <v>1</v>
      </c>
      <c r="F683">
        <v>17</v>
      </c>
      <c r="G683" t="b">
        <v>0</v>
      </c>
      <c r="H683">
        <v>1</v>
      </c>
      <c r="I683">
        <v>2</v>
      </c>
      <c r="J683">
        <v>0.16</v>
      </c>
      <c r="K683">
        <v>0.1515</v>
      </c>
      <c r="L683">
        <v>0.59</v>
      </c>
      <c r="M683">
        <v>0.19400000000000001</v>
      </c>
      <c r="N683">
        <v>6</v>
      </c>
      <c r="O683">
        <v>155</v>
      </c>
      <c r="P683">
        <v>161</v>
      </c>
      <c r="Q683" t="str">
        <f t="shared" si="43"/>
        <v>Weekday</v>
      </c>
      <c r="R683" t="str">
        <f t="shared" si="40"/>
        <v>Mist/Cloudy</v>
      </c>
      <c r="S683">
        <f t="shared" si="41"/>
        <v>-0.25435329828790432</v>
      </c>
      <c r="T683">
        <f t="shared" si="42"/>
        <v>0.10399668008577614</v>
      </c>
      <c r="U683" s="6">
        <v>0.16</v>
      </c>
      <c r="V683">
        <f t="array" ref="V683">CORREL(IFERROR(VALUE(TRIM(CLEAN($U$2:$U$1001))),0), IFERROR(VALUE(TRIM(CLEAN($P$2:$P$1001))),0))</f>
        <v>0.23135628536430677</v>
      </c>
    </row>
    <row r="684" spans="1:22" x14ac:dyDescent="0.25">
      <c r="A684">
        <v>683</v>
      </c>
      <c r="B684" s="1">
        <v>40574</v>
      </c>
      <c r="C684">
        <v>1</v>
      </c>
      <c r="D684">
        <v>0</v>
      </c>
      <c r="E684">
        <v>1</v>
      </c>
      <c r="F684">
        <v>18</v>
      </c>
      <c r="G684" t="b">
        <v>0</v>
      </c>
      <c r="H684">
        <v>1</v>
      </c>
      <c r="I684">
        <v>2</v>
      </c>
      <c r="J684">
        <v>0.16</v>
      </c>
      <c r="K684">
        <v>0.1515</v>
      </c>
      <c r="L684">
        <v>0.55000000000000004</v>
      </c>
      <c r="M684">
        <v>0.22389999999999999</v>
      </c>
      <c r="N684">
        <v>3</v>
      </c>
      <c r="O684">
        <v>153</v>
      </c>
      <c r="P684">
        <v>156</v>
      </c>
      <c r="Q684" t="str">
        <f t="shared" si="43"/>
        <v>Weekday</v>
      </c>
      <c r="R684" t="str">
        <f t="shared" si="40"/>
        <v>Mist/Cloudy</v>
      </c>
      <c r="S684">
        <f t="shared" si="41"/>
        <v>-0.25435329828790432</v>
      </c>
      <c r="T684">
        <f t="shared" si="42"/>
        <v>0.10399668008577614</v>
      </c>
      <c r="U684" s="6">
        <v>0.16</v>
      </c>
      <c r="V684">
        <f t="array" ref="V684">CORREL(IFERROR(VALUE(TRIM(CLEAN($U$2:$U$1001))),0), IFERROR(VALUE(TRIM(CLEAN($P$2:$P$1001))),0))</f>
        <v>0.23135628536430677</v>
      </c>
    </row>
    <row r="685" spans="1:22" x14ac:dyDescent="0.25">
      <c r="A685">
        <v>684</v>
      </c>
      <c r="B685" s="1">
        <v>40574</v>
      </c>
      <c r="C685">
        <v>1</v>
      </c>
      <c r="D685">
        <v>0</v>
      </c>
      <c r="E685">
        <v>1</v>
      </c>
      <c r="F685">
        <v>19</v>
      </c>
      <c r="G685" t="b">
        <v>0</v>
      </c>
      <c r="H685">
        <v>1</v>
      </c>
      <c r="I685">
        <v>1</v>
      </c>
      <c r="J685">
        <v>0.3</v>
      </c>
      <c r="K685">
        <v>0.31819999999999998</v>
      </c>
      <c r="L685">
        <v>0.61</v>
      </c>
      <c r="M685">
        <v>0.1045</v>
      </c>
      <c r="N685">
        <v>3</v>
      </c>
      <c r="O685">
        <v>108</v>
      </c>
      <c r="P685">
        <v>111</v>
      </c>
      <c r="Q685" t="str">
        <f t="shared" si="43"/>
        <v>Weekday</v>
      </c>
      <c r="R685" t="str">
        <f t="shared" si="40"/>
        <v>Clear</v>
      </c>
      <c r="S685">
        <f t="shared" si="41"/>
        <v>-0.25435329828790432</v>
      </c>
      <c r="T685">
        <f t="shared" si="42"/>
        <v>0.10399668008577614</v>
      </c>
      <c r="U685" s="6">
        <v>0.3</v>
      </c>
      <c r="V685">
        <f t="array" ref="V685">CORREL(IFERROR(VALUE(TRIM(CLEAN($U$2:$U$1001))),0), IFERROR(VALUE(TRIM(CLEAN($P$2:$P$1001))),0))</f>
        <v>0.23135628536430677</v>
      </c>
    </row>
    <row r="686" spans="1:22" x14ac:dyDescent="0.25">
      <c r="A686">
        <v>685</v>
      </c>
      <c r="B686" s="1">
        <v>40574</v>
      </c>
      <c r="C686">
        <v>1</v>
      </c>
      <c r="D686">
        <v>0</v>
      </c>
      <c r="E686">
        <v>1</v>
      </c>
      <c r="F686">
        <v>20</v>
      </c>
      <c r="G686" t="b">
        <v>0</v>
      </c>
      <c r="H686">
        <v>1</v>
      </c>
      <c r="I686">
        <v>3</v>
      </c>
      <c r="J686">
        <v>0.16</v>
      </c>
      <c r="K686">
        <v>0.16669999999999999</v>
      </c>
      <c r="L686">
        <v>0.59</v>
      </c>
      <c r="M686">
        <v>0.16420000000000001</v>
      </c>
      <c r="N686">
        <v>0</v>
      </c>
      <c r="O686">
        <v>78</v>
      </c>
      <c r="P686">
        <v>78</v>
      </c>
      <c r="Q686" t="str">
        <f t="shared" si="43"/>
        <v>Weekday</v>
      </c>
      <c r="R686" t="str">
        <f t="shared" si="40"/>
        <v>Light Snow/Rain</v>
      </c>
      <c r="S686">
        <f t="shared" si="41"/>
        <v>-0.25435329828790432</v>
      </c>
      <c r="T686">
        <f t="shared" si="42"/>
        <v>0.10399668008577614</v>
      </c>
      <c r="U686" s="6">
        <v>0.16</v>
      </c>
      <c r="V686">
        <f t="array" ref="V686">CORREL(IFERROR(VALUE(TRIM(CLEAN($U$2:$U$1001))),0), IFERROR(VALUE(TRIM(CLEAN($P$2:$P$1001))),0))</f>
        <v>0.23135628536430677</v>
      </c>
    </row>
    <row r="687" spans="1:22" x14ac:dyDescent="0.25">
      <c r="A687">
        <v>686</v>
      </c>
      <c r="B687" s="1">
        <v>40574</v>
      </c>
      <c r="C687">
        <v>1</v>
      </c>
      <c r="D687">
        <v>0</v>
      </c>
      <c r="E687">
        <v>1</v>
      </c>
      <c r="F687">
        <v>21</v>
      </c>
      <c r="G687" t="b">
        <v>0</v>
      </c>
      <c r="H687">
        <v>1</v>
      </c>
      <c r="I687">
        <v>3</v>
      </c>
      <c r="J687">
        <v>0.16</v>
      </c>
      <c r="K687">
        <v>0.19700000000000001</v>
      </c>
      <c r="L687">
        <v>0.59</v>
      </c>
      <c r="M687">
        <v>8.9599999999999999E-2</v>
      </c>
      <c r="N687">
        <v>3</v>
      </c>
      <c r="O687">
        <v>53</v>
      </c>
      <c r="P687">
        <v>56</v>
      </c>
      <c r="Q687" t="str">
        <f t="shared" si="43"/>
        <v>Weekend</v>
      </c>
      <c r="R687" t="str">
        <f t="shared" si="40"/>
        <v>Light Snow/Rain</v>
      </c>
      <c r="S687">
        <f t="shared" si="41"/>
        <v>-0.25435329828790432</v>
      </c>
      <c r="T687">
        <f t="shared" si="42"/>
        <v>0.10399668008577614</v>
      </c>
      <c r="U687" s="6">
        <v>0.16</v>
      </c>
      <c r="V687">
        <f t="array" ref="V687">CORREL(IFERROR(VALUE(TRIM(CLEAN($U$2:$U$1001))),0), IFERROR(VALUE(TRIM(CLEAN($P$2:$P$1001))),0))</f>
        <v>0.23135628536430677</v>
      </c>
    </row>
    <row r="688" spans="1:22" x14ac:dyDescent="0.25">
      <c r="A688">
        <v>687</v>
      </c>
      <c r="B688" s="1">
        <v>40574</v>
      </c>
      <c r="C688">
        <v>1</v>
      </c>
      <c r="D688">
        <v>0</v>
      </c>
      <c r="E688">
        <v>1</v>
      </c>
      <c r="F688">
        <v>22</v>
      </c>
      <c r="G688" t="b">
        <v>0</v>
      </c>
      <c r="H688">
        <v>1</v>
      </c>
      <c r="I688">
        <v>2</v>
      </c>
      <c r="J688">
        <v>0.16</v>
      </c>
      <c r="K688">
        <v>0.18179999999999999</v>
      </c>
      <c r="L688">
        <v>0.59</v>
      </c>
      <c r="M688">
        <v>0.1045</v>
      </c>
      <c r="N688">
        <v>0</v>
      </c>
      <c r="O688">
        <v>34</v>
      </c>
      <c r="P688">
        <v>34</v>
      </c>
      <c r="Q688" t="str">
        <f t="shared" si="43"/>
        <v>Weekend</v>
      </c>
      <c r="R688" t="str">
        <f t="shared" si="40"/>
        <v>Mist/Cloudy</v>
      </c>
      <c r="S688">
        <f t="shared" si="41"/>
        <v>-0.25435329828790432</v>
      </c>
      <c r="T688">
        <f t="shared" si="42"/>
        <v>0.10399668008577614</v>
      </c>
      <c r="U688" s="6">
        <v>0.16</v>
      </c>
      <c r="V688">
        <f t="array" ref="V688">CORREL(IFERROR(VALUE(TRIM(CLEAN($U$2:$U$1001))),0), IFERROR(VALUE(TRIM(CLEAN($P$2:$P$1001))),0))</f>
        <v>0.23135628536430677</v>
      </c>
    </row>
    <row r="689" spans="1:22" x14ac:dyDescent="0.25">
      <c r="A689">
        <v>688</v>
      </c>
      <c r="B689" s="1">
        <v>40574</v>
      </c>
      <c r="C689">
        <v>1</v>
      </c>
      <c r="D689">
        <v>0</v>
      </c>
      <c r="E689">
        <v>1</v>
      </c>
      <c r="F689">
        <v>23</v>
      </c>
      <c r="G689" t="b">
        <v>0</v>
      </c>
      <c r="H689">
        <v>1</v>
      </c>
      <c r="I689">
        <v>2</v>
      </c>
      <c r="J689">
        <v>0.16</v>
      </c>
      <c r="K689">
        <v>0.19700000000000001</v>
      </c>
      <c r="L689">
        <v>0.64</v>
      </c>
      <c r="M689">
        <v>8.9599999999999999E-2</v>
      </c>
      <c r="N689">
        <v>2</v>
      </c>
      <c r="O689">
        <v>15</v>
      </c>
      <c r="P689">
        <v>17</v>
      </c>
      <c r="Q689" t="str">
        <f t="shared" si="43"/>
        <v>Weekday</v>
      </c>
      <c r="R689" t="str">
        <f t="shared" si="40"/>
        <v>Mist/Cloudy</v>
      </c>
      <c r="S689">
        <f t="shared" si="41"/>
        <v>-0.25435329828790432</v>
      </c>
      <c r="T689">
        <f t="shared" si="42"/>
        <v>0.10399668008577614</v>
      </c>
      <c r="U689" s="6">
        <v>0.16</v>
      </c>
      <c r="V689">
        <f t="array" ref="V689">CORREL(IFERROR(VALUE(TRIM(CLEAN($U$2:$U$1001))),0), IFERROR(VALUE(TRIM(CLEAN($P$2:$P$1001))),0))</f>
        <v>0.23135628536430677</v>
      </c>
    </row>
    <row r="690" spans="1:22" x14ac:dyDescent="0.25">
      <c r="A690">
        <v>689</v>
      </c>
      <c r="B690" s="1">
        <v>40575</v>
      </c>
      <c r="C690">
        <v>1</v>
      </c>
      <c r="D690">
        <v>0</v>
      </c>
      <c r="E690">
        <v>2</v>
      </c>
      <c r="F690">
        <v>0</v>
      </c>
      <c r="G690" t="b">
        <v>0</v>
      </c>
      <c r="H690">
        <v>2</v>
      </c>
      <c r="I690">
        <v>2</v>
      </c>
      <c r="J690">
        <v>0.16</v>
      </c>
      <c r="K690">
        <v>0.18179999999999999</v>
      </c>
      <c r="L690">
        <v>0.64</v>
      </c>
      <c r="M690">
        <v>0.1045</v>
      </c>
      <c r="N690">
        <v>2</v>
      </c>
      <c r="O690">
        <v>6</v>
      </c>
      <c r="P690">
        <v>8</v>
      </c>
      <c r="Q690" t="str">
        <f t="shared" si="43"/>
        <v>Weekday</v>
      </c>
      <c r="R690" t="str">
        <f t="shared" si="40"/>
        <v>Mist/Cloudy</v>
      </c>
      <c r="S690">
        <f t="shared" si="41"/>
        <v>-0.25435329828790432</v>
      </c>
      <c r="T690">
        <f t="shared" si="42"/>
        <v>0.10399668008577614</v>
      </c>
      <c r="U690" s="6">
        <v>0.16</v>
      </c>
      <c r="V690">
        <f t="array" ref="V690">CORREL(IFERROR(VALUE(TRIM(CLEAN($U$2:$U$1001))),0), IFERROR(VALUE(TRIM(CLEAN($P$2:$P$1001))),0))</f>
        <v>0.23135628536430677</v>
      </c>
    </row>
    <row r="691" spans="1:22" x14ac:dyDescent="0.25">
      <c r="A691">
        <v>690</v>
      </c>
      <c r="B691" s="1">
        <v>40575</v>
      </c>
      <c r="C691">
        <v>1</v>
      </c>
      <c r="D691">
        <v>0</v>
      </c>
      <c r="E691">
        <v>2</v>
      </c>
      <c r="F691">
        <v>1</v>
      </c>
      <c r="G691" t="b">
        <v>0</v>
      </c>
      <c r="H691">
        <v>2</v>
      </c>
      <c r="I691">
        <v>2</v>
      </c>
      <c r="J691">
        <v>0.16</v>
      </c>
      <c r="K691">
        <v>0.18179999999999999</v>
      </c>
      <c r="L691">
        <v>0.69</v>
      </c>
      <c r="M691">
        <v>0.1045</v>
      </c>
      <c r="N691">
        <v>0</v>
      </c>
      <c r="O691">
        <v>3</v>
      </c>
      <c r="P691">
        <v>3</v>
      </c>
      <c r="Q691" t="str">
        <f t="shared" si="43"/>
        <v>Weekday</v>
      </c>
      <c r="R691" t="str">
        <f t="shared" si="40"/>
        <v>Mist/Cloudy</v>
      </c>
      <c r="S691">
        <f t="shared" si="41"/>
        <v>-0.25435329828790432</v>
      </c>
      <c r="T691">
        <f t="shared" si="42"/>
        <v>0.10399668008577614</v>
      </c>
      <c r="U691" s="6">
        <v>0.16</v>
      </c>
      <c r="V691">
        <f t="array" ref="V691">CORREL(IFERROR(VALUE(TRIM(CLEAN($U$2:$U$1001))),0), IFERROR(VALUE(TRIM(CLEAN($P$2:$P$1001))),0))</f>
        <v>0.23135628536430677</v>
      </c>
    </row>
    <row r="692" spans="1:22" x14ac:dyDescent="0.25">
      <c r="A692">
        <v>691</v>
      </c>
      <c r="B692" s="1">
        <v>40575</v>
      </c>
      <c r="C692">
        <v>1</v>
      </c>
      <c r="D692">
        <v>0</v>
      </c>
      <c r="E692">
        <v>2</v>
      </c>
      <c r="F692">
        <v>2</v>
      </c>
      <c r="G692" t="b">
        <v>0</v>
      </c>
      <c r="H692">
        <v>2</v>
      </c>
      <c r="I692">
        <v>2</v>
      </c>
      <c r="J692">
        <v>0.16</v>
      </c>
      <c r="K692">
        <v>0.2273</v>
      </c>
      <c r="L692">
        <v>0.69</v>
      </c>
      <c r="M692">
        <v>0</v>
      </c>
      <c r="N692">
        <v>0</v>
      </c>
      <c r="O692">
        <v>2</v>
      </c>
      <c r="P692">
        <v>2</v>
      </c>
      <c r="Q692" t="str">
        <f t="shared" si="43"/>
        <v>Weekday</v>
      </c>
      <c r="R692" t="str">
        <f t="shared" si="40"/>
        <v>Mist/Cloudy</v>
      </c>
      <c r="S692">
        <f t="shared" si="41"/>
        <v>-0.25435329828790432</v>
      </c>
      <c r="T692">
        <f t="shared" si="42"/>
        <v>0.10399668008577614</v>
      </c>
      <c r="U692" s="6">
        <v>0.16</v>
      </c>
      <c r="V692">
        <f t="array" ref="V692">CORREL(IFERROR(VALUE(TRIM(CLEAN($U$2:$U$1001))),0), IFERROR(VALUE(TRIM(CLEAN($P$2:$P$1001))),0))</f>
        <v>0.23135628536430677</v>
      </c>
    </row>
    <row r="693" spans="1:22" x14ac:dyDescent="0.25">
      <c r="A693">
        <v>692</v>
      </c>
      <c r="B693" s="1">
        <v>40575</v>
      </c>
      <c r="C693">
        <v>1</v>
      </c>
      <c r="D693">
        <v>0</v>
      </c>
      <c r="E693">
        <v>2</v>
      </c>
      <c r="F693">
        <v>3</v>
      </c>
      <c r="G693" t="b">
        <v>0</v>
      </c>
      <c r="H693">
        <v>2</v>
      </c>
      <c r="I693">
        <v>2</v>
      </c>
      <c r="J693">
        <v>0.16</v>
      </c>
      <c r="K693">
        <v>0.2273</v>
      </c>
      <c r="L693">
        <v>0.69</v>
      </c>
      <c r="M693">
        <v>0</v>
      </c>
      <c r="N693">
        <v>0</v>
      </c>
      <c r="O693">
        <v>2</v>
      </c>
      <c r="P693">
        <v>2</v>
      </c>
      <c r="Q693" t="str">
        <f t="shared" si="43"/>
        <v>Weekday</v>
      </c>
      <c r="R693" t="str">
        <f t="shared" si="40"/>
        <v>Mist/Cloudy</v>
      </c>
      <c r="S693">
        <f t="shared" si="41"/>
        <v>-0.25435329828790432</v>
      </c>
      <c r="T693">
        <f t="shared" si="42"/>
        <v>0.10399668008577614</v>
      </c>
      <c r="U693" s="6">
        <v>0.16</v>
      </c>
      <c r="V693">
        <f t="array" ref="V693">CORREL(IFERROR(VALUE(TRIM(CLEAN($U$2:$U$1001))),0), IFERROR(VALUE(TRIM(CLEAN($P$2:$P$1001))),0))</f>
        <v>0.23135628536430677</v>
      </c>
    </row>
    <row r="694" spans="1:22" x14ac:dyDescent="0.25">
      <c r="A694">
        <v>693</v>
      </c>
      <c r="B694" s="1">
        <v>40575</v>
      </c>
      <c r="C694">
        <v>1</v>
      </c>
      <c r="D694">
        <v>0</v>
      </c>
      <c r="E694">
        <v>2</v>
      </c>
      <c r="F694">
        <v>5</v>
      </c>
      <c r="G694" t="b">
        <v>0</v>
      </c>
      <c r="H694">
        <v>2</v>
      </c>
      <c r="I694">
        <v>3</v>
      </c>
      <c r="J694">
        <v>0.14000000000000001</v>
      </c>
      <c r="K694">
        <v>0.21210000000000001</v>
      </c>
      <c r="L694">
        <v>0.93</v>
      </c>
      <c r="M694">
        <v>0</v>
      </c>
      <c r="N694">
        <v>0</v>
      </c>
      <c r="O694">
        <v>3</v>
      </c>
      <c r="P694">
        <v>3</v>
      </c>
      <c r="Q694" t="str">
        <f t="shared" si="43"/>
        <v>Weekend</v>
      </c>
      <c r="R694" t="str">
        <f t="shared" si="40"/>
        <v>Light Snow/Rain</v>
      </c>
      <c r="S694">
        <f t="shared" si="41"/>
        <v>-0.25435329828790432</v>
      </c>
      <c r="T694">
        <f t="shared" si="42"/>
        <v>0.10399668008577614</v>
      </c>
      <c r="U694" s="6">
        <v>0.14000000000000001</v>
      </c>
      <c r="V694">
        <f t="array" ref="V694">CORREL(IFERROR(VALUE(TRIM(CLEAN($U$2:$U$1001))),0), IFERROR(VALUE(TRIM(CLEAN($P$2:$P$1001))),0))</f>
        <v>0.23135628536430677</v>
      </c>
    </row>
    <row r="695" spans="1:22" x14ac:dyDescent="0.25">
      <c r="A695">
        <v>694</v>
      </c>
      <c r="B695" s="1">
        <v>40575</v>
      </c>
      <c r="C695">
        <v>1</v>
      </c>
      <c r="D695">
        <v>0</v>
      </c>
      <c r="E695">
        <v>2</v>
      </c>
      <c r="F695">
        <v>6</v>
      </c>
      <c r="G695" t="b">
        <v>0</v>
      </c>
      <c r="H695">
        <v>2</v>
      </c>
      <c r="I695">
        <v>3</v>
      </c>
      <c r="J695">
        <v>0.14000000000000001</v>
      </c>
      <c r="K695">
        <v>0.21210000000000001</v>
      </c>
      <c r="L695">
        <v>0.93</v>
      </c>
      <c r="M695">
        <v>0</v>
      </c>
      <c r="N695">
        <v>0</v>
      </c>
      <c r="O695">
        <v>22</v>
      </c>
      <c r="P695">
        <v>22</v>
      </c>
      <c r="Q695" t="str">
        <f t="shared" si="43"/>
        <v>Weekend</v>
      </c>
      <c r="R695" t="str">
        <f t="shared" si="40"/>
        <v>Light Snow/Rain</v>
      </c>
      <c r="S695">
        <f t="shared" si="41"/>
        <v>-0.25435329828790432</v>
      </c>
      <c r="T695">
        <f t="shared" si="42"/>
        <v>0.10399668008577614</v>
      </c>
      <c r="U695" s="6">
        <v>0.14000000000000001</v>
      </c>
      <c r="V695">
        <f t="array" ref="V695">CORREL(IFERROR(VALUE(TRIM(CLEAN($U$2:$U$1001))),0), IFERROR(VALUE(TRIM(CLEAN($P$2:$P$1001))),0))</f>
        <v>0.23135628536430677</v>
      </c>
    </row>
    <row r="696" spans="1:22" x14ac:dyDescent="0.25">
      <c r="A696">
        <v>695</v>
      </c>
      <c r="B696" s="1">
        <v>40575</v>
      </c>
      <c r="C696">
        <v>1</v>
      </c>
      <c r="D696">
        <v>0</v>
      </c>
      <c r="E696">
        <v>2</v>
      </c>
      <c r="F696">
        <v>7</v>
      </c>
      <c r="G696" t="b">
        <v>0</v>
      </c>
      <c r="H696">
        <v>2</v>
      </c>
      <c r="I696">
        <v>3</v>
      </c>
      <c r="J696">
        <v>0.16</v>
      </c>
      <c r="K696">
        <v>0.2273</v>
      </c>
      <c r="L696">
        <v>0.93</v>
      </c>
      <c r="M696">
        <v>0</v>
      </c>
      <c r="N696">
        <v>0</v>
      </c>
      <c r="O696">
        <v>52</v>
      </c>
      <c r="P696">
        <v>52</v>
      </c>
      <c r="Q696" t="str">
        <f t="shared" si="43"/>
        <v>Weekday</v>
      </c>
      <c r="R696" t="str">
        <f t="shared" si="40"/>
        <v>Light Snow/Rain</v>
      </c>
      <c r="S696">
        <f t="shared" si="41"/>
        <v>-0.25435329828790432</v>
      </c>
      <c r="T696">
        <f t="shared" si="42"/>
        <v>0.10399668008577614</v>
      </c>
      <c r="U696" s="6">
        <v>0.16</v>
      </c>
      <c r="V696">
        <f t="array" ref="V696">CORREL(IFERROR(VALUE(TRIM(CLEAN($U$2:$U$1001))),0), IFERROR(VALUE(TRIM(CLEAN($P$2:$P$1001))),0))</f>
        <v>0.23135628536430677</v>
      </c>
    </row>
    <row r="697" spans="1:22" x14ac:dyDescent="0.25">
      <c r="A697">
        <v>696</v>
      </c>
      <c r="B697" s="1">
        <v>40575</v>
      </c>
      <c r="C697">
        <v>1</v>
      </c>
      <c r="D697">
        <v>0</v>
      </c>
      <c r="E697">
        <v>2</v>
      </c>
      <c r="F697">
        <v>8</v>
      </c>
      <c r="G697" t="b">
        <v>0</v>
      </c>
      <c r="H697">
        <v>2</v>
      </c>
      <c r="I697">
        <v>3</v>
      </c>
      <c r="J697">
        <v>0.16</v>
      </c>
      <c r="K697">
        <v>0.2273</v>
      </c>
      <c r="L697">
        <v>0.93</v>
      </c>
      <c r="M697">
        <v>0</v>
      </c>
      <c r="N697">
        <v>3</v>
      </c>
      <c r="O697">
        <v>132</v>
      </c>
      <c r="P697">
        <v>135</v>
      </c>
      <c r="Q697" t="str">
        <f t="shared" si="43"/>
        <v>Weekday</v>
      </c>
      <c r="R697" t="str">
        <f t="shared" si="40"/>
        <v>Light Snow/Rain</v>
      </c>
      <c r="S697">
        <f t="shared" si="41"/>
        <v>-0.25435329828790432</v>
      </c>
      <c r="T697">
        <f t="shared" si="42"/>
        <v>0.10399668008577614</v>
      </c>
      <c r="U697" s="6">
        <v>0.16</v>
      </c>
      <c r="V697">
        <f t="array" ref="V697">CORREL(IFERROR(VALUE(TRIM(CLEAN($U$2:$U$1001))),0), IFERROR(VALUE(TRIM(CLEAN($P$2:$P$1001))),0))</f>
        <v>0.23135628536430677</v>
      </c>
    </row>
    <row r="698" spans="1:22" x14ac:dyDescent="0.25">
      <c r="A698">
        <v>697</v>
      </c>
      <c r="B698" s="1">
        <v>40575</v>
      </c>
      <c r="C698">
        <v>1</v>
      </c>
      <c r="D698">
        <v>0</v>
      </c>
      <c r="E698">
        <v>2</v>
      </c>
      <c r="F698">
        <v>9</v>
      </c>
      <c r="G698" t="b">
        <v>0</v>
      </c>
      <c r="H698">
        <v>2</v>
      </c>
      <c r="I698">
        <v>2</v>
      </c>
      <c r="J698">
        <v>0.16</v>
      </c>
      <c r="K698">
        <v>0.2273</v>
      </c>
      <c r="L698">
        <v>0.93</v>
      </c>
      <c r="M698">
        <v>0</v>
      </c>
      <c r="N698">
        <v>2</v>
      </c>
      <c r="O698">
        <v>114</v>
      </c>
      <c r="P698">
        <v>116</v>
      </c>
      <c r="Q698" t="str">
        <f t="shared" si="43"/>
        <v>Weekday</v>
      </c>
      <c r="R698" t="str">
        <f t="shared" si="40"/>
        <v>Mist/Cloudy</v>
      </c>
      <c r="S698">
        <f t="shared" si="41"/>
        <v>-0.25435329828790432</v>
      </c>
      <c r="T698">
        <f t="shared" si="42"/>
        <v>0.10399668008577614</v>
      </c>
      <c r="U698" s="6">
        <v>0.16</v>
      </c>
      <c r="V698">
        <f t="array" ref="V698">CORREL(IFERROR(VALUE(TRIM(CLEAN($U$2:$U$1001))),0), IFERROR(VALUE(TRIM(CLEAN($P$2:$P$1001))),0))</f>
        <v>0.23135628536430677</v>
      </c>
    </row>
    <row r="699" spans="1:22" x14ac:dyDescent="0.25">
      <c r="A699">
        <v>698</v>
      </c>
      <c r="B699" s="1">
        <v>40575</v>
      </c>
      <c r="C699">
        <v>1</v>
      </c>
      <c r="D699">
        <v>0</v>
      </c>
      <c r="E699">
        <v>2</v>
      </c>
      <c r="F699">
        <v>10</v>
      </c>
      <c r="G699" t="b">
        <v>0</v>
      </c>
      <c r="H699">
        <v>2</v>
      </c>
      <c r="I699">
        <v>2</v>
      </c>
      <c r="J699">
        <v>0.16</v>
      </c>
      <c r="K699">
        <v>0.2273</v>
      </c>
      <c r="L699">
        <v>0.93</v>
      </c>
      <c r="M699">
        <v>0</v>
      </c>
      <c r="N699">
        <v>0</v>
      </c>
      <c r="O699">
        <v>47</v>
      </c>
      <c r="P699">
        <v>47</v>
      </c>
      <c r="Q699" t="str">
        <f t="shared" si="43"/>
        <v>Weekday</v>
      </c>
      <c r="R699" t="str">
        <f t="shared" si="40"/>
        <v>Mist/Cloudy</v>
      </c>
      <c r="S699">
        <f t="shared" si="41"/>
        <v>-0.25435329828790432</v>
      </c>
      <c r="T699">
        <f t="shared" si="42"/>
        <v>0.10399668008577614</v>
      </c>
      <c r="U699" s="6">
        <v>0.16</v>
      </c>
      <c r="V699">
        <f t="array" ref="V699">CORREL(IFERROR(VALUE(TRIM(CLEAN($U$2:$U$1001))),0), IFERROR(VALUE(TRIM(CLEAN($P$2:$P$1001))),0))</f>
        <v>0.23135628536430677</v>
      </c>
    </row>
    <row r="700" spans="1:22" x14ac:dyDescent="0.25">
      <c r="A700">
        <v>699</v>
      </c>
      <c r="B700" s="1">
        <v>40575</v>
      </c>
      <c r="C700">
        <v>1</v>
      </c>
      <c r="D700">
        <v>0</v>
      </c>
      <c r="E700">
        <v>2</v>
      </c>
      <c r="F700">
        <v>11</v>
      </c>
      <c r="G700" t="b">
        <v>0</v>
      </c>
      <c r="H700">
        <v>2</v>
      </c>
      <c r="I700">
        <v>2</v>
      </c>
      <c r="J700">
        <v>0.18</v>
      </c>
      <c r="K700">
        <v>0.2424</v>
      </c>
      <c r="L700">
        <v>0.86</v>
      </c>
      <c r="M700">
        <v>0</v>
      </c>
      <c r="N700">
        <v>2</v>
      </c>
      <c r="O700">
        <v>49</v>
      </c>
      <c r="P700">
        <v>51</v>
      </c>
      <c r="Q700" t="str">
        <f t="shared" si="43"/>
        <v>Weekday</v>
      </c>
      <c r="R700" t="str">
        <f t="shared" si="40"/>
        <v>Mist/Cloudy</v>
      </c>
      <c r="S700">
        <f t="shared" si="41"/>
        <v>-0.25435329828790432</v>
      </c>
      <c r="T700">
        <f t="shared" si="42"/>
        <v>0.10399668008577614</v>
      </c>
      <c r="U700" s="6">
        <v>0.18</v>
      </c>
      <c r="V700">
        <f t="array" ref="V700">CORREL(IFERROR(VALUE(TRIM(CLEAN($U$2:$U$1001))),0), IFERROR(VALUE(TRIM(CLEAN($P$2:$P$1001))),0))</f>
        <v>0.23135628536430677</v>
      </c>
    </row>
    <row r="701" spans="1:22" x14ac:dyDescent="0.25">
      <c r="A701">
        <v>700</v>
      </c>
      <c r="B701" s="1">
        <v>40575</v>
      </c>
      <c r="C701">
        <v>1</v>
      </c>
      <c r="D701">
        <v>0</v>
      </c>
      <c r="E701">
        <v>2</v>
      </c>
      <c r="F701">
        <v>12</v>
      </c>
      <c r="G701" t="b">
        <v>0</v>
      </c>
      <c r="H701">
        <v>2</v>
      </c>
      <c r="I701">
        <v>2</v>
      </c>
      <c r="J701">
        <v>0.2</v>
      </c>
      <c r="K701">
        <v>0.2576</v>
      </c>
      <c r="L701">
        <v>0.86</v>
      </c>
      <c r="M701">
        <v>0</v>
      </c>
      <c r="N701">
        <v>2</v>
      </c>
      <c r="O701">
        <v>53</v>
      </c>
      <c r="P701">
        <v>55</v>
      </c>
      <c r="Q701" t="str">
        <f t="shared" si="43"/>
        <v>Weekend</v>
      </c>
      <c r="R701" t="str">
        <f t="shared" si="40"/>
        <v>Mist/Cloudy</v>
      </c>
      <c r="S701">
        <f t="shared" si="41"/>
        <v>-0.25435329828790432</v>
      </c>
      <c r="T701">
        <f t="shared" si="42"/>
        <v>0.10399668008577614</v>
      </c>
      <c r="U701" s="6">
        <v>0.2</v>
      </c>
      <c r="V701">
        <f t="array" ref="V701">CORREL(IFERROR(VALUE(TRIM(CLEAN($U$2:$U$1001))),0), IFERROR(VALUE(TRIM(CLEAN($P$2:$P$1001))),0))</f>
        <v>0.23135628536430677</v>
      </c>
    </row>
    <row r="702" spans="1:22" x14ac:dyDescent="0.25">
      <c r="A702">
        <v>701</v>
      </c>
      <c r="B702" s="1">
        <v>40575</v>
      </c>
      <c r="C702">
        <v>1</v>
      </c>
      <c r="D702">
        <v>0</v>
      </c>
      <c r="E702">
        <v>2</v>
      </c>
      <c r="F702">
        <v>13</v>
      </c>
      <c r="G702" t="b">
        <v>0</v>
      </c>
      <c r="H702">
        <v>2</v>
      </c>
      <c r="I702">
        <v>2</v>
      </c>
      <c r="J702">
        <v>0.2</v>
      </c>
      <c r="K702">
        <v>0.2576</v>
      </c>
      <c r="L702">
        <v>0.86</v>
      </c>
      <c r="M702">
        <v>0</v>
      </c>
      <c r="N702">
        <v>3</v>
      </c>
      <c r="O702">
        <v>49</v>
      </c>
      <c r="P702">
        <v>52</v>
      </c>
      <c r="Q702" t="str">
        <f t="shared" si="43"/>
        <v>Weekend</v>
      </c>
      <c r="R702" t="str">
        <f t="shared" si="40"/>
        <v>Mist/Cloudy</v>
      </c>
      <c r="S702">
        <f t="shared" si="41"/>
        <v>-0.25435329828790432</v>
      </c>
      <c r="T702">
        <f t="shared" si="42"/>
        <v>0.10399668008577614</v>
      </c>
      <c r="U702" s="6">
        <v>0.2</v>
      </c>
      <c r="V702">
        <f t="array" ref="V702">CORREL(IFERROR(VALUE(TRIM(CLEAN($U$2:$U$1001))),0), IFERROR(VALUE(TRIM(CLEAN($P$2:$P$1001))),0))</f>
        <v>0.23135628536430677</v>
      </c>
    </row>
    <row r="703" spans="1:22" x14ac:dyDescent="0.25">
      <c r="A703">
        <v>702</v>
      </c>
      <c r="B703" s="1">
        <v>40575</v>
      </c>
      <c r="C703">
        <v>1</v>
      </c>
      <c r="D703">
        <v>0</v>
      </c>
      <c r="E703">
        <v>2</v>
      </c>
      <c r="F703">
        <v>14</v>
      </c>
      <c r="G703" t="b">
        <v>0</v>
      </c>
      <c r="H703">
        <v>2</v>
      </c>
      <c r="I703">
        <v>2</v>
      </c>
      <c r="J703">
        <v>0.22</v>
      </c>
      <c r="K703">
        <v>0.2576</v>
      </c>
      <c r="L703">
        <v>0.8</v>
      </c>
      <c r="M703">
        <v>8.9599999999999999E-2</v>
      </c>
      <c r="N703">
        <v>5</v>
      </c>
      <c r="O703">
        <v>49</v>
      </c>
      <c r="P703">
        <v>54</v>
      </c>
      <c r="Q703" t="str">
        <f t="shared" si="43"/>
        <v>Weekday</v>
      </c>
      <c r="R703" t="str">
        <f t="shared" si="40"/>
        <v>Mist/Cloudy</v>
      </c>
      <c r="S703">
        <f t="shared" si="41"/>
        <v>-0.25435329828790432</v>
      </c>
      <c r="T703">
        <f t="shared" si="42"/>
        <v>0.10399668008577614</v>
      </c>
      <c r="U703" s="6">
        <v>0.22</v>
      </c>
      <c r="V703">
        <f t="array" ref="V703">CORREL(IFERROR(VALUE(TRIM(CLEAN($U$2:$U$1001))),0), IFERROR(VALUE(TRIM(CLEAN($P$2:$P$1001))),0))</f>
        <v>0.23135628536430677</v>
      </c>
    </row>
    <row r="704" spans="1:22" x14ac:dyDescent="0.25">
      <c r="A704">
        <v>703</v>
      </c>
      <c r="B704" s="1">
        <v>40575</v>
      </c>
      <c r="C704">
        <v>1</v>
      </c>
      <c r="D704">
        <v>0</v>
      </c>
      <c r="E704">
        <v>2</v>
      </c>
      <c r="F704">
        <v>15</v>
      </c>
      <c r="G704" t="b">
        <v>0</v>
      </c>
      <c r="H704">
        <v>2</v>
      </c>
      <c r="I704">
        <v>2</v>
      </c>
      <c r="J704">
        <v>0.24</v>
      </c>
      <c r="K704">
        <v>0.28789999999999999</v>
      </c>
      <c r="L704">
        <v>0.75</v>
      </c>
      <c r="M704">
        <v>0</v>
      </c>
      <c r="N704">
        <v>7</v>
      </c>
      <c r="O704">
        <v>45</v>
      </c>
      <c r="P704">
        <v>52</v>
      </c>
      <c r="Q704" t="str">
        <f t="shared" si="43"/>
        <v>Weekday</v>
      </c>
      <c r="R704" t="str">
        <f t="shared" si="40"/>
        <v>Mist/Cloudy</v>
      </c>
      <c r="S704">
        <f t="shared" si="41"/>
        <v>-0.25435329828790432</v>
      </c>
      <c r="T704">
        <f t="shared" si="42"/>
        <v>0.10399668008577614</v>
      </c>
      <c r="U704" s="6">
        <v>0.24</v>
      </c>
      <c r="V704">
        <f t="array" ref="V704">CORREL(IFERROR(VALUE(TRIM(CLEAN($U$2:$U$1001))),0), IFERROR(VALUE(TRIM(CLEAN($P$2:$P$1001))),0))</f>
        <v>0.23135628536430677</v>
      </c>
    </row>
    <row r="705" spans="1:22" x14ac:dyDescent="0.25">
      <c r="A705">
        <v>704</v>
      </c>
      <c r="B705" s="1">
        <v>40575</v>
      </c>
      <c r="C705">
        <v>1</v>
      </c>
      <c r="D705">
        <v>0</v>
      </c>
      <c r="E705">
        <v>2</v>
      </c>
      <c r="F705">
        <v>16</v>
      </c>
      <c r="G705" t="b">
        <v>0</v>
      </c>
      <c r="H705">
        <v>2</v>
      </c>
      <c r="I705">
        <v>2</v>
      </c>
      <c r="J705">
        <v>0.24</v>
      </c>
      <c r="K705">
        <v>0.2424</v>
      </c>
      <c r="L705">
        <v>0.75</v>
      </c>
      <c r="M705">
        <v>0.1343</v>
      </c>
      <c r="N705">
        <v>3</v>
      </c>
      <c r="O705">
        <v>61</v>
      </c>
      <c r="P705">
        <v>64</v>
      </c>
      <c r="Q705" t="str">
        <f t="shared" si="43"/>
        <v>Weekday</v>
      </c>
      <c r="R705" t="str">
        <f t="shared" si="40"/>
        <v>Mist/Cloudy</v>
      </c>
      <c r="S705">
        <f t="shared" si="41"/>
        <v>-0.25435329828790432</v>
      </c>
      <c r="T705">
        <f t="shared" si="42"/>
        <v>0.10399668008577614</v>
      </c>
      <c r="U705" s="6">
        <v>0.24</v>
      </c>
      <c r="V705">
        <f t="array" ref="V705">CORREL(IFERROR(VALUE(TRIM(CLEAN($U$2:$U$1001))),0), IFERROR(VALUE(TRIM(CLEAN($P$2:$P$1001))),0))</f>
        <v>0.23135628536430677</v>
      </c>
    </row>
    <row r="706" spans="1:22" x14ac:dyDescent="0.25">
      <c r="A706">
        <v>705</v>
      </c>
      <c r="B706" s="1">
        <v>40575</v>
      </c>
      <c r="C706">
        <v>1</v>
      </c>
      <c r="D706">
        <v>0</v>
      </c>
      <c r="E706">
        <v>2</v>
      </c>
      <c r="F706">
        <v>17</v>
      </c>
      <c r="G706" t="b">
        <v>0</v>
      </c>
      <c r="H706">
        <v>2</v>
      </c>
      <c r="I706">
        <v>2</v>
      </c>
      <c r="J706">
        <v>0.24</v>
      </c>
      <c r="K706">
        <v>0.28789999999999999</v>
      </c>
      <c r="L706">
        <v>0.75</v>
      </c>
      <c r="M706">
        <v>0</v>
      </c>
      <c r="N706">
        <v>4</v>
      </c>
      <c r="O706">
        <v>172</v>
      </c>
      <c r="P706">
        <v>176</v>
      </c>
      <c r="Q706" t="str">
        <f t="shared" si="43"/>
        <v>Weekday</v>
      </c>
      <c r="R706" t="str">
        <f t="shared" ref="R706:R769" si="44">IF(I706=1, "Clear", IF(I706=2, "Mist/Cloudy", IF(I706=3, "Light Snow/Rain", "Heavy Rain")))</f>
        <v>Mist/Cloudy</v>
      </c>
      <c r="S706">
        <f t="shared" ref="S706:S769" si="45">CORREL($L$2:$L$1001, $P$2:$P$1001)</f>
        <v>-0.25435329828790432</v>
      </c>
      <c r="T706">
        <f t="shared" ref="T706:T769" si="46">CORREL($M$2:$M$1001, $P$2:$P$1001)</f>
        <v>0.10399668008577614</v>
      </c>
      <c r="U706" s="6">
        <v>0.24</v>
      </c>
      <c r="V706">
        <f t="array" ref="V706">CORREL(IFERROR(VALUE(TRIM(CLEAN($U$2:$U$1001))),0), IFERROR(VALUE(TRIM(CLEAN($P$2:$P$1001))),0))</f>
        <v>0.23135628536430677</v>
      </c>
    </row>
    <row r="707" spans="1:22" x14ac:dyDescent="0.25">
      <c r="A707">
        <v>706</v>
      </c>
      <c r="B707" s="1">
        <v>40575</v>
      </c>
      <c r="C707">
        <v>1</v>
      </c>
      <c r="D707">
        <v>0</v>
      </c>
      <c r="E707">
        <v>2</v>
      </c>
      <c r="F707">
        <v>18</v>
      </c>
      <c r="G707" t="b">
        <v>0</v>
      </c>
      <c r="H707">
        <v>2</v>
      </c>
      <c r="I707">
        <v>2</v>
      </c>
      <c r="J707">
        <v>0.24</v>
      </c>
      <c r="K707">
        <v>0.2576</v>
      </c>
      <c r="L707">
        <v>0.81</v>
      </c>
      <c r="M707">
        <v>0.1045</v>
      </c>
      <c r="N707">
        <v>3</v>
      </c>
      <c r="O707">
        <v>165</v>
      </c>
      <c r="P707">
        <v>168</v>
      </c>
      <c r="Q707" t="str">
        <f t="shared" ref="Q707:Q770" si="47">IF(WEEKDAY(A707,2)&gt;5,"Weekend","Weekday")</f>
        <v>Weekday</v>
      </c>
      <c r="R707" t="str">
        <f t="shared" si="44"/>
        <v>Mist/Cloudy</v>
      </c>
      <c r="S707">
        <f t="shared" si="45"/>
        <v>-0.25435329828790432</v>
      </c>
      <c r="T707">
        <f t="shared" si="46"/>
        <v>0.10399668008577614</v>
      </c>
      <c r="U707" s="6">
        <v>0.24</v>
      </c>
      <c r="V707">
        <f t="array" ref="V707">CORREL(IFERROR(VALUE(TRIM(CLEAN($U$2:$U$1001))),0), IFERROR(VALUE(TRIM(CLEAN($P$2:$P$1001))),0))</f>
        <v>0.23135628536430677</v>
      </c>
    </row>
    <row r="708" spans="1:22" x14ac:dyDescent="0.25">
      <c r="A708">
        <v>707</v>
      </c>
      <c r="B708" s="1">
        <v>40575</v>
      </c>
      <c r="C708">
        <v>1</v>
      </c>
      <c r="D708">
        <v>0</v>
      </c>
      <c r="E708">
        <v>2</v>
      </c>
      <c r="F708">
        <v>19</v>
      </c>
      <c r="G708" t="b">
        <v>0</v>
      </c>
      <c r="H708">
        <v>2</v>
      </c>
      <c r="I708">
        <v>2</v>
      </c>
      <c r="J708">
        <v>0.24</v>
      </c>
      <c r="K708">
        <v>0.2424</v>
      </c>
      <c r="L708">
        <v>0.81</v>
      </c>
      <c r="M708">
        <v>0.1343</v>
      </c>
      <c r="N708">
        <v>3</v>
      </c>
      <c r="O708">
        <v>105</v>
      </c>
      <c r="P708">
        <v>108</v>
      </c>
      <c r="Q708" t="str">
        <f t="shared" si="47"/>
        <v>Weekend</v>
      </c>
      <c r="R708" t="str">
        <f t="shared" si="44"/>
        <v>Mist/Cloudy</v>
      </c>
      <c r="S708">
        <f t="shared" si="45"/>
        <v>-0.25435329828790432</v>
      </c>
      <c r="T708">
        <f t="shared" si="46"/>
        <v>0.10399668008577614</v>
      </c>
      <c r="U708" s="6">
        <v>0.24</v>
      </c>
      <c r="V708">
        <f t="array" ref="V708">CORREL(IFERROR(VALUE(TRIM(CLEAN($U$2:$U$1001))),0), IFERROR(VALUE(TRIM(CLEAN($P$2:$P$1001))),0))</f>
        <v>0.23135628536430677</v>
      </c>
    </row>
    <row r="709" spans="1:22" x14ac:dyDescent="0.25">
      <c r="A709">
        <v>708</v>
      </c>
      <c r="B709" s="1">
        <v>40575</v>
      </c>
      <c r="C709">
        <v>1</v>
      </c>
      <c r="D709">
        <v>0</v>
      </c>
      <c r="E709">
        <v>2</v>
      </c>
      <c r="F709">
        <v>20</v>
      </c>
      <c r="G709" t="b">
        <v>0</v>
      </c>
      <c r="H709">
        <v>2</v>
      </c>
      <c r="I709">
        <v>2</v>
      </c>
      <c r="J709">
        <v>0.22</v>
      </c>
      <c r="K709">
        <v>0.2273</v>
      </c>
      <c r="L709">
        <v>0.87</v>
      </c>
      <c r="M709">
        <v>0.1343</v>
      </c>
      <c r="N709">
        <v>5</v>
      </c>
      <c r="O709">
        <v>69</v>
      </c>
      <c r="P709">
        <v>74</v>
      </c>
      <c r="Q709" t="str">
        <f t="shared" si="47"/>
        <v>Weekend</v>
      </c>
      <c r="R709" t="str">
        <f t="shared" si="44"/>
        <v>Mist/Cloudy</v>
      </c>
      <c r="S709">
        <f t="shared" si="45"/>
        <v>-0.25435329828790432</v>
      </c>
      <c r="T709">
        <f t="shared" si="46"/>
        <v>0.10399668008577614</v>
      </c>
      <c r="U709" s="6">
        <v>0.22</v>
      </c>
      <c r="V709">
        <f t="array" ref="V709">CORREL(IFERROR(VALUE(TRIM(CLEAN($U$2:$U$1001))),0), IFERROR(VALUE(TRIM(CLEAN($P$2:$P$1001))),0))</f>
        <v>0.23135628536430677</v>
      </c>
    </row>
    <row r="710" spans="1:22" x14ac:dyDescent="0.25">
      <c r="A710">
        <v>709</v>
      </c>
      <c r="B710" s="1">
        <v>40575</v>
      </c>
      <c r="C710">
        <v>1</v>
      </c>
      <c r="D710">
        <v>0</v>
      </c>
      <c r="E710">
        <v>2</v>
      </c>
      <c r="F710">
        <v>21</v>
      </c>
      <c r="G710" t="b">
        <v>0</v>
      </c>
      <c r="H710">
        <v>2</v>
      </c>
      <c r="I710">
        <v>2</v>
      </c>
      <c r="J710">
        <v>0.22</v>
      </c>
      <c r="K710">
        <v>0.2273</v>
      </c>
      <c r="L710">
        <v>0.87</v>
      </c>
      <c r="M710">
        <v>0.1343</v>
      </c>
      <c r="N710">
        <v>0</v>
      </c>
      <c r="O710">
        <v>64</v>
      </c>
      <c r="P710">
        <v>64</v>
      </c>
      <c r="Q710" t="str">
        <f t="shared" si="47"/>
        <v>Weekday</v>
      </c>
      <c r="R710" t="str">
        <f t="shared" si="44"/>
        <v>Mist/Cloudy</v>
      </c>
      <c r="S710">
        <f t="shared" si="45"/>
        <v>-0.25435329828790432</v>
      </c>
      <c r="T710">
        <f t="shared" si="46"/>
        <v>0.10399668008577614</v>
      </c>
      <c r="U710" s="6">
        <v>0.22</v>
      </c>
      <c r="V710">
        <f t="array" ref="V710">CORREL(IFERROR(VALUE(TRIM(CLEAN($U$2:$U$1001))),0), IFERROR(VALUE(TRIM(CLEAN($P$2:$P$1001))),0))</f>
        <v>0.23135628536430677</v>
      </c>
    </row>
    <row r="711" spans="1:22" x14ac:dyDescent="0.25">
      <c r="A711">
        <v>710</v>
      </c>
      <c r="B711" s="1">
        <v>40575</v>
      </c>
      <c r="C711">
        <v>1</v>
      </c>
      <c r="D711">
        <v>0</v>
      </c>
      <c r="E711">
        <v>2</v>
      </c>
      <c r="F711">
        <v>22</v>
      </c>
      <c r="G711" t="b">
        <v>0</v>
      </c>
      <c r="H711">
        <v>2</v>
      </c>
      <c r="I711">
        <v>2</v>
      </c>
      <c r="J711">
        <v>0.22</v>
      </c>
      <c r="K711">
        <v>0.2576</v>
      </c>
      <c r="L711">
        <v>0.87</v>
      </c>
      <c r="M711">
        <v>8.9599999999999999E-2</v>
      </c>
      <c r="N711">
        <v>2</v>
      </c>
      <c r="O711">
        <v>34</v>
      </c>
      <c r="P711">
        <v>36</v>
      </c>
      <c r="Q711" t="str">
        <f t="shared" si="47"/>
        <v>Weekday</v>
      </c>
      <c r="R711" t="str">
        <f t="shared" si="44"/>
        <v>Mist/Cloudy</v>
      </c>
      <c r="S711">
        <f t="shared" si="45"/>
        <v>-0.25435329828790432</v>
      </c>
      <c r="T711">
        <f t="shared" si="46"/>
        <v>0.10399668008577614</v>
      </c>
      <c r="U711" s="6">
        <v>0.22</v>
      </c>
      <c r="V711">
        <f t="array" ref="V711">CORREL(IFERROR(VALUE(TRIM(CLEAN($U$2:$U$1001))),0), IFERROR(VALUE(TRIM(CLEAN($P$2:$P$1001))),0))</f>
        <v>0.23135628536430677</v>
      </c>
    </row>
    <row r="712" spans="1:22" x14ac:dyDescent="0.25">
      <c r="A712">
        <v>711</v>
      </c>
      <c r="B712" s="1">
        <v>40575</v>
      </c>
      <c r="C712">
        <v>1</v>
      </c>
      <c r="D712">
        <v>0</v>
      </c>
      <c r="E712">
        <v>2</v>
      </c>
      <c r="F712">
        <v>23</v>
      </c>
      <c r="G712" t="b">
        <v>0</v>
      </c>
      <c r="H712">
        <v>2</v>
      </c>
      <c r="I712">
        <v>3</v>
      </c>
      <c r="J712">
        <v>0.2</v>
      </c>
      <c r="K712">
        <v>0.19700000000000001</v>
      </c>
      <c r="L712">
        <v>0.93</v>
      </c>
      <c r="M712">
        <v>0.19400000000000001</v>
      </c>
      <c r="N712">
        <v>1</v>
      </c>
      <c r="O712">
        <v>15</v>
      </c>
      <c r="P712">
        <v>16</v>
      </c>
      <c r="Q712" t="str">
        <f t="shared" si="47"/>
        <v>Weekday</v>
      </c>
      <c r="R712" t="str">
        <f t="shared" si="44"/>
        <v>Light Snow/Rain</v>
      </c>
      <c r="S712">
        <f t="shared" si="45"/>
        <v>-0.25435329828790432</v>
      </c>
      <c r="T712">
        <f t="shared" si="46"/>
        <v>0.10399668008577614</v>
      </c>
      <c r="U712" s="6">
        <v>0.2</v>
      </c>
      <c r="V712">
        <f t="array" ref="V712">CORREL(IFERROR(VALUE(TRIM(CLEAN($U$2:$U$1001))),0), IFERROR(VALUE(TRIM(CLEAN($P$2:$P$1001))),0))</f>
        <v>0.23135628536430677</v>
      </c>
    </row>
    <row r="713" spans="1:22" x14ac:dyDescent="0.25">
      <c r="A713">
        <v>712</v>
      </c>
      <c r="B713" s="1">
        <v>40576</v>
      </c>
      <c r="C713">
        <v>1</v>
      </c>
      <c r="D713">
        <v>0</v>
      </c>
      <c r="E713">
        <v>2</v>
      </c>
      <c r="F713">
        <v>0</v>
      </c>
      <c r="G713" t="b">
        <v>0</v>
      </c>
      <c r="H713">
        <v>3</v>
      </c>
      <c r="I713">
        <v>3</v>
      </c>
      <c r="J713">
        <v>0.22</v>
      </c>
      <c r="K713">
        <v>0.2424</v>
      </c>
      <c r="L713">
        <v>0.93</v>
      </c>
      <c r="M713">
        <v>0.1045</v>
      </c>
      <c r="N713">
        <v>0</v>
      </c>
      <c r="O713">
        <v>2</v>
      </c>
      <c r="P713">
        <v>2</v>
      </c>
      <c r="Q713" t="str">
        <f t="shared" si="47"/>
        <v>Weekday</v>
      </c>
      <c r="R713" t="str">
        <f t="shared" si="44"/>
        <v>Light Snow/Rain</v>
      </c>
      <c r="S713">
        <f t="shared" si="45"/>
        <v>-0.25435329828790432</v>
      </c>
      <c r="T713">
        <f t="shared" si="46"/>
        <v>0.10399668008577614</v>
      </c>
      <c r="U713" s="6">
        <v>0.22</v>
      </c>
      <c r="V713">
        <f t="array" ref="V713">CORREL(IFERROR(VALUE(TRIM(CLEAN($U$2:$U$1001))),0), IFERROR(VALUE(TRIM(CLEAN($P$2:$P$1001))),0))</f>
        <v>0.23135628536430677</v>
      </c>
    </row>
    <row r="714" spans="1:22" x14ac:dyDescent="0.25">
      <c r="A714">
        <v>713</v>
      </c>
      <c r="B714" s="1">
        <v>40576</v>
      </c>
      <c r="C714">
        <v>1</v>
      </c>
      <c r="D714">
        <v>0</v>
      </c>
      <c r="E714">
        <v>2</v>
      </c>
      <c r="F714">
        <v>1</v>
      </c>
      <c r="G714" t="b">
        <v>0</v>
      </c>
      <c r="H714">
        <v>3</v>
      </c>
      <c r="I714">
        <v>3</v>
      </c>
      <c r="J714">
        <v>0.22</v>
      </c>
      <c r="K714">
        <v>0.2273</v>
      </c>
      <c r="L714">
        <v>0.93</v>
      </c>
      <c r="M714">
        <v>0.19400000000000001</v>
      </c>
      <c r="N714">
        <v>0</v>
      </c>
      <c r="O714">
        <v>3</v>
      </c>
      <c r="P714">
        <v>3</v>
      </c>
      <c r="Q714" t="str">
        <f t="shared" si="47"/>
        <v>Weekday</v>
      </c>
      <c r="R714" t="str">
        <f t="shared" si="44"/>
        <v>Light Snow/Rain</v>
      </c>
      <c r="S714">
        <f t="shared" si="45"/>
        <v>-0.25435329828790432</v>
      </c>
      <c r="T714">
        <f t="shared" si="46"/>
        <v>0.10399668008577614</v>
      </c>
      <c r="U714" s="6">
        <v>0.22</v>
      </c>
      <c r="V714">
        <f t="array" ref="V714">CORREL(IFERROR(VALUE(TRIM(CLEAN($U$2:$U$1001))),0), IFERROR(VALUE(TRIM(CLEAN($P$2:$P$1001))),0))</f>
        <v>0.23135628536430677</v>
      </c>
    </row>
    <row r="715" spans="1:22" x14ac:dyDescent="0.25">
      <c r="A715">
        <v>714</v>
      </c>
      <c r="B715" s="1">
        <v>40576</v>
      </c>
      <c r="C715">
        <v>1</v>
      </c>
      <c r="D715">
        <v>0</v>
      </c>
      <c r="E715">
        <v>2</v>
      </c>
      <c r="F715">
        <v>2</v>
      </c>
      <c r="G715" t="b">
        <v>0</v>
      </c>
      <c r="H715">
        <v>3</v>
      </c>
      <c r="I715">
        <v>3</v>
      </c>
      <c r="J715">
        <v>0.22</v>
      </c>
      <c r="K715">
        <v>0.2273</v>
      </c>
      <c r="L715">
        <v>0.93</v>
      </c>
      <c r="M715">
        <v>0.1343</v>
      </c>
      <c r="N715">
        <v>4</v>
      </c>
      <c r="O715">
        <v>0</v>
      </c>
      <c r="P715">
        <v>4</v>
      </c>
      <c r="Q715" t="str">
        <f t="shared" si="47"/>
        <v>Weekend</v>
      </c>
      <c r="R715" t="str">
        <f t="shared" si="44"/>
        <v>Light Snow/Rain</v>
      </c>
      <c r="S715">
        <f t="shared" si="45"/>
        <v>-0.25435329828790432</v>
      </c>
      <c r="T715">
        <f t="shared" si="46"/>
        <v>0.10399668008577614</v>
      </c>
      <c r="U715" s="6">
        <v>0.22</v>
      </c>
      <c r="V715">
        <f t="array" ref="V715">CORREL(IFERROR(VALUE(TRIM(CLEAN($U$2:$U$1001))),0), IFERROR(VALUE(TRIM(CLEAN($P$2:$P$1001))),0))</f>
        <v>0.23135628536430677</v>
      </c>
    </row>
    <row r="716" spans="1:22" x14ac:dyDescent="0.25">
      <c r="A716">
        <v>715</v>
      </c>
      <c r="B716" s="1">
        <v>40576</v>
      </c>
      <c r="C716">
        <v>1</v>
      </c>
      <c r="D716">
        <v>0</v>
      </c>
      <c r="E716">
        <v>2</v>
      </c>
      <c r="F716">
        <v>3</v>
      </c>
      <c r="G716" t="b">
        <v>0</v>
      </c>
      <c r="H716">
        <v>3</v>
      </c>
      <c r="I716">
        <v>3</v>
      </c>
      <c r="J716">
        <v>0.22</v>
      </c>
      <c r="K716">
        <v>0.2273</v>
      </c>
      <c r="L716">
        <v>0.93</v>
      </c>
      <c r="M716">
        <v>0.1343</v>
      </c>
      <c r="N716">
        <v>0</v>
      </c>
      <c r="O716">
        <v>1</v>
      </c>
      <c r="P716">
        <v>1</v>
      </c>
      <c r="Q716" t="str">
        <f t="shared" si="47"/>
        <v>Weekend</v>
      </c>
      <c r="R716" t="str">
        <f t="shared" si="44"/>
        <v>Light Snow/Rain</v>
      </c>
      <c r="S716">
        <f t="shared" si="45"/>
        <v>-0.25435329828790432</v>
      </c>
      <c r="T716">
        <f t="shared" si="46"/>
        <v>0.10399668008577614</v>
      </c>
      <c r="U716" s="6">
        <v>0.22</v>
      </c>
      <c r="V716">
        <f t="array" ref="V716">CORREL(IFERROR(VALUE(TRIM(CLEAN($U$2:$U$1001))),0), IFERROR(VALUE(TRIM(CLEAN($P$2:$P$1001))),0))</f>
        <v>0.23135628536430677</v>
      </c>
    </row>
    <row r="717" spans="1:22" x14ac:dyDescent="0.25">
      <c r="A717">
        <v>716</v>
      </c>
      <c r="B717" s="1">
        <v>40576</v>
      </c>
      <c r="C717">
        <v>1</v>
      </c>
      <c r="D717">
        <v>0</v>
      </c>
      <c r="E717">
        <v>2</v>
      </c>
      <c r="F717">
        <v>4</v>
      </c>
      <c r="G717" t="b">
        <v>0</v>
      </c>
      <c r="H717">
        <v>3</v>
      </c>
      <c r="I717">
        <v>3</v>
      </c>
      <c r="J717">
        <v>0.22</v>
      </c>
      <c r="K717">
        <v>0.21210000000000001</v>
      </c>
      <c r="L717">
        <v>0.93</v>
      </c>
      <c r="M717">
        <v>0.28360000000000002</v>
      </c>
      <c r="N717">
        <v>0</v>
      </c>
      <c r="O717">
        <v>1</v>
      </c>
      <c r="P717">
        <v>1</v>
      </c>
      <c r="Q717" t="str">
        <f t="shared" si="47"/>
        <v>Weekday</v>
      </c>
      <c r="R717" t="str">
        <f t="shared" si="44"/>
        <v>Light Snow/Rain</v>
      </c>
      <c r="S717">
        <f t="shared" si="45"/>
        <v>-0.25435329828790432</v>
      </c>
      <c r="T717">
        <f t="shared" si="46"/>
        <v>0.10399668008577614</v>
      </c>
      <c r="U717" s="6">
        <v>0.22</v>
      </c>
      <c r="V717">
        <f t="array" ref="V717">CORREL(IFERROR(VALUE(TRIM(CLEAN($U$2:$U$1001))),0), IFERROR(VALUE(TRIM(CLEAN($P$2:$P$1001))),0))</f>
        <v>0.23135628536430677</v>
      </c>
    </row>
    <row r="718" spans="1:22" x14ac:dyDescent="0.25">
      <c r="A718">
        <v>717</v>
      </c>
      <c r="B718" s="1">
        <v>40576</v>
      </c>
      <c r="C718">
        <v>1</v>
      </c>
      <c r="D718">
        <v>0</v>
      </c>
      <c r="E718">
        <v>2</v>
      </c>
      <c r="F718">
        <v>5</v>
      </c>
      <c r="G718" t="b">
        <v>0</v>
      </c>
      <c r="H718">
        <v>3</v>
      </c>
      <c r="I718">
        <v>3</v>
      </c>
      <c r="J718">
        <v>0.22</v>
      </c>
      <c r="K718">
        <v>0.2424</v>
      </c>
      <c r="L718">
        <v>0.93</v>
      </c>
      <c r="M718">
        <v>0.1045</v>
      </c>
      <c r="N718">
        <v>0</v>
      </c>
      <c r="O718">
        <v>3</v>
      </c>
      <c r="P718">
        <v>3</v>
      </c>
      <c r="Q718" t="str">
        <f t="shared" si="47"/>
        <v>Weekday</v>
      </c>
      <c r="R718" t="str">
        <f t="shared" si="44"/>
        <v>Light Snow/Rain</v>
      </c>
      <c r="S718">
        <f t="shared" si="45"/>
        <v>-0.25435329828790432</v>
      </c>
      <c r="T718">
        <f t="shared" si="46"/>
        <v>0.10399668008577614</v>
      </c>
      <c r="U718" s="6">
        <v>0.22</v>
      </c>
      <c r="V718">
        <f t="array" ref="V718">CORREL(IFERROR(VALUE(TRIM(CLEAN($U$2:$U$1001))),0), IFERROR(VALUE(TRIM(CLEAN($P$2:$P$1001))),0))</f>
        <v>0.23135628536430677</v>
      </c>
    </row>
    <row r="719" spans="1:22" x14ac:dyDescent="0.25">
      <c r="A719">
        <v>718</v>
      </c>
      <c r="B719" s="1">
        <v>40576</v>
      </c>
      <c r="C719">
        <v>1</v>
      </c>
      <c r="D719">
        <v>0</v>
      </c>
      <c r="E719">
        <v>2</v>
      </c>
      <c r="F719">
        <v>6</v>
      </c>
      <c r="G719" t="b">
        <v>0</v>
      </c>
      <c r="H719">
        <v>3</v>
      </c>
      <c r="I719">
        <v>3</v>
      </c>
      <c r="J719">
        <v>0.22</v>
      </c>
      <c r="K719">
        <v>0.2424</v>
      </c>
      <c r="L719">
        <v>0.93</v>
      </c>
      <c r="M719">
        <v>0.1045</v>
      </c>
      <c r="N719">
        <v>1</v>
      </c>
      <c r="O719">
        <v>17</v>
      </c>
      <c r="P719">
        <v>18</v>
      </c>
      <c r="Q719" t="str">
        <f t="shared" si="47"/>
        <v>Weekday</v>
      </c>
      <c r="R719" t="str">
        <f t="shared" si="44"/>
        <v>Light Snow/Rain</v>
      </c>
      <c r="S719">
        <f t="shared" si="45"/>
        <v>-0.25435329828790432</v>
      </c>
      <c r="T719">
        <f t="shared" si="46"/>
        <v>0.10399668008577614</v>
      </c>
      <c r="U719" s="6">
        <v>0.22</v>
      </c>
      <c r="V719">
        <f t="array" ref="V719">CORREL(IFERROR(VALUE(TRIM(CLEAN($U$2:$U$1001))),0), IFERROR(VALUE(TRIM(CLEAN($P$2:$P$1001))),0))</f>
        <v>0.23135628536430677</v>
      </c>
    </row>
    <row r="720" spans="1:22" x14ac:dyDescent="0.25">
      <c r="A720">
        <v>719</v>
      </c>
      <c r="B720" s="1">
        <v>40576</v>
      </c>
      <c r="C720">
        <v>1</v>
      </c>
      <c r="D720">
        <v>0</v>
      </c>
      <c r="E720">
        <v>2</v>
      </c>
      <c r="F720">
        <v>7</v>
      </c>
      <c r="G720" t="b">
        <v>0</v>
      </c>
      <c r="H720">
        <v>3</v>
      </c>
      <c r="I720">
        <v>3</v>
      </c>
      <c r="J720">
        <v>0.22</v>
      </c>
      <c r="K720">
        <v>0.21210000000000001</v>
      </c>
      <c r="L720">
        <v>0.93</v>
      </c>
      <c r="M720">
        <v>0.22389999999999999</v>
      </c>
      <c r="N720">
        <v>1</v>
      </c>
      <c r="O720">
        <v>48</v>
      </c>
      <c r="P720">
        <v>49</v>
      </c>
      <c r="Q720" t="str">
        <f t="shared" si="47"/>
        <v>Weekday</v>
      </c>
      <c r="R720" t="str">
        <f t="shared" si="44"/>
        <v>Light Snow/Rain</v>
      </c>
      <c r="S720">
        <f t="shared" si="45"/>
        <v>-0.25435329828790432</v>
      </c>
      <c r="T720">
        <f t="shared" si="46"/>
        <v>0.10399668008577614</v>
      </c>
      <c r="U720" s="6">
        <v>0.22</v>
      </c>
      <c r="V720">
        <f t="array" ref="V720">CORREL(IFERROR(VALUE(TRIM(CLEAN($U$2:$U$1001))),0), IFERROR(VALUE(TRIM(CLEAN($P$2:$P$1001))),0))</f>
        <v>0.23135628536430677</v>
      </c>
    </row>
    <row r="721" spans="1:22" x14ac:dyDescent="0.25">
      <c r="A721">
        <v>720</v>
      </c>
      <c r="B721" s="1">
        <v>40576</v>
      </c>
      <c r="C721">
        <v>1</v>
      </c>
      <c r="D721">
        <v>0</v>
      </c>
      <c r="E721">
        <v>2</v>
      </c>
      <c r="F721">
        <v>8</v>
      </c>
      <c r="G721" t="b">
        <v>0</v>
      </c>
      <c r="H721">
        <v>3</v>
      </c>
      <c r="I721">
        <v>3</v>
      </c>
      <c r="J721">
        <v>0.22</v>
      </c>
      <c r="K721">
        <v>0.21210000000000001</v>
      </c>
      <c r="L721">
        <v>0.93</v>
      </c>
      <c r="M721">
        <v>0.22389999999999999</v>
      </c>
      <c r="N721">
        <v>1</v>
      </c>
      <c r="O721">
        <v>154</v>
      </c>
      <c r="P721">
        <v>155</v>
      </c>
      <c r="Q721" t="str">
        <f t="shared" si="47"/>
        <v>Weekday</v>
      </c>
      <c r="R721" t="str">
        <f t="shared" si="44"/>
        <v>Light Snow/Rain</v>
      </c>
      <c r="S721">
        <f t="shared" si="45"/>
        <v>-0.25435329828790432</v>
      </c>
      <c r="T721">
        <f t="shared" si="46"/>
        <v>0.10399668008577614</v>
      </c>
      <c r="U721" s="6">
        <v>0.22</v>
      </c>
      <c r="V721">
        <f t="array" ref="V721">CORREL(IFERROR(VALUE(TRIM(CLEAN($U$2:$U$1001))),0), IFERROR(VALUE(TRIM(CLEAN($P$2:$P$1001))),0))</f>
        <v>0.23135628536430677</v>
      </c>
    </row>
    <row r="722" spans="1:22" x14ac:dyDescent="0.25">
      <c r="A722">
        <v>721</v>
      </c>
      <c r="B722" s="1">
        <v>40576</v>
      </c>
      <c r="C722">
        <v>1</v>
      </c>
      <c r="D722">
        <v>0</v>
      </c>
      <c r="E722">
        <v>2</v>
      </c>
      <c r="F722">
        <v>9</v>
      </c>
      <c r="G722" t="b">
        <v>0</v>
      </c>
      <c r="H722">
        <v>3</v>
      </c>
      <c r="I722">
        <v>2</v>
      </c>
      <c r="J722">
        <v>0.24</v>
      </c>
      <c r="K722">
        <v>0.2576</v>
      </c>
      <c r="L722">
        <v>0.93</v>
      </c>
      <c r="M722">
        <v>8.9599999999999999E-2</v>
      </c>
      <c r="N722">
        <v>4</v>
      </c>
      <c r="O722">
        <v>119</v>
      </c>
      <c r="P722">
        <v>123</v>
      </c>
      <c r="Q722" t="str">
        <f t="shared" si="47"/>
        <v>Weekend</v>
      </c>
      <c r="R722" t="str">
        <f t="shared" si="44"/>
        <v>Mist/Cloudy</v>
      </c>
      <c r="S722">
        <f t="shared" si="45"/>
        <v>-0.25435329828790432</v>
      </c>
      <c r="T722">
        <f t="shared" si="46"/>
        <v>0.10399668008577614</v>
      </c>
      <c r="U722" s="6">
        <v>0.24</v>
      </c>
      <c r="V722">
        <f t="array" ref="V722">CORREL(IFERROR(VALUE(TRIM(CLEAN($U$2:$U$1001))),0), IFERROR(VALUE(TRIM(CLEAN($P$2:$P$1001))),0))</f>
        <v>0.23135628536430677</v>
      </c>
    </row>
    <row r="723" spans="1:22" x14ac:dyDescent="0.25">
      <c r="A723">
        <v>722</v>
      </c>
      <c r="B723" s="1">
        <v>40576</v>
      </c>
      <c r="C723">
        <v>1</v>
      </c>
      <c r="D723">
        <v>0</v>
      </c>
      <c r="E723">
        <v>2</v>
      </c>
      <c r="F723">
        <v>10</v>
      </c>
      <c r="G723" t="b">
        <v>0</v>
      </c>
      <c r="H723">
        <v>3</v>
      </c>
      <c r="I723">
        <v>2</v>
      </c>
      <c r="J723">
        <v>0.22</v>
      </c>
      <c r="K723">
        <v>0.2727</v>
      </c>
      <c r="L723">
        <v>1</v>
      </c>
      <c r="M723">
        <v>0</v>
      </c>
      <c r="N723">
        <v>2</v>
      </c>
      <c r="O723">
        <v>59</v>
      </c>
      <c r="P723">
        <v>61</v>
      </c>
      <c r="Q723" t="str">
        <f t="shared" si="47"/>
        <v>Weekend</v>
      </c>
      <c r="R723" t="str">
        <f t="shared" si="44"/>
        <v>Mist/Cloudy</v>
      </c>
      <c r="S723">
        <f t="shared" si="45"/>
        <v>-0.25435329828790432</v>
      </c>
      <c r="T723">
        <f t="shared" si="46"/>
        <v>0.10399668008577614</v>
      </c>
      <c r="U723" s="6">
        <v>0.22</v>
      </c>
      <c r="V723">
        <f t="array" ref="V723">CORREL(IFERROR(VALUE(TRIM(CLEAN($U$2:$U$1001))),0), IFERROR(VALUE(TRIM(CLEAN($P$2:$P$1001))),0))</f>
        <v>0.23135628536430677</v>
      </c>
    </row>
    <row r="724" spans="1:22" x14ac:dyDescent="0.25">
      <c r="A724">
        <v>723</v>
      </c>
      <c r="B724" s="1">
        <v>40576</v>
      </c>
      <c r="C724">
        <v>1</v>
      </c>
      <c r="D724">
        <v>0</v>
      </c>
      <c r="E724">
        <v>2</v>
      </c>
      <c r="F724">
        <v>11</v>
      </c>
      <c r="G724" t="b">
        <v>0</v>
      </c>
      <c r="H724">
        <v>3</v>
      </c>
      <c r="I724">
        <v>2</v>
      </c>
      <c r="J724">
        <v>0.24</v>
      </c>
      <c r="K724">
        <v>0.2273</v>
      </c>
      <c r="L724">
        <v>0.93</v>
      </c>
      <c r="M724">
        <v>0.19400000000000001</v>
      </c>
      <c r="N724">
        <v>5</v>
      </c>
      <c r="O724">
        <v>47</v>
      </c>
      <c r="P724">
        <v>52</v>
      </c>
      <c r="Q724" t="str">
        <f t="shared" si="47"/>
        <v>Weekday</v>
      </c>
      <c r="R724" t="str">
        <f t="shared" si="44"/>
        <v>Mist/Cloudy</v>
      </c>
      <c r="S724">
        <f t="shared" si="45"/>
        <v>-0.25435329828790432</v>
      </c>
      <c r="T724">
        <f t="shared" si="46"/>
        <v>0.10399668008577614</v>
      </c>
      <c r="U724" s="6">
        <v>0.24</v>
      </c>
      <c r="V724">
        <f t="array" ref="V724">CORREL(IFERROR(VALUE(TRIM(CLEAN($U$2:$U$1001))),0), IFERROR(VALUE(TRIM(CLEAN($P$2:$P$1001))),0))</f>
        <v>0.23135628536430677</v>
      </c>
    </row>
    <row r="725" spans="1:22" x14ac:dyDescent="0.25">
      <c r="A725">
        <v>724</v>
      </c>
      <c r="B725" s="1">
        <v>40576</v>
      </c>
      <c r="C725">
        <v>1</v>
      </c>
      <c r="D725">
        <v>0</v>
      </c>
      <c r="E725">
        <v>2</v>
      </c>
      <c r="F725">
        <v>12</v>
      </c>
      <c r="G725" t="b">
        <v>0</v>
      </c>
      <c r="H725">
        <v>3</v>
      </c>
      <c r="I725">
        <v>2</v>
      </c>
      <c r="J725">
        <v>0.24</v>
      </c>
      <c r="K725">
        <v>0.2273</v>
      </c>
      <c r="L725">
        <v>0.93</v>
      </c>
      <c r="M725">
        <v>0.22389999999999999</v>
      </c>
      <c r="N725">
        <v>3</v>
      </c>
      <c r="O725">
        <v>61</v>
      </c>
      <c r="P725">
        <v>64</v>
      </c>
      <c r="Q725" t="str">
        <f t="shared" si="47"/>
        <v>Weekday</v>
      </c>
      <c r="R725" t="str">
        <f t="shared" si="44"/>
        <v>Mist/Cloudy</v>
      </c>
      <c r="S725">
        <f t="shared" si="45"/>
        <v>-0.25435329828790432</v>
      </c>
      <c r="T725">
        <f t="shared" si="46"/>
        <v>0.10399668008577614</v>
      </c>
      <c r="U725" s="6">
        <v>0.24</v>
      </c>
      <c r="V725">
        <f t="array" ref="V725">CORREL(IFERROR(VALUE(TRIM(CLEAN($U$2:$U$1001))),0), IFERROR(VALUE(TRIM(CLEAN($P$2:$P$1001))),0))</f>
        <v>0.23135628536430677</v>
      </c>
    </row>
    <row r="726" spans="1:22" x14ac:dyDescent="0.25">
      <c r="A726">
        <v>725</v>
      </c>
      <c r="B726" s="1">
        <v>40576</v>
      </c>
      <c r="C726">
        <v>1</v>
      </c>
      <c r="D726">
        <v>0</v>
      </c>
      <c r="E726">
        <v>2</v>
      </c>
      <c r="F726">
        <v>13</v>
      </c>
      <c r="G726" t="b">
        <v>0</v>
      </c>
      <c r="H726">
        <v>3</v>
      </c>
      <c r="I726">
        <v>1</v>
      </c>
      <c r="J726">
        <v>0.34</v>
      </c>
      <c r="K726">
        <v>0.33329999999999999</v>
      </c>
      <c r="L726">
        <v>0.93</v>
      </c>
      <c r="M726">
        <v>0.16420000000000001</v>
      </c>
      <c r="N726">
        <v>1</v>
      </c>
      <c r="O726">
        <v>74</v>
      </c>
      <c r="P726">
        <v>75</v>
      </c>
      <c r="Q726" t="str">
        <f t="shared" si="47"/>
        <v>Weekday</v>
      </c>
      <c r="R726" t="str">
        <f t="shared" si="44"/>
        <v>Clear</v>
      </c>
      <c r="S726">
        <f t="shared" si="45"/>
        <v>-0.25435329828790432</v>
      </c>
      <c r="T726">
        <f t="shared" si="46"/>
        <v>0.10399668008577614</v>
      </c>
      <c r="U726" s="6">
        <v>0.34</v>
      </c>
      <c r="V726">
        <f t="array" ref="V726">CORREL(IFERROR(VALUE(TRIM(CLEAN($U$2:$U$1001))),0), IFERROR(VALUE(TRIM(CLEAN($P$2:$P$1001))),0))</f>
        <v>0.23135628536430677</v>
      </c>
    </row>
    <row r="727" spans="1:22" x14ac:dyDescent="0.25">
      <c r="A727">
        <v>726</v>
      </c>
      <c r="B727" s="1">
        <v>40576</v>
      </c>
      <c r="C727">
        <v>1</v>
      </c>
      <c r="D727">
        <v>0</v>
      </c>
      <c r="E727">
        <v>2</v>
      </c>
      <c r="F727">
        <v>14</v>
      </c>
      <c r="G727" t="b">
        <v>0</v>
      </c>
      <c r="H727">
        <v>3</v>
      </c>
      <c r="I727">
        <v>1</v>
      </c>
      <c r="J727">
        <v>0.38</v>
      </c>
      <c r="K727">
        <v>0.39389999999999997</v>
      </c>
      <c r="L727">
        <v>0.82</v>
      </c>
      <c r="M727">
        <v>0.3881</v>
      </c>
      <c r="N727">
        <v>2</v>
      </c>
      <c r="O727">
        <v>61</v>
      </c>
      <c r="P727">
        <v>63</v>
      </c>
      <c r="Q727" t="str">
        <f t="shared" si="47"/>
        <v>Weekday</v>
      </c>
      <c r="R727" t="str">
        <f t="shared" si="44"/>
        <v>Clear</v>
      </c>
      <c r="S727">
        <f t="shared" si="45"/>
        <v>-0.25435329828790432</v>
      </c>
      <c r="T727">
        <f t="shared" si="46"/>
        <v>0.10399668008577614</v>
      </c>
      <c r="U727" s="6">
        <v>0.38</v>
      </c>
      <c r="V727">
        <f t="array" ref="V727">CORREL(IFERROR(VALUE(TRIM(CLEAN($U$2:$U$1001))),0), IFERROR(VALUE(TRIM(CLEAN($P$2:$P$1001))),0))</f>
        <v>0.23135628536430677</v>
      </c>
    </row>
    <row r="728" spans="1:22" x14ac:dyDescent="0.25">
      <c r="A728">
        <v>727</v>
      </c>
      <c r="B728" s="1">
        <v>40576</v>
      </c>
      <c r="C728">
        <v>1</v>
      </c>
      <c r="D728">
        <v>0</v>
      </c>
      <c r="E728">
        <v>2</v>
      </c>
      <c r="F728">
        <v>15</v>
      </c>
      <c r="G728" t="b">
        <v>0</v>
      </c>
      <c r="H728">
        <v>3</v>
      </c>
      <c r="I728">
        <v>1</v>
      </c>
      <c r="J728">
        <v>0.38</v>
      </c>
      <c r="K728">
        <v>0.39389999999999997</v>
      </c>
      <c r="L728">
        <v>0.76</v>
      </c>
      <c r="M728">
        <v>0.32840000000000003</v>
      </c>
      <c r="N728">
        <v>10</v>
      </c>
      <c r="O728">
        <v>66</v>
      </c>
      <c r="P728">
        <v>76</v>
      </c>
      <c r="Q728" t="str">
        <f t="shared" si="47"/>
        <v>Weekday</v>
      </c>
      <c r="R728" t="str">
        <f t="shared" si="44"/>
        <v>Clear</v>
      </c>
      <c r="S728">
        <f t="shared" si="45"/>
        <v>-0.25435329828790432</v>
      </c>
      <c r="T728">
        <f t="shared" si="46"/>
        <v>0.10399668008577614</v>
      </c>
      <c r="U728" s="6">
        <v>0.38</v>
      </c>
      <c r="V728">
        <f t="array" ref="V728">CORREL(IFERROR(VALUE(TRIM(CLEAN($U$2:$U$1001))),0), IFERROR(VALUE(TRIM(CLEAN($P$2:$P$1001))),0))</f>
        <v>0.23135628536430677</v>
      </c>
    </row>
    <row r="729" spans="1:22" x14ac:dyDescent="0.25">
      <c r="A729">
        <v>728</v>
      </c>
      <c r="B729" s="1">
        <v>40576</v>
      </c>
      <c r="C729">
        <v>1</v>
      </c>
      <c r="D729">
        <v>0</v>
      </c>
      <c r="E729">
        <v>2</v>
      </c>
      <c r="F729">
        <v>16</v>
      </c>
      <c r="G729" t="b">
        <v>0</v>
      </c>
      <c r="H729">
        <v>3</v>
      </c>
      <c r="I729">
        <v>1</v>
      </c>
      <c r="J729">
        <v>0.36</v>
      </c>
      <c r="K729">
        <v>0.33329999999999999</v>
      </c>
      <c r="L729">
        <v>0.71</v>
      </c>
      <c r="M729">
        <v>0.29849999999999999</v>
      </c>
      <c r="N729">
        <v>8</v>
      </c>
      <c r="O729">
        <v>95</v>
      </c>
      <c r="P729">
        <v>103</v>
      </c>
      <c r="Q729" t="str">
        <f t="shared" si="47"/>
        <v>Weekend</v>
      </c>
      <c r="R729" t="str">
        <f t="shared" si="44"/>
        <v>Clear</v>
      </c>
      <c r="S729">
        <f t="shared" si="45"/>
        <v>-0.25435329828790432</v>
      </c>
      <c r="T729">
        <f t="shared" si="46"/>
        <v>0.10399668008577614</v>
      </c>
      <c r="U729" s="6">
        <v>0.36</v>
      </c>
      <c r="V729">
        <f t="array" ref="V729">CORREL(IFERROR(VALUE(TRIM(CLEAN($U$2:$U$1001))),0), IFERROR(VALUE(TRIM(CLEAN($P$2:$P$1001))),0))</f>
        <v>0.23135628536430677</v>
      </c>
    </row>
    <row r="730" spans="1:22" x14ac:dyDescent="0.25">
      <c r="A730">
        <v>729</v>
      </c>
      <c r="B730" s="1">
        <v>40576</v>
      </c>
      <c r="C730">
        <v>1</v>
      </c>
      <c r="D730">
        <v>0</v>
      </c>
      <c r="E730">
        <v>2</v>
      </c>
      <c r="F730">
        <v>17</v>
      </c>
      <c r="G730" t="b">
        <v>0</v>
      </c>
      <c r="H730">
        <v>3</v>
      </c>
      <c r="I730">
        <v>1</v>
      </c>
      <c r="J730">
        <v>0.36</v>
      </c>
      <c r="K730">
        <v>0.31819999999999998</v>
      </c>
      <c r="L730">
        <v>0.53</v>
      </c>
      <c r="M730">
        <v>0.52239999999999998</v>
      </c>
      <c r="N730">
        <v>7</v>
      </c>
      <c r="O730">
        <v>183</v>
      </c>
      <c r="P730">
        <v>190</v>
      </c>
      <c r="Q730" t="str">
        <f t="shared" si="47"/>
        <v>Weekend</v>
      </c>
      <c r="R730" t="str">
        <f t="shared" si="44"/>
        <v>Clear</v>
      </c>
      <c r="S730">
        <f t="shared" si="45"/>
        <v>-0.25435329828790432</v>
      </c>
      <c r="T730">
        <f t="shared" si="46"/>
        <v>0.10399668008577614</v>
      </c>
      <c r="U730" s="6">
        <v>0.36</v>
      </c>
      <c r="V730">
        <f t="array" ref="V730">CORREL(IFERROR(VALUE(TRIM(CLEAN($U$2:$U$1001))),0), IFERROR(VALUE(TRIM(CLEAN($P$2:$P$1001))),0))</f>
        <v>0.23135628536430677</v>
      </c>
    </row>
    <row r="731" spans="1:22" x14ac:dyDescent="0.25">
      <c r="A731">
        <v>730</v>
      </c>
      <c r="B731" s="1">
        <v>40576</v>
      </c>
      <c r="C731">
        <v>1</v>
      </c>
      <c r="D731">
        <v>0</v>
      </c>
      <c r="E731">
        <v>2</v>
      </c>
      <c r="F731">
        <v>18</v>
      </c>
      <c r="G731" t="b">
        <v>0</v>
      </c>
      <c r="H731">
        <v>3</v>
      </c>
      <c r="I731">
        <v>1</v>
      </c>
      <c r="J731">
        <v>0.34</v>
      </c>
      <c r="K731">
        <v>0.28789999999999999</v>
      </c>
      <c r="L731">
        <v>0.42</v>
      </c>
      <c r="M731">
        <v>0.55220000000000002</v>
      </c>
      <c r="N731">
        <v>7</v>
      </c>
      <c r="O731">
        <v>175</v>
      </c>
      <c r="P731">
        <v>182</v>
      </c>
      <c r="Q731" t="str">
        <f t="shared" si="47"/>
        <v>Weekday</v>
      </c>
      <c r="R731" t="str">
        <f t="shared" si="44"/>
        <v>Clear</v>
      </c>
      <c r="S731">
        <f t="shared" si="45"/>
        <v>-0.25435329828790432</v>
      </c>
      <c r="T731">
        <f t="shared" si="46"/>
        <v>0.10399668008577614</v>
      </c>
      <c r="U731" s="6">
        <v>0.34</v>
      </c>
      <c r="V731">
        <f t="array" ref="V731">CORREL(IFERROR(VALUE(TRIM(CLEAN($U$2:$U$1001))),0), IFERROR(VALUE(TRIM(CLEAN($P$2:$P$1001))),0))</f>
        <v>0.23135628536430677</v>
      </c>
    </row>
    <row r="732" spans="1:22" x14ac:dyDescent="0.25">
      <c r="A732">
        <v>731</v>
      </c>
      <c r="B732" s="1">
        <v>40576</v>
      </c>
      <c r="C732">
        <v>1</v>
      </c>
      <c r="D732">
        <v>0</v>
      </c>
      <c r="E732">
        <v>2</v>
      </c>
      <c r="F732">
        <v>19</v>
      </c>
      <c r="G732" t="b">
        <v>0</v>
      </c>
      <c r="H732">
        <v>3</v>
      </c>
      <c r="I732">
        <v>1</v>
      </c>
      <c r="J732">
        <v>0.28000000000000003</v>
      </c>
      <c r="K732">
        <v>0.2424</v>
      </c>
      <c r="L732">
        <v>0.45</v>
      </c>
      <c r="M732">
        <v>0.49249999999999999</v>
      </c>
      <c r="N732">
        <v>3</v>
      </c>
      <c r="O732">
        <v>88</v>
      </c>
      <c r="P732">
        <v>91</v>
      </c>
      <c r="Q732" t="str">
        <f t="shared" si="47"/>
        <v>Weekday</v>
      </c>
      <c r="R732" t="str">
        <f t="shared" si="44"/>
        <v>Clear</v>
      </c>
      <c r="S732">
        <f t="shared" si="45"/>
        <v>-0.25435329828790432</v>
      </c>
      <c r="T732">
        <f t="shared" si="46"/>
        <v>0.10399668008577614</v>
      </c>
      <c r="U732" s="6">
        <v>0.28000000000000003</v>
      </c>
      <c r="V732">
        <f t="array" ref="V732">CORREL(IFERROR(VALUE(TRIM(CLEAN($U$2:$U$1001))),0), IFERROR(VALUE(TRIM(CLEAN($P$2:$P$1001))),0))</f>
        <v>0.23135628536430677</v>
      </c>
    </row>
    <row r="733" spans="1:22" x14ac:dyDescent="0.25">
      <c r="A733">
        <v>732</v>
      </c>
      <c r="B733" s="1">
        <v>40576</v>
      </c>
      <c r="C733">
        <v>1</v>
      </c>
      <c r="D733">
        <v>0</v>
      </c>
      <c r="E733">
        <v>2</v>
      </c>
      <c r="F733">
        <v>20</v>
      </c>
      <c r="G733" t="b">
        <v>0</v>
      </c>
      <c r="H733">
        <v>3</v>
      </c>
      <c r="I733">
        <v>1</v>
      </c>
      <c r="J733">
        <v>0.24</v>
      </c>
      <c r="K733">
        <v>0.19700000000000001</v>
      </c>
      <c r="L733">
        <v>0.48</v>
      </c>
      <c r="M733">
        <v>0.55220000000000002</v>
      </c>
      <c r="N733">
        <v>4</v>
      </c>
      <c r="O733">
        <v>71</v>
      </c>
      <c r="P733">
        <v>75</v>
      </c>
      <c r="Q733" t="str">
        <f t="shared" si="47"/>
        <v>Weekday</v>
      </c>
      <c r="R733" t="str">
        <f t="shared" si="44"/>
        <v>Clear</v>
      </c>
      <c r="S733">
        <f t="shared" si="45"/>
        <v>-0.25435329828790432</v>
      </c>
      <c r="T733">
        <f t="shared" si="46"/>
        <v>0.10399668008577614</v>
      </c>
      <c r="U733" s="6">
        <v>0.24</v>
      </c>
      <c r="V733">
        <f t="array" ref="V733">CORREL(IFERROR(VALUE(TRIM(CLEAN($U$2:$U$1001))),0), IFERROR(VALUE(TRIM(CLEAN($P$2:$P$1001))),0))</f>
        <v>0.23135628536430677</v>
      </c>
    </row>
    <row r="734" spans="1:22" x14ac:dyDescent="0.25">
      <c r="A734">
        <v>733</v>
      </c>
      <c r="B734" s="1">
        <v>40576</v>
      </c>
      <c r="C734">
        <v>1</v>
      </c>
      <c r="D734">
        <v>0</v>
      </c>
      <c r="E734">
        <v>2</v>
      </c>
      <c r="F734">
        <v>21</v>
      </c>
      <c r="G734" t="b">
        <v>0</v>
      </c>
      <c r="H734">
        <v>3</v>
      </c>
      <c r="I734">
        <v>1</v>
      </c>
      <c r="J734">
        <v>0.22</v>
      </c>
      <c r="K734">
        <v>0.19700000000000001</v>
      </c>
      <c r="L734">
        <v>0.47</v>
      </c>
      <c r="M734">
        <v>0.32840000000000003</v>
      </c>
      <c r="N734">
        <v>1</v>
      </c>
      <c r="O734">
        <v>62</v>
      </c>
      <c r="P734">
        <v>63</v>
      </c>
      <c r="Q734" t="str">
        <f t="shared" si="47"/>
        <v>Weekday</v>
      </c>
      <c r="R734" t="str">
        <f t="shared" si="44"/>
        <v>Clear</v>
      </c>
      <c r="S734">
        <f t="shared" si="45"/>
        <v>-0.25435329828790432</v>
      </c>
      <c r="T734">
        <f t="shared" si="46"/>
        <v>0.10399668008577614</v>
      </c>
      <c r="U734" s="6">
        <v>0.22</v>
      </c>
      <c r="V734">
        <f t="array" ref="V734">CORREL(IFERROR(VALUE(TRIM(CLEAN($U$2:$U$1001))),0), IFERROR(VALUE(TRIM(CLEAN($P$2:$P$1001))),0))</f>
        <v>0.23135628536430677</v>
      </c>
    </row>
    <row r="735" spans="1:22" x14ac:dyDescent="0.25">
      <c r="A735">
        <v>734</v>
      </c>
      <c r="B735" s="1">
        <v>40576</v>
      </c>
      <c r="C735">
        <v>1</v>
      </c>
      <c r="D735">
        <v>0</v>
      </c>
      <c r="E735">
        <v>2</v>
      </c>
      <c r="F735">
        <v>22</v>
      </c>
      <c r="G735" t="b">
        <v>0</v>
      </c>
      <c r="H735">
        <v>3</v>
      </c>
      <c r="I735">
        <v>1</v>
      </c>
      <c r="J735">
        <v>0.22</v>
      </c>
      <c r="K735">
        <v>0.21210000000000001</v>
      </c>
      <c r="L735">
        <v>0.44</v>
      </c>
      <c r="M735">
        <v>0.25369999999999998</v>
      </c>
      <c r="N735">
        <v>5</v>
      </c>
      <c r="O735">
        <v>35</v>
      </c>
      <c r="P735">
        <v>40</v>
      </c>
      <c r="Q735" t="str">
        <f t="shared" si="47"/>
        <v>Weekday</v>
      </c>
      <c r="R735" t="str">
        <f t="shared" si="44"/>
        <v>Clear</v>
      </c>
      <c r="S735">
        <f t="shared" si="45"/>
        <v>-0.25435329828790432</v>
      </c>
      <c r="T735">
        <f t="shared" si="46"/>
        <v>0.10399668008577614</v>
      </c>
      <c r="U735" s="6">
        <v>0.22</v>
      </c>
      <c r="V735">
        <f t="array" ref="V735">CORREL(IFERROR(VALUE(TRIM(CLEAN($U$2:$U$1001))),0), IFERROR(VALUE(TRIM(CLEAN($P$2:$P$1001))),0))</f>
        <v>0.23135628536430677</v>
      </c>
    </row>
    <row r="736" spans="1:22" x14ac:dyDescent="0.25">
      <c r="A736">
        <v>735</v>
      </c>
      <c r="B736" s="1">
        <v>40576</v>
      </c>
      <c r="C736">
        <v>1</v>
      </c>
      <c r="D736">
        <v>0</v>
      </c>
      <c r="E736">
        <v>2</v>
      </c>
      <c r="F736">
        <v>23</v>
      </c>
      <c r="G736" t="b">
        <v>0</v>
      </c>
      <c r="H736">
        <v>3</v>
      </c>
      <c r="I736">
        <v>1</v>
      </c>
      <c r="J736">
        <v>0.2</v>
      </c>
      <c r="K736">
        <v>0.16669999999999999</v>
      </c>
      <c r="L736">
        <v>0.44</v>
      </c>
      <c r="M736">
        <v>0.44779999999999998</v>
      </c>
      <c r="N736">
        <v>3</v>
      </c>
      <c r="O736">
        <v>29</v>
      </c>
      <c r="P736">
        <v>32</v>
      </c>
      <c r="Q736" t="str">
        <f t="shared" si="47"/>
        <v>Weekend</v>
      </c>
      <c r="R736" t="str">
        <f t="shared" si="44"/>
        <v>Clear</v>
      </c>
      <c r="S736">
        <f t="shared" si="45"/>
        <v>-0.25435329828790432</v>
      </c>
      <c r="T736">
        <f t="shared" si="46"/>
        <v>0.10399668008577614</v>
      </c>
      <c r="U736" s="6">
        <v>0.2</v>
      </c>
      <c r="V736">
        <f t="array" ref="V736">CORREL(IFERROR(VALUE(TRIM(CLEAN($U$2:$U$1001))),0), IFERROR(VALUE(TRIM(CLEAN($P$2:$P$1001))),0))</f>
        <v>0.23135628536430677</v>
      </c>
    </row>
    <row r="737" spans="1:22" x14ac:dyDescent="0.25">
      <c r="A737">
        <v>736</v>
      </c>
      <c r="B737" s="1">
        <v>40577</v>
      </c>
      <c r="C737">
        <v>1</v>
      </c>
      <c r="D737">
        <v>0</v>
      </c>
      <c r="E737">
        <v>2</v>
      </c>
      <c r="F737">
        <v>0</v>
      </c>
      <c r="G737" t="b">
        <v>0</v>
      </c>
      <c r="H737">
        <v>4</v>
      </c>
      <c r="I737">
        <v>1</v>
      </c>
      <c r="J737">
        <v>0.2</v>
      </c>
      <c r="K737">
        <v>0.16669999999999999</v>
      </c>
      <c r="L737">
        <v>0.4</v>
      </c>
      <c r="M737">
        <v>0.44779999999999998</v>
      </c>
      <c r="N737">
        <v>1</v>
      </c>
      <c r="O737">
        <v>11</v>
      </c>
      <c r="P737">
        <v>12</v>
      </c>
      <c r="Q737" t="str">
        <f t="shared" si="47"/>
        <v>Weekend</v>
      </c>
      <c r="R737" t="str">
        <f t="shared" si="44"/>
        <v>Clear</v>
      </c>
      <c r="S737">
        <f t="shared" si="45"/>
        <v>-0.25435329828790432</v>
      </c>
      <c r="T737">
        <f t="shared" si="46"/>
        <v>0.10399668008577614</v>
      </c>
      <c r="U737" s="6">
        <v>0.2</v>
      </c>
      <c r="V737">
        <f t="array" ref="V737">CORREL(IFERROR(VALUE(TRIM(CLEAN($U$2:$U$1001))),0), IFERROR(VALUE(TRIM(CLEAN($P$2:$P$1001))),0))</f>
        <v>0.23135628536430677</v>
      </c>
    </row>
    <row r="738" spans="1:22" x14ac:dyDescent="0.25">
      <c r="A738">
        <v>737</v>
      </c>
      <c r="B738" s="1">
        <v>40577</v>
      </c>
      <c r="C738">
        <v>1</v>
      </c>
      <c r="D738">
        <v>0</v>
      </c>
      <c r="E738">
        <v>2</v>
      </c>
      <c r="F738">
        <v>1</v>
      </c>
      <c r="G738" t="b">
        <v>0</v>
      </c>
      <c r="H738">
        <v>4</v>
      </c>
      <c r="I738">
        <v>1</v>
      </c>
      <c r="J738">
        <v>0.2</v>
      </c>
      <c r="K738">
        <v>0.1515</v>
      </c>
      <c r="L738">
        <v>0.44</v>
      </c>
      <c r="M738">
        <v>0.52239999999999998</v>
      </c>
      <c r="N738">
        <v>0</v>
      </c>
      <c r="O738">
        <v>5</v>
      </c>
      <c r="P738">
        <v>5</v>
      </c>
      <c r="Q738" t="str">
        <f t="shared" si="47"/>
        <v>Weekday</v>
      </c>
      <c r="R738" t="str">
        <f t="shared" si="44"/>
        <v>Clear</v>
      </c>
      <c r="S738">
        <f t="shared" si="45"/>
        <v>-0.25435329828790432</v>
      </c>
      <c r="T738">
        <f t="shared" si="46"/>
        <v>0.10399668008577614</v>
      </c>
      <c r="U738" s="6">
        <v>0.2</v>
      </c>
      <c r="V738">
        <f t="array" ref="V738">CORREL(IFERROR(VALUE(TRIM(CLEAN($U$2:$U$1001))),0), IFERROR(VALUE(TRIM(CLEAN($P$2:$P$1001))),0))</f>
        <v>0.23135628536430677</v>
      </c>
    </row>
    <row r="739" spans="1:22" x14ac:dyDescent="0.25">
      <c r="A739">
        <v>738</v>
      </c>
      <c r="B739" s="1">
        <v>40577</v>
      </c>
      <c r="C739">
        <v>1</v>
      </c>
      <c r="D739">
        <v>0</v>
      </c>
      <c r="E739">
        <v>2</v>
      </c>
      <c r="F739">
        <v>2</v>
      </c>
      <c r="G739" t="b">
        <v>0</v>
      </c>
      <c r="H739">
        <v>4</v>
      </c>
      <c r="I739">
        <v>1</v>
      </c>
      <c r="J739">
        <v>0.18</v>
      </c>
      <c r="K739">
        <v>0.16669999999999999</v>
      </c>
      <c r="L739">
        <v>0.43</v>
      </c>
      <c r="M739">
        <v>0.25369999999999998</v>
      </c>
      <c r="N739">
        <v>0</v>
      </c>
      <c r="O739">
        <v>2</v>
      </c>
      <c r="P739">
        <v>2</v>
      </c>
      <c r="Q739" t="str">
        <f t="shared" si="47"/>
        <v>Weekday</v>
      </c>
      <c r="R739" t="str">
        <f t="shared" si="44"/>
        <v>Clear</v>
      </c>
      <c r="S739">
        <f t="shared" si="45"/>
        <v>-0.25435329828790432</v>
      </c>
      <c r="T739">
        <f t="shared" si="46"/>
        <v>0.10399668008577614</v>
      </c>
      <c r="U739" s="6">
        <v>0.18</v>
      </c>
      <c r="V739">
        <f t="array" ref="V739">CORREL(IFERROR(VALUE(TRIM(CLEAN($U$2:$U$1001))),0), IFERROR(VALUE(TRIM(CLEAN($P$2:$P$1001))),0))</f>
        <v>0.23135628536430677</v>
      </c>
    </row>
    <row r="740" spans="1:22" x14ac:dyDescent="0.25">
      <c r="A740">
        <v>739</v>
      </c>
      <c r="B740" s="1">
        <v>40577</v>
      </c>
      <c r="C740">
        <v>1</v>
      </c>
      <c r="D740">
        <v>0</v>
      </c>
      <c r="E740">
        <v>2</v>
      </c>
      <c r="F740">
        <v>3</v>
      </c>
      <c r="G740" t="b">
        <v>0</v>
      </c>
      <c r="H740">
        <v>4</v>
      </c>
      <c r="I740">
        <v>1</v>
      </c>
      <c r="J740">
        <v>0.18</v>
      </c>
      <c r="K740">
        <v>0.16669999999999999</v>
      </c>
      <c r="L740">
        <v>0.43</v>
      </c>
      <c r="M740">
        <v>0.25369999999999998</v>
      </c>
      <c r="N740">
        <v>0</v>
      </c>
      <c r="O740">
        <v>1</v>
      </c>
      <c r="P740">
        <v>1</v>
      </c>
      <c r="Q740" t="str">
        <f t="shared" si="47"/>
        <v>Weekday</v>
      </c>
      <c r="R740" t="str">
        <f t="shared" si="44"/>
        <v>Clear</v>
      </c>
      <c r="S740">
        <f t="shared" si="45"/>
        <v>-0.25435329828790432</v>
      </c>
      <c r="T740">
        <f t="shared" si="46"/>
        <v>0.10399668008577614</v>
      </c>
      <c r="U740" s="6">
        <v>0.18</v>
      </c>
      <c r="V740">
        <f t="array" ref="V740">CORREL(IFERROR(VALUE(TRIM(CLEAN($U$2:$U$1001))),0), IFERROR(VALUE(TRIM(CLEAN($P$2:$P$1001))),0))</f>
        <v>0.23135628536430677</v>
      </c>
    </row>
    <row r="741" spans="1:22" x14ac:dyDescent="0.25">
      <c r="A741">
        <v>740</v>
      </c>
      <c r="B741" s="1">
        <v>40577</v>
      </c>
      <c r="C741">
        <v>1</v>
      </c>
      <c r="D741">
        <v>0</v>
      </c>
      <c r="E741">
        <v>2</v>
      </c>
      <c r="F741">
        <v>5</v>
      </c>
      <c r="G741" t="b">
        <v>0</v>
      </c>
      <c r="H741">
        <v>4</v>
      </c>
      <c r="I741">
        <v>1</v>
      </c>
      <c r="J741">
        <v>0.16</v>
      </c>
      <c r="K741">
        <v>0.13639999999999999</v>
      </c>
      <c r="L741">
        <v>0.5</v>
      </c>
      <c r="M741">
        <v>0.29849999999999999</v>
      </c>
      <c r="N741">
        <v>0</v>
      </c>
      <c r="O741">
        <v>2</v>
      </c>
      <c r="P741">
        <v>2</v>
      </c>
      <c r="Q741" t="str">
        <f t="shared" si="47"/>
        <v>Weekday</v>
      </c>
      <c r="R741" t="str">
        <f t="shared" si="44"/>
        <v>Clear</v>
      </c>
      <c r="S741">
        <f t="shared" si="45"/>
        <v>-0.25435329828790432</v>
      </c>
      <c r="T741">
        <f t="shared" si="46"/>
        <v>0.10399668008577614</v>
      </c>
      <c r="U741" s="6">
        <v>0.16</v>
      </c>
      <c r="V741">
        <f t="array" ref="V741">CORREL(IFERROR(VALUE(TRIM(CLEAN($U$2:$U$1001))),0), IFERROR(VALUE(TRIM(CLEAN($P$2:$P$1001))),0))</f>
        <v>0.23135628536430677</v>
      </c>
    </row>
    <row r="742" spans="1:22" x14ac:dyDescent="0.25">
      <c r="A742">
        <v>741</v>
      </c>
      <c r="B742" s="1">
        <v>40577</v>
      </c>
      <c r="C742">
        <v>1</v>
      </c>
      <c r="D742">
        <v>0</v>
      </c>
      <c r="E742">
        <v>2</v>
      </c>
      <c r="F742">
        <v>6</v>
      </c>
      <c r="G742" t="b">
        <v>0</v>
      </c>
      <c r="H742">
        <v>4</v>
      </c>
      <c r="I742">
        <v>1</v>
      </c>
      <c r="J742">
        <v>0.16</v>
      </c>
      <c r="K742">
        <v>0.13639999999999999</v>
      </c>
      <c r="L742">
        <v>0.43</v>
      </c>
      <c r="M742">
        <v>0.35820000000000002</v>
      </c>
      <c r="N742">
        <v>0</v>
      </c>
      <c r="O742">
        <v>39</v>
      </c>
      <c r="P742">
        <v>39</v>
      </c>
      <c r="Q742" t="str">
        <f t="shared" si="47"/>
        <v>Weekday</v>
      </c>
      <c r="R742" t="str">
        <f t="shared" si="44"/>
        <v>Clear</v>
      </c>
      <c r="S742">
        <f t="shared" si="45"/>
        <v>-0.25435329828790432</v>
      </c>
      <c r="T742">
        <f t="shared" si="46"/>
        <v>0.10399668008577614</v>
      </c>
      <c r="U742" s="6">
        <v>0.16</v>
      </c>
      <c r="V742">
        <f t="array" ref="V742">CORREL(IFERROR(VALUE(TRIM(CLEAN($U$2:$U$1001))),0), IFERROR(VALUE(TRIM(CLEAN($P$2:$P$1001))),0))</f>
        <v>0.23135628536430677</v>
      </c>
    </row>
    <row r="743" spans="1:22" x14ac:dyDescent="0.25">
      <c r="A743">
        <v>742</v>
      </c>
      <c r="B743" s="1">
        <v>40577</v>
      </c>
      <c r="C743">
        <v>1</v>
      </c>
      <c r="D743">
        <v>0</v>
      </c>
      <c r="E743">
        <v>2</v>
      </c>
      <c r="F743">
        <v>7</v>
      </c>
      <c r="G743" t="b">
        <v>0</v>
      </c>
      <c r="H743">
        <v>4</v>
      </c>
      <c r="I743">
        <v>1</v>
      </c>
      <c r="J743">
        <v>0.14000000000000001</v>
      </c>
      <c r="K743">
        <v>0.1212</v>
      </c>
      <c r="L743">
        <v>0.5</v>
      </c>
      <c r="M743">
        <v>0.32840000000000003</v>
      </c>
      <c r="N743">
        <v>1</v>
      </c>
      <c r="O743">
        <v>86</v>
      </c>
      <c r="P743">
        <v>87</v>
      </c>
      <c r="Q743" t="str">
        <f t="shared" si="47"/>
        <v>Weekend</v>
      </c>
      <c r="R743" t="str">
        <f t="shared" si="44"/>
        <v>Clear</v>
      </c>
      <c r="S743">
        <f t="shared" si="45"/>
        <v>-0.25435329828790432</v>
      </c>
      <c r="T743">
        <f t="shared" si="46"/>
        <v>0.10399668008577614</v>
      </c>
      <c r="U743" s="6">
        <v>0.14000000000000001</v>
      </c>
      <c r="V743">
        <f t="array" ref="V743">CORREL(IFERROR(VALUE(TRIM(CLEAN($U$2:$U$1001))),0), IFERROR(VALUE(TRIM(CLEAN($P$2:$P$1001))),0))</f>
        <v>0.23135628536430677</v>
      </c>
    </row>
    <row r="744" spans="1:22" x14ac:dyDescent="0.25">
      <c r="A744">
        <v>743</v>
      </c>
      <c r="B744" s="1">
        <v>40577</v>
      </c>
      <c r="C744">
        <v>1</v>
      </c>
      <c r="D744">
        <v>0</v>
      </c>
      <c r="E744">
        <v>2</v>
      </c>
      <c r="F744">
        <v>8</v>
      </c>
      <c r="G744" t="b">
        <v>0</v>
      </c>
      <c r="H744">
        <v>4</v>
      </c>
      <c r="I744">
        <v>1</v>
      </c>
      <c r="J744">
        <v>0.14000000000000001</v>
      </c>
      <c r="K744">
        <v>0.1212</v>
      </c>
      <c r="L744">
        <v>0.5</v>
      </c>
      <c r="M744">
        <v>0.35820000000000002</v>
      </c>
      <c r="N744">
        <v>4</v>
      </c>
      <c r="O744">
        <v>184</v>
      </c>
      <c r="P744">
        <v>188</v>
      </c>
      <c r="Q744" t="str">
        <f t="shared" si="47"/>
        <v>Weekend</v>
      </c>
      <c r="R744" t="str">
        <f t="shared" si="44"/>
        <v>Clear</v>
      </c>
      <c r="S744">
        <f t="shared" si="45"/>
        <v>-0.25435329828790432</v>
      </c>
      <c r="T744">
        <f t="shared" si="46"/>
        <v>0.10399668008577614</v>
      </c>
      <c r="U744" s="6">
        <v>0.14000000000000001</v>
      </c>
      <c r="V744">
        <f t="array" ref="V744">CORREL(IFERROR(VALUE(TRIM(CLEAN($U$2:$U$1001))),0), IFERROR(VALUE(TRIM(CLEAN($P$2:$P$1001))),0))</f>
        <v>0.23135628536430677</v>
      </c>
    </row>
    <row r="745" spans="1:22" x14ac:dyDescent="0.25">
      <c r="A745">
        <v>744</v>
      </c>
      <c r="B745" s="1">
        <v>40577</v>
      </c>
      <c r="C745">
        <v>1</v>
      </c>
      <c r="D745">
        <v>0</v>
      </c>
      <c r="E745">
        <v>2</v>
      </c>
      <c r="F745">
        <v>9</v>
      </c>
      <c r="G745" t="b">
        <v>0</v>
      </c>
      <c r="H745">
        <v>4</v>
      </c>
      <c r="I745">
        <v>1</v>
      </c>
      <c r="J745">
        <v>0.16</v>
      </c>
      <c r="K745">
        <v>0.13639999999999999</v>
      </c>
      <c r="L745">
        <v>0.47</v>
      </c>
      <c r="M745">
        <v>0.29849999999999999</v>
      </c>
      <c r="N745">
        <v>6</v>
      </c>
      <c r="O745">
        <v>127</v>
      </c>
      <c r="P745">
        <v>133</v>
      </c>
      <c r="Q745" t="str">
        <f t="shared" si="47"/>
        <v>Weekday</v>
      </c>
      <c r="R745" t="str">
        <f t="shared" si="44"/>
        <v>Clear</v>
      </c>
      <c r="S745">
        <f t="shared" si="45"/>
        <v>-0.25435329828790432</v>
      </c>
      <c r="T745">
        <f t="shared" si="46"/>
        <v>0.10399668008577614</v>
      </c>
      <c r="U745" s="6">
        <v>0.16</v>
      </c>
      <c r="V745">
        <f t="array" ref="V745">CORREL(IFERROR(VALUE(TRIM(CLEAN($U$2:$U$1001))),0), IFERROR(VALUE(TRIM(CLEAN($P$2:$P$1001))),0))</f>
        <v>0.23135628536430677</v>
      </c>
    </row>
    <row r="746" spans="1:22" x14ac:dyDescent="0.25">
      <c r="A746">
        <v>745</v>
      </c>
      <c r="B746" s="1">
        <v>40577</v>
      </c>
      <c r="C746">
        <v>1</v>
      </c>
      <c r="D746">
        <v>0</v>
      </c>
      <c r="E746">
        <v>2</v>
      </c>
      <c r="F746">
        <v>10</v>
      </c>
      <c r="G746" t="b">
        <v>0</v>
      </c>
      <c r="H746">
        <v>4</v>
      </c>
      <c r="I746">
        <v>1</v>
      </c>
      <c r="J746">
        <v>0.18</v>
      </c>
      <c r="K746">
        <v>0.1515</v>
      </c>
      <c r="L746">
        <v>0.43</v>
      </c>
      <c r="M746">
        <v>0.32840000000000003</v>
      </c>
      <c r="N746">
        <v>2</v>
      </c>
      <c r="O746">
        <v>50</v>
      </c>
      <c r="P746">
        <v>52</v>
      </c>
      <c r="Q746" t="str">
        <f t="shared" si="47"/>
        <v>Weekday</v>
      </c>
      <c r="R746" t="str">
        <f t="shared" si="44"/>
        <v>Clear</v>
      </c>
      <c r="S746">
        <f t="shared" si="45"/>
        <v>-0.25435329828790432</v>
      </c>
      <c r="T746">
        <f t="shared" si="46"/>
        <v>0.10399668008577614</v>
      </c>
      <c r="U746" s="6">
        <v>0.18</v>
      </c>
      <c r="V746">
        <f t="array" ref="V746">CORREL(IFERROR(VALUE(TRIM(CLEAN($U$2:$U$1001))),0), IFERROR(VALUE(TRIM(CLEAN($P$2:$P$1001))),0))</f>
        <v>0.23135628536430677</v>
      </c>
    </row>
    <row r="747" spans="1:22" x14ac:dyDescent="0.25">
      <c r="A747">
        <v>746</v>
      </c>
      <c r="B747" s="1">
        <v>40577</v>
      </c>
      <c r="C747">
        <v>1</v>
      </c>
      <c r="D747">
        <v>0</v>
      </c>
      <c r="E747">
        <v>2</v>
      </c>
      <c r="F747">
        <v>11</v>
      </c>
      <c r="G747" t="b">
        <v>0</v>
      </c>
      <c r="H747">
        <v>4</v>
      </c>
      <c r="I747">
        <v>1</v>
      </c>
      <c r="J747">
        <v>0.18</v>
      </c>
      <c r="K747">
        <v>0.13639999999999999</v>
      </c>
      <c r="L747">
        <v>0.43</v>
      </c>
      <c r="M747">
        <v>0.44779999999999998</v>
      </c>
      <c r="N747">
        <v>9</v>
      </c>
      <c r="O747">
        <v>55</v>
      </c>
      <c r="P747">
        <v>64</v>
      </c>
      <c r="Q747" t="str">
        <f t="shared" si="47"/>
        <v>Weekday</v>
      </c>
      <c r="R747" t="str">
        <f t="shared" si="44"/>
        <v>Clear</v>
      </c>
      <c r="S747">
        <f t="shared" si="45"/>
        <v>-0.25435329828790432</v>
      </c>
      <c r="T747">
        <f t="shared" si="46"/>
        <v>0.10399668008577614</v>
      </c>
      <c r="U747" s="6">
        <v>0.18</v>
      </c>
      <c r="V747">
        <f t="array" ref="V747">CORREL(IFERROR(VALUE(TRIM(CLEAN($U$2:$U$1001))),0), IFERROR(VALUE(TRIM(CLEAN($P$2:$P$1001))),0))</f>
        <v>0.23135628536430677</v>
      </c>
    </row>
    <row r="748" spans="1:22" x14ac:dyDescent="0.25">
      <c r="A748">
        <v>747</v>
      </c>
      <c r="B748" s="1">
        <v>40577</v>
      </c>
      <c r="C748">
        <v>1</v>
      </c>
      <c r="D748">
        <v>0</v>
      </c>
      <c r="E748">
        <v>2</v>
      </c>
      <c r="F748">
        <v>12</v>
      </c>
      <c r="G748" t="b">
        <v>0</v>
      </c>
      <c r="H748">
        <v>4</v>
      </c>
      <c r="I748">
        <v>1</v>
      </c>
      <c r="J748">
        <v>0.2</v>
      </c>
      <c r="K748">
        <v>0.18179999999999999</v>
      </c>
      <c r="L748">
        <v>0.4</v>
      </c>
      <c r="M748">
        <v>0.35820000000000002</v>
      </c>
      <c r="N748">
        <v>2</v>
      </c>
      <c r="O748">
        <v>67</v>
      </c>
      <c r="P748">
        <v>69</v>
      </c>
      <c r="Q748" t="str">
        <f t="shared" si="47"/>
        <v>Weekday</v>
      </c>
      <c r="R748" t="str">
        <f t="shared" si="44"/>
        <v>Clear</v>
      </c>
      <c r="S748">
        <f t="shared" si="45"/>
        <v>-0.25435329828790432</v>
      </c>
      <c r="T748">
        <f t="shared" si="46"/>
        <v>0.10399668008577614</v>
      </c>
      <c r="U748" s="6">
        <v>0.2</v>
      </c>
      <c r="V748">
        <f t="array" ref="V748">CORREL(IFERROR(VALUE(TRIM(CLEAN($U$2:$U$1001))),0), IFERROR(VALUE(TRIM(CLEAN($P$2:$P$1001))),0))</f>
        <v>0.23135628536430677</v>
      </c>
    </row>
    <row r="749" spans="1:22" x14ac:dyDescent="0.25">
      <c r="A749">
        <v>748</v>
      </c>
      <c r="B749" s="1">
        <v>40577</v>
      </c>
      <c r="C749">
        <v>1</v>
      </c>
      <c r="D749">
        <v>0</v>
      </c>
      <c r="E749">
        <v>2</v>
      </c>
      <c r="F749">
        <v>13</v>
      </c>
      <c r="G749" t="b">
        <v>0</v>
      </c>
      <c r="H749">
        <v>4</v>
      </c>
      <c r="I749">
        <v>1</v>
      </c>
      <c r="J749">
        <v>0.2</v>
      </c>
      <c r="K749">
        <v>0.16669999999999999</v>
      </c>
      <c r="L749">
        <v>0.4</v>
      </c>
      <c r="M749">
        <v>0.41789999999999999</v>
      </c>
      <c r="N749">
        <v>4</v>
      </c>
      <c r="O749">
        <v>47</v>
      </c>
      <c r="P749">
        <v>51</v>
      </c>
      <c r="Q749" t="str">
        <f t="shared" si="47"/>
        <v>Weekday</v>
      </c>
      <c r="R749" t="str">
        <f t="shared" si="44"/>
        <v>Clear</v>
      </c>
      <c r="S749">
        <f t="shared" si="45"/>
        <v>-0.25435329828790432</v>
      </c>
      <c r="T749">
        <f t="shared" si="46"/>
        <v>0.10399668008577614</v>
      </c>
      <c r="U749" s="6">
        <v>0.2</v>
      </c>
      <c r="V749">
        <f t="array" ref="V749">CORREL(IFERROR(VALUE(TRIM(CLEAN($U$2:$U$1001))),0), IFERROR(VALUE(TRIM(CLEAN($P$2:$P$1001))),0))</f>
        <v>0.23135628536430677</v>
      </c>
    </row>
    <row r="750" spans="1:22" x14ac:dyDescent="0.25">
      <c r="A750">
        <v>749</v>
      </c>
      <c r="B750" s="1">
        <v>40577</v>
      </c>
      <c r="C750">
        <v>1</v>
      </c>
      <c r="D750">
        <v>0</v>
      </c>
      <c r="E750">
        <v>2</v>
      </c>
      <c r="F750">
        <v>14</v>
      </c>
      <c r="G750" t="b">
        <v>0</v>
      </c>
      <c r="H750">
        <v>4</v>
      </c>
      <c r="I750">
        <v>1</v>
      </c>
      <c r="J750">
        <v>0.22</v>
      </c>
      <c r="K750">
        <v>0.19700000000000001</v>
      </c>
      <c r="L750">
        <v>0.37</v>
      </c>
      <c r="M750">
        <v>0.3881</v>
      </c>
      <c r="N750">
        <v>4</v>
      </c>
      <c r="O750">
        <v>43</v>
      </c>
      <c r="P750">
        <v>47</v>
      </c>
      <c r="Q750" t="str">
        <f t="shared" si="47"/>
        <v>Weekend</v>
      </c>
      <c r="R750" t="str">
        <f t="shared" si="44"/>
        <v>Clear</v>
      </c>
      <c r="S750">
        <f t="shared" si="45"/>
        <v>-0.25435329828790432</v>
      </c>
      <c r="T750">
        <f t="shared" si="46"/>
        <v>0.10399668008577614</v>
      </c>
      <c r="U750" s="6">
        <v>0.22</v>
      </c>
      <c r="V750">
        <f t="array" ref="V750">CORREL(IFERROR(VALUE(TRIM(CLEAN($U$2:$U$1001))),0), IFERROR(VALUE(TRIM(CLEAN($P$2:$P$1001))),0))</f>
        <v>0.23135628536430677</v>
      </c>
    </row>
    <row r="751" spans="1:22" x14ac:dyDescent="0.25">
      <c r="A751">
        <v>750</v>
      </c>
      <c r="B751" s="1">
        <v>40577</v>
      </c>
      <c r="C751">
        <v>1</v>
      </c>
      <c r="D751">
        <v>0</v>
      </c>
      <c r="E751">
        <v>2</v>
      </c>
      <c r="F751">
        <v>15</v>
      </c>
      <c r="G751" t="b">
        <v>0</v>
      </c>
      <c r="H751">
        <v>4</v>
      </c>
      <c r="I751">
        <v>1</v>
      </c>
      <c r="J751">
        <v>0.22</v>
      </c>
      <c r="K751">
        <v>0.19700000000000001</v>
      </c>
      <c r="L751">
        <v>0.37</v>
      </c>
      <c r="M751">
        <v>0.32840000000000003</v>
      </c>
      <c r="N751">
        <v>4</v>
      </c>
      <c r="O751">
        <v>56</v>
      </c>
      <c r="P751">
        <v>60</v>
      </c>
      <c r="Q751" t="str">
        <f t="shared" si="47"/>
        <v>Weekend</v>
      </c>
      <c r="R751" t="str">
        <f t="shared" si="44"/>
        <v>Clear</v>
      </c>
      <c r="S751">
        <f t="shared" si="45"/>
        <v>-0.25435329828790432</v>
      </c>
      <c r="T751">
        <f t="shared" si="46"/>
        <v>0.10399668008577614</v>
      </c>
      <c r="U751" s="6">
        <v>0.22</v>
      </c>
      <c r="V751">
        <f t="array" ref="V751">CORREL(IFERROR(VALUE(TRIM(CLEAN($U$2:$U$1001))),0), IFERROR(VALUE(TRIM(CLEAN($P$2:$P$1001))),0))</f>
        <v>0.23135628536430677</v>
      </c>
    </row>
    <row r="752" spans="1:22" x14ac:dyDescent="0.25">
      <c r="A752">
        <v>751</v>
      </c>
      <c r="B752" s="1">
        <v>40577</v>
      </c>
      <c r="C752">
        <v>1</v>
      </c>
      <c r="D752">
        <v>0</v>
      </c>
      <c r="E752">
        <v>2</v>
      </c>
      <c r="F752">
        <v>16</v>
      </c>
      <c r="G752" t="b">
        <v>0</v>
      </c>
      <c r="H752">
        <v>4</v>
      </c>
      <c r="I752">
        <v>1</v>
      </c>
      <c r="J752">
        <v>0.22</v>
      </c>
      <c r="K752">
        <v>0.21210000000000001</v>
      </c>
      <c r="L752">
        <v>0.37</v>
      </c>
      <c r="M752">
        <v>0.25369999999999998</v>
      </c>
      <c r="N752">
        <v>5</v>
      </c>
      <c r="O752">
        <v>73</v>
      </c>
      <c r="P752">
        <v>78</v>
      </c>
      <c r="Q752" t="str">
        <f t="shared" si="47"/>
        <v>Weekday</v>
      </c>
      <c r="R752" t="str">
        <f t="shared" si="44"/>
        <v>Clear</v>
      </c>
      <c r="S752">
        <f t="shared" si="45"/>
        <v>-0.25435329828790432</v>
      </c>
      <c r="T752">
        <f t="shared" si="46"/>
        <v>0.10399668008577614</v>
      </c>
      <c r="U752" s="6">
        <v>0.22</v>
      </c>
      <c r="V752">
        <f t="array" ref="V752">CORREL(IFERROR(VALUE(TRIM(CLEAN($U$2:$U$1001))),0), IFERROR(VALUE(TRIM(CLEAN($P$2:$P$1001))),0))</f>
        <v>0.23135628536430677</v>
      </c>
    </row>
    <row r="753" spans="1:22" x14ac:dyDescent="0.25">
      <c r="A753">
        <v>752</v>
      </c>
      <c r="B753" s="1">
        <v>40577</v>
      </c>
      <c r="C753">
        <v>1</v>
      </c>
      <c r="D753">
        <v>0</v>
      </c>
      <c r="E753">
        <v>2</v>
      </c>
      <c r="F753">
        <v>17</v>
      </c>
      <c r="G753" t="b">
        <v>0</v>
      </c>
      <c r="H753">
        <v>4</v>
      </c>
      <c r="I753">
        <v>1</v>
      </c>
      <c r="J753">
        <v>0.2</v>
      </c>
      <c r="K753">
        <v>0.19700000000000001</v>
      </c>
      <c r="L753">
        <v>0.4</v>
      </c>
      <c r="M753">
        <v>0.19400000000000001</v>
      </c>
      <c r="N753">
        <v>5</v>
      </c>
      <c r="O753">
        <v>170</v>
      </c>
      <c r="P753">
        <v>175</v>
      </c>
      <c r="Q753" t="str">
        <f t="shared" si="47"/>
        <v>Weekday</v>
      </c>
      <c r="R753" t="str">
        <f t="shared" si="44"/>
        <v>Clear</v>
      </c>
      <c r="S753">
        <f t="shared" si="45"/>
        <v>-0.25435329828790432</v>
      </c>
      <c r="T753">
        <f t="shared" si="46"/>
        <v>0.10399668008577614</v>
      </c>
      <c r="U753" s="6">
        <v>0.2</v>
      </c>
      <c r="V753">
        <f t="array" ref="V753">CORREL(IFERROR(VALUE(TRIM(CLEAN($U$2:$U$1001))),0), IFERROR(VALUE(TRIM(CLEAN($P$2:$P$1001))),0))</f>
        <v>0.23135628536430677</v>
      </c>
    </row>
    <row r="754" spans="1:22" x14ac:dyDescent="0.25">
      <c r="A754">
        <v>753</v>
      </c>
      <c r="B754" s="1">
        <v>40577</v>
      </c>
      <c r="C754">
        <v>1</v>
      </c>
      <c r="D754">
        <v>0</v>
      </c>
      <c r="E754">
        <v>2</v>
      </c>
      <c r="F754">
        <v>18</v>
      </c>
      <c r="G754" t="b">
        <v>0</v>
      </c>
      <c r="H754">
        <v>4</v>
      </c>
      <c r="I754">
        <v>1</v>
      </c>
      <c r="J754">
        <v>0.2</v>
      </c>
      <c r="K754">
        <v>0.21210000000000001</v>
      </c>
      <c r="L754">
        <v>0.4</v>
      </c>
      <c r="M754">
        <v>0.16420000000000001</v>
      </c>
      <c r="N754">
        <v>2</v>
      </c>
      <c r="O754">
        <v>145</v>
      </c>
      <c r="P754">
        <v>147</v>
      </c>
      <c r="Q754" t="str">
        <f t="shared" si="47"/>
        <v>Weekday</v>
      </c>
      <c r="R754" t="str">
        <f t="shared" si="44"/>
        <v>Clear</v>
      </c>
      <c r="S754">
        <f t="shared" si="45"/>
        <v>-0.25435329828790432</v>
      </c>
      <c r="T754">
        <f t="shared" si="46"/>
        <v>0.10399668008577614</v>
      </c>
      <c r="U754" s="6">
        <v>0.2</v>
      </c>
      <c r="V754">
        <f t="array" ref="V754">CORREL(IFERROR(VALUE(TRIM(CLEAN($U$2:$U$1001))),0), IFERROR(VALUE(TRIM(CLEAN($P$2:$P$1001))),0))</f>
        <v>0.23135628536430677</v>
      </c>
    </row>
    <row r="755" spans="1:22" x14ac:dyDescent="0.25">
      <c r="A755">
        <v>754</v>
      </c>
      <c r="B755" s="1">
        <v>40577</v>
      </c>
      <c r="C755">
        <v>1</v>
      </c>
      <c r="D755">
        <v>0</v>
      </c>
      <c r="E755">
        <v>2</v>
      </c>
      <c r="F755">
        <v>19</v>
      </c>
      <c r="G755" t="b">
        <v>0</v>
      </c>
      <c r="H755">
        <v>4</v>
      </c>
      <c r="I755">
        <v>1</v>
      </c>
      <c r="J755">
        <v>0.2</v>
      </c>
      <c r="K755">
        <v>0.2576</v>
      </c>
      <c r="L755">
        <v>0.4</v>
      </c>
      <c r="M755">
        <v>0</v>
      </c>
      <c r="N755">
        <v>4</v>
      </c>
      <c r="O755">
        <v>92</v>
      </c>
      <c r="P755">
        <v>96</v>
      </c>
      <c r="Q755" t="str">
        <f t="shared" si="47"/>
        <v>Weekday</v>
      </c>
      <c r="R755" t="str">
        <f t="shared" si="44"/>
        <v>Clear</v>
      </c>
      <c r="S755">
        <f t="shared" si="45"/>
        <v>-0.25435329828790432</v>
      </c>
      <c r="T755">
        <f t="shared" si="46"/>
        <v>0.10399668008577614</v>
      </c>
      <c r="U755" s="6">
        <v>0.2</v>
      </c>
      <c r="V755">
        <f t="array" ref="V755">CORREL(IFERROR(VALUE(TRIM(CLEAN($U$2:$U$1001))),0), IFERROR(VALUE(TRIM(CLEAN($P$2:$P$1001))),0))</f>
        <v>0.23135628536430677</v>
      </c>
    </row>
    <row r="756" spans="1:22" x14ac:dyDescent="0.25">
      <c r="A756">
        <v>755</v>
      </c>
      <c r="B756" s="1">
        <v>40577</v>
      </c>
      <c r="C756">
        <v>1</v>
      </c>
      <c r="D756">
        <v>0</v>
      </c>
      <c r="E756">
        <v>2</v>
      </c>
      <c r="F756">
        <v>20</v>
      </c>
      <c r="G756" t="b">
        <v>0</v>
      </c>
      <c r="H756">
        <v>4</v>
      </c>
      <c r="I756">
        <v>1</v>
      </c>
      <c r="J756">
        <v>0.2</v>
      </c>
      <c r="K756">
        <v>0.2273</v>
      </c>
      <c r="L756">
        <v>0.47</v>
      </c>
      <c r="M756">
        <v>8.9599999999999999E-2</v>
      </c>
      <c r="N756">
        <v>1</v>
      </c>
      <c r="O756">
        <v>108</v>
      </c>
      <c r="P756">
        <v>109</v>
      </c>
      <c r="Q756" t="str">
        <f t="shared" si="47"/>
        <v>Weekday</v>
      </c>
      <c r="R756" t="str">
        <f t="shared" si="44"/>
        <v>Clear</v>
      </c>
      <c r="S756">
        <f t="shared" si="45"/>
        <v>-0.25435329828790432</v>
      </c>
      <c r="T756">
        <f t="shared" si="46"/>
        <v>0.10399668008577614</v>
      </c>
      <c r="U756" s="6">
        <v>0.2</v>
      </c>
      <c r="V756">
        <f t="array" ref="V756">CORREL(IFERROR(VALUE(TRIM(CLEAN($U$2:$U$1001))),0), IFERROR(VALUE(TRIM(CLEAN($P$2:$P$1001))),0))</f>
        <v>0.23135628536430677</v>
      </c>
    </row>
    <row r="757" spans="1:22" x14ac:dyDescent="0.25">
      <c r="A757">
        <v>756</v>
      </c>
      <c r="B757" s="1">
        <v>40577</v>
      </c>
      <c r="C757">
        <v>1</v>
      </c>
      <c r="D757">
        <v>0</v>
      </c>
      <c r="E757">
        <v>2</v>
      </c>
      <c r="F757">
        <v>21</v>
      </c>
      <c r="G757" t="b">
        <v>0</v>
      </c>
      <c r="H757">
        <v>4</v>
      </c>
      <c r="I757">
        <v>1</v>
      </c>
      <c r="J757">
        <v>0.18</v>
      </c>
      <c r="K757">
        <v>0.21210000000000001</v>
      </c>
      <c r="L757">
        <v>0.55000000000000004</v>
      </c>
      <c r="M757">
        <v>0.1045</v>
      </c>
      <c r="N757">
        <v>1</v>
      </c>
      <c r="O757">
        <v>53</v>
      </c>
      <c r="P757">
        <v>54</v>
      </c>
      <c r="Q757" t="str">
        <f t="shared" si="47"/>
        <v>Weekend</v>
      </c>
      <c r="R757" t="str">
        <f t="shared" si="44"/>
        <v>Clear</v>
      </c>
      <c r="S757">
        <f t="shared" si="45"/>
        <v>-0.25435329828790432</v>
      </c>
      <c r="T757">
        <f t="shared" si="46"/>
        <v>0.10399668008577614</v>
      </c>
      <c r="U757" s="6">
        <v>0.18</v>
      </c>
      <c r="V757">
        <f t="array" ref="V757">CORREL(IFERROR(VALUE(TRIM(CLEAN($U$2:$U$1001))),0), IFERROR(VALUE(TRIM(CLEAN($P$2:$P$1001))),0))</f>
        <v>0.23135628536430677</v>
      </c>
    </row>
    <row r="758" spans="1:22" x14ac:dyDescent="0.25">
      <c r="A758">
        <v>757</v>
      </c>
      <c r="B758" s="1">
        <v>40577</v>
      </c>
      <c r="C758">
        <v>1</v>
      </c>
      <c r="D758">
        <v>0</v>
      </c>
      <c r="E758">
        <v>2</v>
      </c>
      <c r="F758">
        <v>22</v>
      </c>
      <c r="G758" t="b">
        <v>0</v>
      </c>
      <c r="H758">
        <v>4</v>
      </c>
      <c r="I758">
        <v>1</v>
      </c>
      <c r="J758">
        <v>0.18</v>
      </c>
      <c r="K758">
        <v>0.21210000000000001</v>
      </c>
      <c r="L758">
        <v>0.51</v>
      </c>
      <c r="M758">
        <v>8.9599999999999999E-2</v>
      </c>
      <c r="N758">
        <v>2</v>
      </c>
      <c r="O758">
        <v>39</v>
      </c>
      <c r="P758">
        <v>41</v>
      </c>
      <c r="Q758" t="str">
        <f t="shared" si="47"/>
        <v>Weekend</v>
      </c>
      <c r="R758" t="str">
        <f t="shared" si="44"/>
        <v>Clear</v>
      </c>
      <c r="S758">
        <f t="shared" si="45"/>
        <v>-0.25435329828790432</v>
      </c>
      <c r="T758">
        <f t="shared" si="46"/>
        <v>0.10399668008577614</v>
      </c>
      <c r="U758" s="6">
        <v>0.18</v>
      </c>
      <c r="V758">
        <f t="array" ref="V758">CORREL(IFERROR(VALUE(TRIM(CLEAN($U$2:$U$1001))),0), IFERROR(VALUE(TRIM(CLEAN($P$2:$P$1001))),0))</f>
        <v>0.23135628536430677</v>
      </c>
    </row>
    <row r="759" spans="1:22" x14ac:dyDescent="0.25">
      <c r="A759">
        <v>758</v>
      </c>
      <c r="B759" s="1">
        <v>40577</v>
      </c>
      <c r="C759">
        <v>1</v>
      </c>
      <c r="D759">
        <v>0</v>
      </c>
      <c r="E759">
        <v>2</v>
      </c>
      <c r="F759">
        <v>23</v>
      </c>
      <c r="G759" t="b">
        <v>0</v>
      </c>
      <c r="H759">
        <v>4</v>
      </c>
      <c r="I759">
        <v>1</v>
      </c>
      <c r="J759">
        <v>0.2</v>
      </c>
      <c r="K759">
        <v>0.2273</v>
      </c>
      <c r="L759">
        <v>0.47</v>
      </c>
      <c r="M759">
        <v>0.1045</v>
      </c>
      <c r="N759">
        <v>4</v>
      </c>
      <c r="O759">
        <v>34</v>
      </c>
      <c r="P759">
        <v>38</v>
      </c>
      <c r="Q759" t="str">
        <f t="shared" si="47"/>
        <v>Weekday</v>
      </c>
      <c r="R759" t="str">
        <f t="shared" si="44"/>
        <v>Clear</v>
      </c>
      <c r="S759">
        <f t="shared" si="45"/>
        <v>-0.25435329828790432</v>
      </c>
      <c r="T759">
        <f t="shared" si="46"/>
        <v>0.10399668008577614</v>
      </c>
      <c r="U759" s="6">
        <v>0.2</v>
      </c>
      <c r="V759">
        <f t="array" ref="V759">CORREL(IFERROR(VALUE(TRIM(CLEAN($U$2:$U$1001))),0), IFERROR(VALUE(TRIM(CLEAN($P$2:$P$1001))),0))</f>
        <v>0.23135628536430677</v>
      </c>
    </row>
    <row r="760" spans="1:22" x14ac:dyDescent="0.25">
      <c r="A760">
        <v>759</v>
      </c>
      <c r="B760" s="1">
        <v>40578</v>
      </c>
      <c r="C760">
        <v>1</v>
      </c>
      <c r="D760">
        <v>0</v>
      </c>
      <c r="E760">
        <v>2</v>
      </c>
      <c r="F760">
        <v>0</v>
      </c>
      <c r="G760" t="b">
        <v>0</v>
      </c>
      <c r="H760">
        <v>5</v>
      </c>
      <c r="I760">
        <v>2</v>
      </c>
      <c r="J760">
        <v>0.2</v>
      </c>
      <c r="K760">
        <v>0.2576</v>
      </c>
      <c r="L760">
        <v>0.44</v>
      </c>
      <c r="M760">
        <v>0</v>
      </c>
      <c r="N760">
        <v>3</v>
      </c>
      <c r="O760">
        <v>10</v>
      </c>
      <c r="P760">
        <v>13</v>
      </c>
      <c r="Q760" t="str">
        <f t="shared" si="47"/>
        <v>Weekday</v>
      </c>
      <c r="R760" t="str">
        <f t="shared" si="44"/>
        <v>Mist/Cloudy</v>
      </c>
      <c r="S760">
        <f t="shared" si="45"/>
        <v>-0.25435329828790432</v>
      </c>
      <c r="T760">
        <f t="shared" si="46"/>
        <v>0.10399668008577614</v>
      </c>
      <c r="U760" s="6">
        <v>0.2</v>
      </c>
      <c r="V760">
        <f t="array" ref="V760">CORREL(IFERROR(VALUE(TRIM(CLEAN($U$2:$U$1001))),0), IFERROR(VALUE(TRIM(CLEAN($P$2:$P$1001))),0))</f>
        <v>0.23135628536430677</v>
      </c>
    </row>
    <row r="761" spans="1:22" x14ac:dyDescent="0.25">
      <c r="A761">
        <v>760</v>
      </c>
      <c r="B761" s="1">
        <v>40578</v>
      </c>
      <c r="C761">
        <v>1</v>
      </c>
      <c r="D761">
        <v>0</v>
      </c>
      <c r="E761">
        <v>2</v>
      </c>
      <c r="F761">
        <v>1</v>
      </c>
      <c r="G761" t="b">
        <v>0</v>
      </c>
      <c r="H761">
        <v>5</v>
      </c>
      <c r="I761">
        <v>2</v>
      </c>
      <c r="J761">
        <v>0.16</v>
      </c>
      <c r="K761">
        <v>0.2273</v>
      </c>
      <c r="L761">
        <v>0.59</v>
      </c>
      <c r="M761">
        <v>0</v>
      </c>
      <c r="N761">
        <v>0</v>
      </c>
      <c r="O761">
        <v>7</v>
      </c>
      <c r="P761">
        <v>7</v>
      </c>
      <c r="Q761" t="str">
        <f t="shared" si="47"/>
        <v>Weekday</v>
      </c>
      <c r="R761" t="str">
        <f t="shared" si="44"/>
        <v>Mist/Cloudy</v>
      </c>
      <c r="S761">
        <f t="shared" si="45"/>
        <v>-0.25435329828790432</v>
      </c>
      <c r="T761">
        <f t="shared" si="46"/>
        <v>0.10399668008577614</v>
      </c>
      <c r="U761" s="6">
        <v>0.16</v>
      </c>
      <c r="V761">
        <f t="array" ref="V761">CORREL(IFERROR(VALUE(TRIM(CLEAN($U$2:$U$1001))),0), IFERROR(VALUE(TRIM(CLEAN($P$2:$P$1001))),0))</f>
        <v>0.23135628536430677</v>
      </c>
    </row>
    <row r="762" spans="1:22" x14ac:dyDescent="0.25">
      <c r="A762">
        <v>761</v>
      </c>
      <c r="B762" s="1">
        <v>40578</v>
      </c>
      <c r="C762">
        <v>1</v>
      </c>
      <c r="D762">
        <v>0</v>
      </c>
      <c r="E762">
        <v>2</v>
      </c>
      <c r="F762">
        <v>2</v>
      </c>
      <c r="G762" t="b">
        <v>0</v>
      </c>
      <c r="H762">
        <v>5</v>
      </c>
      <c r="I762">
        <v>2</v>
      </c>
      <c r="J762">
        <v>0.14000000000000001</v>
      </c>
      <c r="K762">
        <v>0.16669999999999999</v>
      </c>
      <c r="L762">
        <v>0.63</v>
      </c>
      <c r="M762">
        <v>0.1045</v>
      </c>
      <c r="N762">
        <v>0</v>
      </c>
      <c r="O762">
        <v>1</v>
      </c>
      <c r="P762">
        <v>1</v>
      </c>
      <c r="Q762" t="str">
        <f t="shared" si="47"/>
        <v>Weekday</v>
      </c>
      <c r="R762" t="str">
        <f t="shared" si="44"/>
        <v>Mist/Cloudy</v>
      </c>
      <c r="S762">
        <f t="shared" si="45"/>
        <v>-0.25435329828790432</v>
      </c>
      <c r="T762">
        <f t="shared" si="46"/>
        <v>0.10399668008577614</v>
      </c>
      <c r="U762" s="6">
        <v>0.14000000000000001</v>
      </c>
      <c r="V762">
        <f t="array" ref="V762">CORREL(IFERROR(VALUE(TRIM(CLEAN($U$2:$U$1001))),0), IFERROR(VALUE(TRIM(CLEAN($P$2:$P$1001))),0))</f>
        <v>0.23135628536430677</v>
      </c>
    </row>
    <row r="763" spans="1:22" x14ac:dyDescent="0.25">
      <c r="A763">
        <v>762</v>
      </c>
      <c r="B763" s="1">
        <v>40578</v>
      </c>
      <c r="C763">
        <v>1</v>
      </c>
      <c r="D763">
        <v>0</v>
      </c>
      <c r="E763">
        <v>2</v>
      </c>
      <c r="F763">
        <v>3</v>
      </c>
      <c r="G763" t="b">
        <v>0</v>
      </c>
      <c r="H763">
        <v>5</v>
      </c>
      <c r="I763">
        <v>2</v>
      </c>
      <c r="J763">
        <v>0.14000000000000001</v>
      </c>
      <c r="K763">
        <v>0.16669999999999999</v>
      </c>
      <c r="L763">
        <v>0.63</v>
      </c>
      <c r="M763">
        <v>0.1045</v>
      </c>
      <c r="N763">
        <v>0</v>
      </c>
      <c r="O763">
        <v>1</v>
      </c>
      <c r="P763">
        <v>1</v>
      </c>
      <c r="Q763" t="str">
        <f t="shared" si="47"/>
        <v>Weekday</v>
      </c>
      <c r="R763" t="str">
        <f t="shared" si="44"/>
        <v>Mist/Cloudy</v>
      </c>
      <c r="S763">
        <f t="shared" si="45"/>
        <v>-0.25435329828790432</v>
      </c>
      <c r="T763">
        <f t="shared" si="46"/>
        <v>0.10399668008577614</v>
      </c>
      <c r="U763" s="6">
        <v>0.14000000000000001</v>
      </c>
      <c r="V763">
        <f t="array" ref="V763">CORREL(IFERROR(VALUE(TRIM(CLEAN($U$2:$U$1001))),0), IFERROR(VALUE(TRIM(CLEAN($P$2:$P$1001))),0))</f>
        <v>0.23135628536430677</v>
      </c>
    </row>
    <row r="764" spans="1:22" x14ac:dyDescent="0.25">
      <c r="A764">
        <v>763</v>
      </c>
      <c r="B764" s="1">
        <v>40578</v>
      </c>
      <c r="C764">
        <v>1</v>
      </c>
      <c r="D764">
        <v>0</v>
      </c>
      <c r="E764">
        <v>2</v>
      </c>
      <c r="F764">
        <v>5</v>
      </c>
      <c r="G764" t="b">
        <v>0</v>
      </c>
      <c r="H764">
        <v>5</v>
      </c>
      <c r="I764">
        <v>2</v>
      </c>
      <c r="J764">
        <v>0.14000000000000001</v>
      </c>
      <c r="K764">
        <v>0.1515</v>
      </c>
      <c r="L764">
        <v>0.63</v>
      </c>
      <c r="M764">
        <v>0.1343</v>
      </c>
      <c r="N764">
        <v>0</v>
      </c>
      <c r="O764">
        <v>7</v>
      </c>
      <c r="P764">
        <v>7</v>
      </c>
      <c r="Q764" t="str">
        <f t="shared" si="47"/>
        <v>Weekend</v>
      </c>
      <c r="R764" t="str">
        <f t="shared" si="44"/>
        <v>Mist/Cloudy</v>
      </c>
      <c r="S764">
        <f t="shared" si="45"/>
        <v>-0.25435329828790432</v>
      </c>
      <c r="T764">
        <f t="shared" si="46"/>
        <v>0.10399668008577614</v>
      </c>
      <c r="U764" s="6">
        <v>0.14000000000000001</v>
      </c>
      <c r="V764">
        <f t="array" ref="V764">CORREL(IFERROR(VALUE(TRIM(CLEAN($U$2:$U$1001))),0), IFERROR(VALUE(TRIM(CLEAN($P$2:$P$1001))),0))</f>
        <v>0.23135628536430677</v>
      </c>
    </row>
    <row r="765" spans="1:22" x14ac:dyDescent="0.25">
      <c r="A765">
        <v>764</v>
      </c>
      <c r="B765" s="1">
        <v>40578</v>
      </c>
      <c r="C765">
        <v>1</v>
      </c>
      <c r="D765">
        <v>0</v>
      </c>
      <c r="E765">
        <v>2</v>
      </c>
      <c r="F765">
        <v>6</v>
      </c>
      <c r="G765" t="b">
        <v>0</v>
      </c>
      <c r="H765">
        <v>5</v>
      </c>
      <c r="I765">
        <v>2</v>
      </c>
      <c r="J765">
        <v>0.16</v>
      </c>
      <c r="K765">
        <v>0.2273</v>
      </c>
      <c r="L765">
        <v>0.55000000000000004</v>
      </c>
      <c r="M765">
        <v>0</v>
      </c>
      <c r="N765">
        <v>2</v>
      </c>
      <c r="O765">
        <v>26</v>
      </c>
      <c r="P765">
        <v>28</v>
      </c>
      <c r="Q765" t="str">
        <f t="shared" si="47"/>
        <v>Weekend</v>
      </c>
      <c r="R765" t="str">
        <f t="shared" si="44"/>
        <v>Mist/Cloudy</v>
      </c>
      <c r="S765">
        <f t="shared" si="45"/>
        <v>-0.25435329828790432</v>
      </c>
      <c r="T765">
        <f t="shared" si="46"/>
        <v>0.10399668008577614</v>
      </c>
      <c r="U765" s="6">
        <v>0.16</v>
      </c>
      <c r="V765">
        <f t="array" ref="V765">CORREL(IFERROR(VALUE(TRIM(CLEAN($U$2:$U$1001))),0), IFERROR(VALUE(TRIM(CLEAN($P$2:$P$1001))),0))</f>
        <v>0.23135628536430677</v>
      </c>
    </row>
    <row r="766" spans="1:22" x14ac:dyDescent="0.25">
      <c r="A766">
        <v>765</v>
      </c>
      <c r="B766" s="1">
        <v>40578</v>
      </c>
      <c r="C766">
        <v>1</v>
      </c>
      <c r="D766">
        <v>0</v>
      </c>
      <c r="E766">
        <v>2</v>
      </c>
      <c r="F766">
        <v>7</v>
      </c>
      <c r="G766" t="b">
        <v>0</v>
      </c>
      <c r="H766">
        <v>5</v>
      </c>
      <c r="I766">
        <v>1</v>
      </c>
      <c r="J766">
        <v>0.14000000000000001</v>
      </c>
      <c r="K766">
        <v>0.21210000000000001</v>
      </c>
      <c r="L766">
        <v>0.59</v>
      </c>
      <c r="M766">
        <v>0</v>
      </c>
      <c r="N766">
        <v>0</v>
      </c>
      <c r="O766">
        <v>87</v>
      </c>
      <c r="P766">
        <v>87</v>
      </c>
      <c r="Q766" t="str">
        <f t="shared" si="47"/>
        <v>Weekday</v>
      </c>
      <c r="R766" t="str">
        <f t="shared" si="44"/>
        <v>Clear</v>
      </c>
      <c r="S766">
        <f t="shared" si="45"/>
        <v>-0.25435329828790432</v>
      </c>
      <c r="T766">
        <f t="shared" si="46"/>
        <v>0.10399668008577614</v>
      </c>
      <c r="U766" s="6">
        <v>0.14000000000000001</v>
      </c>
      <c r="V766">
        <f t="array" ref="V766">CORREL(IFERROR(VALUE(TRIM(CLEAN($U$2:$U$1001))),0), IFERROR(VALUE(TRIM(CLEAN($P$2:$P$1001))),0))</f>
        <v>0.23135628536430677</v>
      </c>
    </row>
    <row r="767" spans="1:22" x14ac:dyDescent="0.25">
      <c r="A767">
        <v>766</v>
      </c>
      <c r="B767" s="1">
        <v>40578</v>
      </c>
      <c r="C767">
        <v>1</v>
      </c>
      <c r="D767">
        <v>0</v>
      </c>
      <c r="E767">
        <v>2</v>
      </c>
      <c r="F767">
        <v>8</v>
      </c>
      <c r="G767" t="b">
        <v>0</v>
      </c>
      <c r="H767">
        <v>5</v>
      </c>
      <c r="I767">
        <v>1</v>
      </c>
      <c r="J767">
        <v>0.14000000000000001</v>
      </c>
      <c r="K767">
        <v>0.1515</v>
      </c>
      <c r="L767">
        <v>0.74</v>
      </c>
      <c r="M767">
        <v>0.1343</v>
      </c>
      <c r="N767">
        <v>3</v>
      </c>
      <c r="O767">
        <v>217</v>
      </c>
      <c r="P767">
        <v>220</v>
      </c>
      <c r="Q767" t="str">
        <f t="shared" si="47"/>
        <v>Weekday</v>
      </c>
      <c r="R767" t="str">
        <f t="shared" si="44"/>
        <v>Clear</v>
      </c>
      <c r="S767">
        <f t="shared" si="45"/>
        <v>-0.25435329828790432</v>
      </c>
      <c r="T767">
        <f t="shared" si="46"/>
        <v>0.10399668008577614</v>
      </c>
      <c r="U767" s="6">
        <v>0.14000000000000001</v>
      </c>
      <c r="V767">
        <f t="array" ref="V767">CORREL(IFERROR(VALUE(TRIM(CLEAN($U$2:$U$1001))),0), IFERROR(VALUE(TRIM(CLEAN($P$2:$P$1001))),0))</f>
        <v>0.23135628536430677</v>
      </c>
    </row>
    <row r="768" spans="1:22" x14ac:dyDescent="0.25">
      <c r="A768">
        <v>767</v>
      </c>
      <c r="B768" s="1">
        <v>40578</v>
      </c>
      <c r="C768">
        <v>1</v>
      </c>
      <c r="D768">
        <v>0</v>
      </c>
      <c r="E768">
        <v>2</v>
      </c>
      <c r="F768">
        <v>9</v>
      </c>
      <c r="G768" t="b">
        <v>0</v>
      </c>
      <c r="H768">
        <v>5</v>
      </c>
      <c r="I768">
        <v>2</v>
      </c>
      <c r="J768">
        <v>0.16</v>
      </c>
      <c r="K768">
        <v>0.18179999999999999</v>
      </c>
      <c r="L768">
        <v>0.8</v>
      </c>
      <c r="M768">
        <v>0.1343</v>
      </c>
      <c r="N768">
        <v>3</v>
      </c>
      <c r="O768">
        <v>124</v>
      </c>
      <c r="P768">
        <v>127</v>
      </c>
      <c r="Q768" t="str">
        <f t="shared" si="47"/>
        <v>Weekday</v>
      </c>
      <c r="R768" t="str">
        <f t="shared" si="44"/>
        <v>Mist/Cloudy</v>
      </c>
      <c r="S768">
        <f t="shared" si="45"/>
        <v>-0.25435329828790432</v>
      </c>
      <c r="T768">
        <f t="shared" si="46"/>
        <v>0.10399668008577614</v>
      </c>
      <c r="U768" s="6">
        <v>0.16</v>
      </c>
      <c r="V768">
        <f t="array" ref="V768">CORREL(IFERROR(VALUE(TRIM(CLEAN($U$2:$U$1001))),0), IFERROR(VALUE(TRIM(CLEAN($P$2:$P$1001))),0))</f>
        <v>0.23135628536430677</v>
      </c>
    </row>
    <row r="769" spans="1:22" x14ac:dyDescent="0.25">
      <c r="A769">
        <v>768</v>
      </c>
      <c r="B769" s="1">
        <v>40578</v>
      </c>
      <c r="C769">
        <v>1</v>
      </c>
      <c r="D769">
        <v>0</v>
      </c>
      <c r="E769">
        <v>2</v>
      </c>
      <c r="F769">
        <v>10</v>
      </c>
      <c r="G769" t="b">
        <v>0</v>
      </c>
      <c r="H769">
        <v>5</v>
      </c>
      <c r="I769">
        <v>2</v>
      </c>
      <c r="J769">
        <v>0.2</v>
      </c>
      <c r="K769">
        <v>0.21210000000000001</v>
      </c>
      <c r="L769">
        <v>0.51</v>
      </c>
      <c r="M769">
        <v>0.1343</v>
      </c>
      <c r="N769">
        <v>5</v>
      </c>
      <c r="O769">
        <v>46</v>
      </c>
      <c r="P769">
        <v>51</v>
      </c>
      <c r="Q769" t="str">
        <f t="shared" si="47"/>
        <v>Weekday</v>
      </c>
      <c r="R769" t="str">
        <f t="shared" si="44"/>
        <v>Mist/Cloudy</v>
      </c>
      <c r="S769">
        <f t="shared" si="45"/>
        <v>-0.25435329828790432</v>
      </c>
      <c r="T769">
        <f t="shared" si="46"/>
        <v>0.10399668008577614</v>
      </c>
      <c r="U769" s="6">
        <v>0.2</v>
      </c>
      <c r="V769">
        <f t="array" ref="V769">CORREL(IFERROR(VALUE(TRIM(CLEAN($U$2:$U$1001))),0), IFERROR(VALUE(TRIM(CLEAN($P$2:$P$1001))),0))</f>
        <v>0.23135628536430677</v>
      </c>
    </row>
    <row r="770" spans="1:22" x14ac:dyDescent="0.25">
      <c r="A770">
        <v>769</v>
      </c>
      <c r="B770" s="1">
        <v>40578</v>
      </c>
      <c r="C770">
        <v>1</v>
      </c>
      <c r="D770">
        <v>0</v>
      </c>
      <c r="E770">
        <v>2</v>
      </c>
      <c r="F770">
        <v>11</v>
      </c>
      <c r="G770" t="b">
        <v>0</v>
      </c>
      <c r="H770">
        <v>5</v>
      </c>
      <c r="I770">
        <v>1</v>
      </c>
      <c r="J770">
        <v>0.22</v>
      </c>
      <c r="K770">
        <v>0.2273</v>
      </c>
      <c r="L770">
        <v>0.51</v>
      </c>
      <c r="M770">
        <v>0.16420000000000001</v>
      </c>
      <c r="N770">
        <v>3</v>
      </c>
      <c r="O770">
        <v>61</v>
      </c>
      <c r="P770">
        <v>64</v>
      </c>
      <c r="Q770" t="str">
        <f t="shared" si="47"/>
        <v>Weekday</v>
      </c>
      <c r="R770" t="str">
        <f t="shared" ref="R770:R833" si="48">IF(I770=1, "Clear", IF(I770=2, "Mist/Cloudy", IF(I770=3, "Light Snow/Rain", "Heavy Rain")))</f>
        <v>Clear</v>
      </c>
      <c r="S770">
        <f t="shared" ref="S770:S833" si="49">CORREL($L$2:$L$1001, $P$2:$P$1001)</f>
        <v>-0.25435329828790432</v>
      </c>
      <c r="T770">
        <f t="shared" ref="T770:T833" si="50">CORREL($M$2:$M$1001, $P$2:$P$1001)</f>
        <v>0.10399668008577614</v>
      </c>
      <c r="U770" s="6">
        <v>0.22</v>
      </c>
      <c r="V770">
        <f t="array" ref="V770">CORREL(IFERROR(VALUE(TRIM(CLEAN($U$2:$U$1001))),0), IFERROR(VALUE(TRIM(CLEAN($P$2:$P$1001))),0))</f>
        <v>0.23135628536430677</v>
      </c>
    </row>
    <row r="771" spans="1:22" x14ac:dyDescent="0.25">
      <c r="A771">
        <v>770</v>
      </c>
      <c r="B771" s="1">
        <v>40578</v>
      </c>
      <c r="C771">
        <v>1</v>
      </c>
      <c r="D771">
        <v>0</v>
      </c>
      <c r="E771">
        <v>2</v>
      </c>
      <c r="F771">
        <v>12</v>
      </c>
      <c r="G771" t="b">
        <v>0</v>
      </c>
      <c r="H771">
        <v>5</v>
      </c>
      <c r="I771">
        <v>2</v>
      </c>
      <c r="J771">
        <v>0.24</v>
      </c>
      <c r="K771">
        <v>0.2424</v>
      </c>
      <c r="L771">
        <v>0.48</v>
      </c>
      <c r="M771">
        <v>0.16420000000000001</v>
      </c>
      <c r="N771">
        <v>8</v>
      </c>
      <c r="O771">
        <v>78</v>
      </c>
      <c r="P771">
        <v>86</v>
      </c>
      <c r="Q771" t="str">
        <f t="shared" ref="Q771:Q834" si="51">IF(WEEKDAY(A771,2)&gt;5,"Weekend","Weekday")</f>
        <v>Weekend</v>
      </c>
      <c r="R771" t="str">
        <f t="shared" si="48"/>
        <v>Mist/Cloudy</v>
      </c>
      <c r="S771">
        <f t="shared" si="49"/>
        <v>-0.25435329828790432</v>
      </c>
      <c r="T771">
        <f t="shared" si="50"/>
        <v>0.10399668008577614</v>
      </c>
      <c r="U771" s="6">
        <v>0.24</v>
      </c>
      <c r="V771">
        <f t="array" ref="V771">CORREL(IFERROR(VALUE(TRIM(CLEAN($U$2:$U$1001))),0), IFERROR(VALUE(TRIM(CLEAN($P$2:$P$1001))),0))</f>
        <v>0.23135628536430677</v>
      </c>
    </row>
    <row r="772" spans="1:22" x14ac:dyDescent="0.25">
      <c r="A772">
        <v>771</v>
      </c>
      <c r="B772" s="1">
        <v>40578</v>
      </c>
      <c r="C772">
        <v>1</v>
      </c>
      <c r="D772">
        <v>0</v>
      </c>
      <c r="E772">
        <v>2</v>
      </c>
      <c r="F772">
        <v>13</v>
      </c>
      <c r="G772" t="b">
        <v>0</v>
      </c>
      <c r="H772">
        <v>5</v>
      </c>
      <c r="I772">
        <v>2</v>
      </c>
      <c r="J772">
        <v>0.26</v>
      </c>
      <c r="K772">
        <v>0.2576</v>
      </c>
      <c r="L772">
        <v>0.5</v>
      </c>
      <c r="M772">
        <v>0.22389999999999999</v>
      </c>
      <c r="N772">
        <v>9</v>
      </c>
      <c r="O772">
        <v>73</v>
      </c>
      <c r="P772">
        <v>82</v>
      </c>
      <c r="Q772" t="str">
        <f t="shared" si="51"/>
        <v>Weekend</v>
      </c>
      <c r="R772" t="str">
        <f t="shared" si="48"/>
        <v>Mist/Cloudy</v>
      </c>
      <c r="S772">
        <f t="shared" si="49"/>
        <v>-0.25435329828790432</v>
      </c>
      <c r="T772">
        <f t="shared" si="50"/>
        <v>0.10399668008577614</v>
      </c>
      <c r="U772" s="6">
        <v>0.26</v>
      </c>
      <c r="V772">
        <f t="array" ref="V772">CORREL(IFERROR(VALUE(TRIM(CLEAN($U$2:$U$1001))),0), IFERROR(VALUE(TRIM(CLEAN($P$2:$P$1001))),0))</f>
        <v>0.23135628536430677</v>
      </c>
    </row>
    <row r="773" spans="1:22" x14ac:dyDescent="0.25">
      <c r="A773">
        <v>772</v>
      </c>
      <c r="B773" s="1">
        <v>40578</v>
      </c>
      <c r="C773">
        <v>1</v>
      </c>
      <c r="D773">
        <v>0</v>
      </c>
      <c r="E773">
        <v>2</v>
      </c>
      <c r="F773">
        <v>14</v>
      </c>
      <c r="G773" t="b">
        <v>0</v>
      </c>
      <c r="H773">
        <v>5</v>
      </c>
      <c r="I773">
        <v>2</v>
      </c>
      <c r="J773">
        <v>0.28000000000000003</v>
      </c>
      <c r="K773">
        <v>0.2727</v>
      </c>
      <c r="L773">
        <v>0.45</v>
      </c>
      <c r="M773">
        <v>0.16420000000000001</v>
      </c>
      <c r="N773">
        <v>15</v>
      </c>
      <c r="O773">
        <v>76</v>
      </c>
      <c r="P773">
        <v>91</v>
      </c>
      <c r="Q773" t="str">
        <f t="shared" si="51"/>
        <v>Weekday</v>
      </c>
      <c r="R773" t="str">
        <f t="shared" si="48"/>
        <v>Mist/Cloudy</v>
      </c>
      <c r="S773">
        <f t="shared" si="49"/>
        <v>-0.25435329828790432</v>
      </c>
      <c r="T773">
        <f t="shared" si="50"/>
        <v>0.10399668008577614</v>
      </c>
      <c r="U773" s="6">
        <v>0.28000000000000003</v>
      </c>
      <c r="V773">
        <f t="array" ref="V773">CORREL(IFERROR(VALUE(TRIM(CLEAN($U$2:$U$1001))),0), IFERROR(VALUE(TRIM(CLEAN($P$2:$P$1001))),0))</f>
        <v>0.23135628536430677</v>
      </c>
    </row>
    <row r="774" spans="1:22" x14ac:dyDescent="0.25">
      <c r="A774">
        <v>773</v>
      </c>
      <c r="B774" s="1">
        <v>40578</v>
      </c>
      <c r="C774">
        <v>1</v>
      </c>
      <c r="D774">
        <v>0</v>
      </c>
      <c r="E774">
        <v>2</v>
      </c>
      <c r="F774">
        <v>15</v>
      </c>
      <c r="G774" t="b">
        <v>0</v>
      </c>
      <c r="H774">
        <v>5</v>
      </c>
      <c r="I774">
        <v>2</v>
      </c>
      <c r="J774">
        <v>0.28000000000000003</v>
      </c>
      <c r="K774">
        <v>0.2727</v>
      </c>
      <c r="L774">
        <v>0.48</v>
      </c>
      <c r="M774">
        <v>0.25369999999999998</v>
      </c>
      <c r="N774">
        <v>9</v>
      </c>
      <c r="O774">
        <v>81</v>
      </c>
      <c r="P774">
        <v>90</v>
      </c>
      <c r="Q774" t="str">
        <f t="shared" si="51"/>
        <v>Weekday</v>
      </c>
      <c r="R774" t="str">
        <f t="shared" si="48"/>
        <v>Mist/Cloudy</v>
      </c>
      <c r="S774">
        <f t="shared" si="49"/>
        <v>-0.25435329828790432</v>
      </c>
      <c r="T774">
        <f t="shared" si="50"/>
        <v>0.10399668008577614</v>
      </c>
      <c r="U774" s="6">
        <v>0.28000000000000003</v>
      </c>
      <c r="V774">
        <f t="array" ref="V774">CORREL(IFERROR(VALUE(TRIM(CLEAN($U$2:$U$1001))),0), IFERROR(VALUE(TRIM(CLEAN($P$2:$P$1001))),0))</f>
        <v>0.23135628536430677</v>
      </c>
    </row>
    <row r="775" spans="1:22" x14ac:dyDescent="0.25">
      <c r="A775">
        <v>774</v>
      </c>
      <c r="B775" s="1">
        <v>40578</v>
      </c>
      <c r="C775">
        <v>1</v>
      </c>
      <c r="D775">
        <v>0</v>
      </c>
      <c r="E775">
        <v>2</v>
      </c>
      <c r="F775">
        <v>16</v>
      </c>
      <c r="G775" t="b">
        <v>0</v>
      </c>
      <c r="H775">
        <v>5</v>
      </c>
      <c r="I775">
        <v>2</v>
      </c>
      <c r="J775">
        <v>0.3</v>
      </c>
      <c r="K775">
        <v>0.28789999999999999</v>
      </c>
      <c r="L775">
        <v>0.42</v>
      </c>
      <c r="M775">
        <v>0.22389999999999999</v>
      </c>
      <c r="N775">
        <v>8</v>
      </c>
      <c r="O775">
        <v>91</v>
      </c>
      <c r="P775">
        <v>99</v>
      </c>
      <c r="Q775" t="str">
        <f t="shared" si="51"/>
        <v>Weekday</v>
      </c>
      <c r="R775" t="str">
        <f t="shared" si="48"/>
        <v>Mist/Cloudy</v>
      </c>
      <c r="S775">
        <f t="shared" si="49"/>
        <v>-0.25435329828790432</v>
      </c>
      <c r="T775">
        <f t="shared" si="50"/>
        <v>0.10399668008577614</v>
      </c>
      <c r="U775" s="6">
        <v>0.3</v>
      </c>
      <c r="V775">
        <f t="array" ref="V775">CORREL(IFERROR(VALUE(TRIM(CLEAN($U$2:$U$1001))),0), IFERROR(VALUE(TRIM(CLEAN($P$2:$P$1001))),0))</f>
        <v>0.23135628536430677</v>
      </c>
    </row>
    <row r="776" spans="1:22" x14ac:dyDescent="0.25">
      <c r="A776">
        <v>775</v>
      </c>
      <c r="B776" s="1">
        <v>40578</v>
      </c>
      <c r="C776">
        <v>1</v>
      </c>
      <c r="D776">
        <v>0</v>
      </c>
      <c r="E776">
        <v>2</v>
      </c>
      <c r="F776">
        <v>17</v>
      </c>
      <c r="G776" t="b">
        <v>0</v>
      </c>
      <c r="H776">
        <v>5</v>
      </c>
      <c r="I776">
        <v>2</v>
      </c>
      <c r="J776">
        <v>0.26</v>
      </c>
      <c r="K776">
        <v>0.2727</v>
      </c>
      <c r="L776">
        <v>0.56000000000000005</v>
      </c>
      <c r="M776">
        <v>0.1343</v>
      </c>
      <c r="N776">
        <v>10</v>
      </c>
      <c r="O776">
        <v>195</v>
      </c>
      <c r="P776">
        <v>205</v>
      </c>
      <c r="Q776" t="str">
        <f t="shared" si="51"/>
        <v>Weekday</v>
      </c>
      <c r="R776" t="str">
        <f t="shared" si="48"/>
        <v>Mist/Cloudy</v>
      </c>
      <c r="S776">
        <f t="shared" si="49"/>
        <v>-0.25435329828790432</v>
      </c>
      <c r="T776">
        <f t="shared" si="50"/>
        <v>0.10399668008577614</v>
      </c>
      <c r="U776" s="6">
        <v>0.26</v>
      </c>
      <c r="V776">
        <f t="array" ref="V776">CORREL(IFERROR(VALUE(TRIM(CLEAN($U$2:$U$1001))),0), IFERROR(VALUE(TRIM(CLEAN($P$2:$P$1001))),0))</f>
        <v>0.23135628536430677</v>
      </c>
    </row>
    <row r="777" spans="1:22" x14ac:dyDescent="0.25">
      <c r="A777">
        <v>776</v>
      </c>
      <c r="B777" s="1">
        <v>40578</v>
      </c>
      <c r="C777">
        <v>1</v>
      </c>
      <c r="D777">
        <v>0</v>
      </c>
      <c r="E777">
        <v>2</v>
      </c>
      <c r="F777">
        <v>18</v>
      </c>
      <c r="G777" t="b">
        <v>0</v>
      </c>
      <c r="H777">
        <v>5</v>
      </c>
      <c r="I777">
        <v>2</v>
      </c>
      <c r="J777">
        <v>0.24</v>
      </c>
      <c r="K777">
        <v>0.2576</v>
      </c>
      <c r="L777">
        <v>0.6</v>
      </c>
      <c r="M777">
        <v>0.1045</v>
      </c>
      <c r="N777">
        <v>3</v>
      </c>
      <c r="O777">
        <v>152</v>
      </c>
      <c r="P777">
        <v>155</v>
      </c>
      <c r="Q777" t="str">
        <f t="shared" si="51"/>
        <v>Weekday</v>
      </c>
      <c r="R777" t="str">
        <f t="shared" si="48"/>
        <v>Mist/Cloudy</v>
      </c>
      <c r="S777">
        <f t="shared" si="49"/>
        <v>-0.25435329828790432</v>
      </c>
      <c r="T777">
        <f t="shared" si="50"/>
        <v>0.10399668008577614</v>
      </c>
      <c r="U777" s="6">
        <v>0.24</v>
      </c>
      <c r="V777">
        <f t="array" ref="V777">CORREL(IFERROR(VALUE(TRIM(CLEAN($U$2:$U$1001))),0), IFERROR(VALUE(TRIM(CLEAN($P$2:$P$1001))),0))</f>
        <v>0.23135628536430677</v>
      </c>
    </row>
    <row r="778" spans="1:22" x14ac:dyDescent="0.25">
      <c r="A778">
        <v>777</v>
      </c>
      <c r="B778" s="1">
        <v>40578</v>
      </c>
      <c r="C778">
        <v>1</v>
      </c>
      <c r="D778">
        <v>0</v>
      </c>
      <c r="E778">
        <v>2</v>
      </c>
      <c r="F778">
        <v>19</v>
      </c>
      <c r="G778" t="b">
        <v>0</v>
      </c>
      <c r="H778">
        <v>5</v>
      </c>
      <c r="I778">
        <v>2</v>
      </c>
      <c r="J778">
        <v>0.24</v>
      </c>
      <c r="K778">
        <v>0.2424</v>
      </c>
      <c r="L778">
        <v>0.65</v>
      </c>
      <c r="M778">
        <v>0.1343</v>
      </c>
      <c r="N778">
        <v>1</v>
      </c>
      <c r="O778">
        <v>102</v>
      </c>
      <c r="P778">
        <v>103</v>
      </c>
      <c r="Q778" t="str">
        <f t="shared" si="51"/>
        <v>Weekend</v>
      </c>
      <c r="R778" t="str">
        <f t="shared" si="48"/>
        <v>Mist/Cloudy</v>
      </c>
      <c r="S778">
        <f t="shared" si="49"/>
        <v>-0.25435329828790432</v>
      </c>
      <c r="T778">
        <f t="shared" si="50"/>
        <v>0.10399668008577614</v>
      </c>
      <c r="U778" s="6">
        <v>0.24</v>
      </c>
      <c r="V778">
        <f t="array" ref="V778">CORREL(IFERROR(VALUE(TRIM(CLEAN($U$2:$U$1001))),0), IFERROR(VALUE(TRIM(CLEAN($P$2:$P$1001))),0))</f>
        <v>0.23135628536430677</v>
      </c>
    </row>
    <row r="779" spans="1:22" x14ac:dyDescent="0.25">
      <c r="A779">
        <v>778</v>
      </c>
      <c r="B779" s="1">
        <v>40578</v>
      </c>
      <c r="C779">
        <v>1</v>
      </c>
      <c r="D779">
        <v>0</v>
      </c>
      <c r="E779">
        <v>2</v>
      </c>
      <c r="F779">
        <v>20</v>
      </c>
      <c r="G779" t="b">
        <v>0</v>
      </c>
      <c r="H779">
        <v>5</v>
      </c>
      <c r="I779">
        <v>2</v>
      </c>
      <c r="J779">
        <v>0.24</v>
      </c>
      <c r="K779">
        <v>0.2424</v>
      </c>
      <c r="L779">
        <v>0.65</v>
      </c>
      <c r="M779">
        <v>0.16420000000000001</v>
      </c>
      <c r="N779">
        <v>2</v>
      </c>
      <c r="O779">
        <v>69</v>
      </c>
      <c r="P779">
        <v>71</v>
      </c>
      <c r="Q779" t="str">
        <f t="shared" si="51"/>
        <v>Weekend</v>
      </c>
      <c r="R779" t="str">
        <f t="shared" si="48"/>
        <v>Mist/Cloudy</v>
      </c>
      <c r="S779">
        <f t="shared" si="49"/>
        <v>-0.25435329828790432</v>
      </c>
      <c r="T779">
        <f t="shared" si="50"/>
        <v>0.10399668008577614</v>
      </c>
      <c r="U779" s="6">
        <v>0.24</v>
      </c>
      <c r="V779">
        <f t="array" ref="V779">CORREL(IFERROR(VALUE(TRIM(CLEAN($U$2:$U$1001))),0), IFERROR(VALUE(TRIM(CLEAN($P$2:$P$1001))),0))</f>
        <v>0.23135628536430677</v>
      </c>
    </row>
    <row r="780" spans="1:22" x14ac:dyDescent="0.25">
      <c r="A780">
        <v>779</v>
      </c>
      <c r="B780" s="1">
        <v>40578</v>
      </c>
      <c r="C780">
        <v>1</v>
      </c>
      <c r="D780">
        <v>0</v>
      </c>
      <c r="E780">
        <v>2</v>
      </c>
      <c r="F780">
        <v>21</v>
      </c>
      <c r="G780" t="b">
        <v>0</v>
      </c>
      <c r="H780">
        <v>5</v>
      </c>
      <c r="I780">
        <v>2</v>
      </c>
      <c r="J780">
        <v>0.24</v>
      </c>
      <c r="K780">
        <v>0.2424</v>
      </c>
      <c r="L780">
        <v>0.7</v>
      </c>
      <c r="M780">
        <v>0.16420000000000001</v>
      </c>
      <c r="N780">
        <v>2</v>
      </c>
      <c r="O780">
        <v>41</v>
      </c>
      <c r="P780">
        <v>43</v>
      </c>
      <c r="Q780" t="str">
        <f t="shared" si="51"/>
        <v>Weekday</v>
      </c>
      <c r="R780" t="str">
        <f t="shared" si="48"/>
        <v>Mist/Cloudy</v>
      </c>
      <c r="S780">
        <f t="shared" si="49"/>
        <v>-0.25435329828790432</v>
      </c>
      <c r="T780">
        <f t="shared" si="50"/>
        <v>0.10399668008577614</v>
      </c>
      <c r="U780" s="6">
        <v>0.24</v>
      </c>
      <c r="V780">
        <f t="array" ref="V780">CORREL(IFERROR(VALUE(TRIM(CLEAN($U$2:$U$1001))),0), IFERROR(VALUE(TRIM(CLEAN($P$2:$P$1001))),0))</f>
        <v>0.23135628536430677</v>
      </c>
    </row>
    <row r="781" spans="1:22" x14ac:dyDescent="0.25">
      <c r="A781">
        <v>780</v>
      </c>
      <c r="B781" s="1">
        <v>40578</v>
      </c>
      <c r="C781">
        <v>1</v>
      </c>
      <c r="D781">
        <v>0</v>
      </c>
      <c r="E781">
        <v>2</v>
      </c>
      <c r="F781">
        <v>22</v>
      </c>
      <c r="G781" t="b">
        <v>0</v>
      </c>
      <c r="H781">
        <v>5</v>
      </c>
      <c r="I781">
        <v>2</v>
      </c>
      <c r="J781">
        <v>0.24</v>
      </c>
      <c r="K781">
        <v>0.2424</v>
      </c>
      <c r="L781">
        <v>0.65</v>
      </c>
      <c r="M781">
        <v>0.16420000000000001</v>
      </c>
      <c r="N781">
        <v>1</v>
      </c>
      <c r="O781">
        <v>45</v>
      </c>
      <c r="P781">
        <v>46</v>
      </c>
      <c r="Q781" t="str">
        <f t="shared" si="51"/>
        <v>Weekday</v>
      </c>
      <c r="R781" t="str">
        <f t="shared" si="48"/>
        <v>Mist/Cloudy</v>
      </c>
      <c r="S781">
        <f t="shared" si="49"/>
        <v>-0.25435329828790432</v>
      </c>
      <c r="T781">
        <f t="shared" si="50"/>
        <v>0.10399668008577614</v>
      </c>
      <c r="U781" s="6">
        <v>0.24</v>
      </c>
      <c r="V781">
        <f t="array" ref="V781">CORREL(IFERROR(VALUE(TRIM(CLEAN($U$2:$U$1001))),0), IFERROR(VALUE(TRIM(CLEAN($P$2:$P$1001))),0))</f>
        <v>0.23135628536430677</v>
      </c>
    </row>
    <row r="782" spans="1:22" x14ac:dyDescent="0.25">
      <c r="A782">
        <v>781</v>
      </c>
      <c r="B782" s="1">
        <v>40578</v>
      </c>
      <c r="C782">
        <v>1</v>
      </c>
      <c r="D782">
        <v>0</v>
      </c>
      <c r="E782">
        <v>2</v>
      </c>
      <c r="F782">
        <v>23</v>
      </c>
      <c r="G782" t="b">
        <v>0</v>
      </c>
      <c r="H782">
        <v>5</v>
      </c>
      <c r="I782">
        <v>2</v>
      </c>
      <c r="J782">
        <v>0.24</v>
      </c>
      <c r="K782">
        <v>0.2424</v>
      </c>
      <c r="L782">
        <v>0.7</v>
      </c>
      <c r="M782">
        <v>0.1343</v>
      </c>
      <c r="N782">
        <v>1</v>
      </c>
      <c r="O782">
        <v>30</v>
      </c>
      <c r="P782">
        <v>31</v>
      </c>
      <c r="Q782" t="str">
        <f t="shared" si="51"/>
        <v>Weekday</v>
      </c>
      <c r="R782" t="str">
        <f t="shared" si="48"/>
        <v>Mist/Cloudy</v>
      </c>
      <c r="S782">
        <f t="shared" si="49"/>
        <v>-0.25435329828790432</v>
      </c>
      <c r="T782">
        <f t="shared" si="50"/>
        <v>0.10399668008577614</v>
      </c>
      <c r="U782" s="6">
        <v>0.24</v>
      </c>
      <c r="V782">
        <f t="array" ref="V782">CORREL(IFERROR(VALUE(TRIM(CLEAN($U$2:$U$1001))),0), IFERROR(VALUE(TRIM(CLEAN($P$2:$P$1001))),0))</f>
        <v>0.23135628536430677</v>
      </c>
    </row>
    <row r="783" spans="1:22" x14ac:dyDescent="0.25">
      <c r="A783">
        <v>782</v>
      </c>
      <c r="B783" s="1">
        <v>40579</v>
      </c>
      <c r="C783">
        <v>1</v>
      </c>
      <c r="D783">
        <v>0</v>
      </c>
      <c r="E783">
        <v>2</v>
      </c>
      <c r="F783">
        <v>0</v>
      </c>
      <c r="G783" t="b">
        <v>0</v>
      </c>
      <c r="H783">
        <v>6</v>
      </c>
      <c r="I783">
        <v>2</v>
      </c>
      <c r="J783">
        <v>0.24</v>
      </c>
      <c r="K783">
        <v>0.2424</v>
      </c>
      <c r="L783">
        <v>0.7</v>
      </c>
      <c r="M783">
        <v>0.16420000000000001</v>
      </c>
      <c r="N783">
        <v>3</v>
      </c>
      <c r="O783">
        <v>36</v>
      </c>
      <c r="P783">
        <v>39</v>
      </c>
      <c r="Q783" t="str">
        <f t="shared" si="51"/>
        <v>Weekday</v>
      </c>
      <c r="R783" t="str">
        <f t="shared" si="48"/>
        <v>Mist/Cloudy</v>
      </c>
      <c r="S783">
        <f t="shared" si="49"/>
        <v>-0.25435329828790432</v>
      </c>
      <c r="T783">
        <f t="shared" si="50"/>
        <v>0.10399668008577614</v>
      </c>
      <c r="U783" s="6">
        <v>0.24</v>
      </c>
      <c r="V783">
        <f t="array" ref="V783">CORREL(IFERROR(VALUE(TRIM(CLEAN($U$2:$U$1001))),0), IFERROR(VALUE(TRIM(CLEAN($P$2:$P$1001))),0))</f>
        <v>0.23135628536430677</v>
      </c>
    </row>
    <row r="784" spans="1:22" x14ac:dyDescent="0.25">
      <c r="A784">
        <v>783</v>
      </c>
      <c r="B784" s="1">
        <v>40579</v>
      </c>
      <c r="C784">
        <v>1</v>
      </c>
      <c r="D784">
        <v>0</v>
      </c>
      <c r="E784">
        <v>2</v>
      </c>
      <c r="F784">
        <v>1</v>
      </c>
      <c r="G784" t="b">
        <v>0</v>
      </c>
      <c r="H784">
        <v>6</v>
      </c>
      <c r="I784">
        <v>2</v>
      </c>
      <c r="J784">
        <v>0.24</v>
      </c>
      <c r="K784">
        <v>0.2424</v>
      </c>
      <c r="L784">
        <v>0.65</v>
      </c>
      <c r="M784">
        <v>0.16420000000000001</v>
      </c>
      <c r="N784">
        <v>1</v>
      </c>
      <c r="O784">
        <v>17</v>
      </c>
      <c r="P784">
        <v>18</v>
      </c>
      <c r="Q784" t="str">
        <f t="shared" si="51"/>
        <v>Weekday</v>
      </c>
      <c r="R784" t="str">
        <f t="shared" si="48"/>
        <v>Mist/Cloudy</v>
      </c>
      <c r="S784">
        <f t="shared" si="49"/>
        <v>-0.25435329828790432</v>
      </c>
      <c r="T784">
        <f t="shared" si="50"/>
        <v>0.10399668008577614</v>
      </c>
      <c r="U784" s="6">
        <v>0.24</v>
      </c>
      <c r="V784">
        <f t="array" ref="V784">CORREL(IFERROR(VALUE(TRIM(CLEAN($U$2:$U$1001))),0), IFERROR(VALUE(TRIM(CLEAN($P$2:$P$1001))),0))</f>
        <v>0.23135628536430677</v>
      </c>
    </row>
    <row r="785" spans="1:22" x14ac:dyDescent="0.25">
      <c r="A785">
        <v>784</v>
      </c>
      <c r="B785" s="1">
        <v>40579</v>
      </c>
      <c r="C785">
        <v>1</v>
      </c>
      <c r="D785">
        <v>0</v>
      </c>
      <c r="E785">
        <v>2</v>
      </c>
      <c r="F785">
        <v>2</v>
      </c>
      <c r="G785" t="b">
        <v>0</v>
      </c>
      <c r="H785">
        <v>6</v>
      </c>
      <c r="I785">
        <v>2</v>
      </c>
      <c r="J785">
        <v>0.24</v>
      </c>
      <c r="K785">
        <v>0.2424</v>
      </c>
      <c r="L785">
        <v>0.75</v>
      </c>
      <c r="M785">
        <v>0.16420000000000001</v>
      </c>
      <c r="N785">
        <v>5</v>
      </c>
      <c r="O785">
        <v>12</v>
      </c>
      <c r="P785">
        <v>17</v>
      </c>
      <c r="Q785" t="str">
        <f t="shared" si="51"/>
        <v>Weekend</v>
      </c>
      <c r="R785" t="str">
        <f t="shared" si="48"/>
        <v>Mist/Cloudy</v>
      </c>
      <c r="S785">
        <f t="shared" si="49"/>
        <v>-0.25435329828790432</v>
      </c>
      <c r="T785">
        <f t="shared" si="50"/>
        <v>0.10399668008577614</v>
      </c>
      <c r="U785" s="6">
        <v>0.24</v>
      </c>
      <c r="V785">
        <f t="array" ref="V785">CORREL(IFERROR(VALUE(TRIM(CLEAN($U$2:$U$1001))),0), IFERROR(VALUE(TRIM(CLEAN($P$2:$P$1001))),0))</f>
        <v>0.23135628536430677</v>
      </c>
    </row>
    <row r="786" spans="1:22" x14ac:dyDescent="0.25">
      <c r="A786">
        <v>785</v>
      </c>
      <c r="B786" s="1">
        <v>40579</v>
      </c>
      <c r="C786">
        <v>1</v>
      </c>
      <c r="D786">
        <v>0</v>
      </c>
      <c r="E786">
        <v>2</v>
      </c>
      <c r="F786">
        <v>3</v>
      </c>
      <c r="G786" t="b">
        <v>0</v>
      </c>
      <c r="H786">
        <v>6</v>
      </c>
      <c r="I786">
        <v>2</v>
      </c>
      <c r="J786">
        <v>0.24</v>
      </c>
      <c r="K786">
        <v>0.2424</v>
      </c>
      <c r="L786">
        <v>0.75</v>
      </c>
      <c r="M786">
        <v>0.16420000000000001</v>
      </c>
      <c r="N786">
        <v>1</v>
      </c>
      <c r="O786">
        <v>10</v>
      </c>
      <c r="P786">
        <v>11</v>
      </c>
      <c r="Q786" t="str">
        <f t="shared" si="51"/>
        <v>Weekend</v>
      </c>
      <c r="R786" t="str">
        <f t="shared" si="48"/>
        <v>Mist/Cloudy</v>
      </c>
      <c r="S786">
        <f t="shared" si="49"/>
        <v>-0.25435329828790432</v>
      </c>
      <c r="T786">
        <f t="shared" si="50"/>
        <v>0.10399668008577614</v>
      </c>
      <c r="U786" s="6">
        <v>0.24</v>
      </c>
      <c r="V786">
        <f t="array" ref="V786">CORREL(IFERROR(VALUE(TRIM(CLEAN($U$2:$U$1001))),0), IFERROR(VALUE(TRIM(CLEAN($P$2:$P$1001))),0))</f>
        <v>0.23135628536430677</v>
      </c>
    </row>
    <row r="787" spans="1:22" x14ac:dyDescent="0.25">
      <c r="A787">
        <v>786</v>
      </c>
      <c r="B787" s="1">
        <v>40579</v>
      </c>
      <c r="C787">
        <v>1</v>
      </c>
      <c r="D787">
        <v>0</v>
      </c>
      <c r="E787">
        <v>2</v>
      </c>
      <c r="F787">
        <v>4</v>
      </c>
      <c r="G787" t="b">
        <v>0</v>
      </c>
      <c r="H787">
        <v>6</v>
      </c>
      <c r="I787">
        <v>3</v>
      </c>
      <c r="J787">
        <v>0.22</v>
      </c>
      <c r="K787">
        <v>0.2273</v>
      </c>
      <c r="L787">
        <v>0.93</v>
      </c>
      <c r="M787">
        <v>0.1343</v>
      </c>
      <c r="N787">
        <v>0</v>
      </c>
      <c r="O787">
        <v>8</v>
      </c>
      <c r="P787">
        <v>8</v>
      </c>
      <c r="Q787" t="str">
        <f t="shared" si="51"/>
        <v>Weekday</v>
      </c>
      <c r="R787" t="str">
        <f t="shared" si="48"/>
        <v>Light Snow/Rain</v>
      </c>
      <c r="S787">
        <f t="shared" si="49"/>
        <v>-0.25435329828790432</v>
      </c>
      <c r="T787">
        <f t="shared" si="50"/>
        <v>0.10399668008577614</v>
      </c>
      <c r="U787" s="6">
        <v>0.22</v>
      </c>
      <c r="V787">
        <f t="array" ref="V787">CORREL(IFERROR(VALUE(TRIM(CLEAN($U$2:$U$1001))),0), IFERROR(VALUE(TRIM(CLEAN($P$2:$P$1001))),0))</f>
        <v>0.23135628536430677</v>
      </c>
    </row>
    <row r="788" spans="1:22" x14ac:dyDescent="0.25">
      <c r="A788">
        <v>787</v>
      </c>
      <c r="B788" s="1">
        <v>40579</v>
      </c>
      <c r="C788">
        <v>1</v>
      </c>
      <c r="D788">
        <v>0</v>
      </c>
      <c r="E788">
        <v>2</v>
      </c>
      <c r="F788">
        <v>5</v>
      </c>
      <c r="G788" t="b">
        <v>0</v>
      </c>
      <c r="H788">
        <v>6</v>
      </c>
      <c r="I788">
        <v>3</v>
      </c>
      <c r="J788">
        <v>0.2</v>
      </c>
      <c r="K788">
        <v>0.2273</v>
      </c>
      <c r="L788">
        <v>1</v>
      </c>
      <c r="M788">
        <v>8.9599999999999999E-2</v>
      </c>
      <c r="N788">
        <v>0</v>
      </c>
      <c r="O788">
        <v>9</v>
      </c>
      <c r="P788">
        <v>9</v>
      </c>
      <c r="Q788" t="str">
        <f t="shared" si="51"/>
        <v>Weekday</v>
      </c>
      <c r="R788" t="str">
        <f t="shared" si="48"/>
        <v>Light Snow/Rain</v>
      </c>
      <c r="S788">
        <f t="shared" si="49"/>
        <v>-0.25435329828790432</v>
      </c>
      <c r="T788">
        <f t="shared" si="50"/>
        <v>0.10399668008577614</v>
      </c>
      <c r="U788" s="6">
        <v>0.2</v>
      </c>
      <c r="V788">
        <f t="array" ref="V788">CORREL(IFERROR(VALUE(TRIM(CLEAN($U$2:$U$1001))),0), IFERROR(VALUE(TRIM(CLEAN($P$2:$P$1001))),0))</f>
        <v>0.23135628536430677</v>
      </c>
    </row>
    <row r="789" spans="1:22" x14ac:dyDescent="0.25">
      <c r="A789">
        <v>788</v>
      </c>
      <c r="B789" s="1">
        <v>40579</v>
      </c>
      <c r="C789">
        <v>1</v>
      </c>
      <c r="D789">
        <v>0</v>
      </c>
      <c r="E789">
        <v>2</v>
      </c>
      <c r="F789">
        <v>6</v>
      </c>
      <c r="G789" t="b">
        <v>0</v>
      </c>
      <c r="H789">
        <v>6</v>
      </c>
      <c r="I789">
        <v>3</v>
      </c>
      <c r="J789">
        <v>0.2</v>
      </c>
      <c r="K789">
        <v>0.2576</v>
      </c>
      <c r="L789">
        <v>1</v>
      </c>
      <c r="M789">
        <v>0</v>
      </c>
      <c r="N789">
        <v>0</v>
      </c>
      <c r="O789">
        <v>4</v>
      </c>
      <c r="P789">
        <v>4</v>
      </c>
      <c r="Q789" t="str">
        <f t="shared" si="51"/>
        <v>Weekday</v>
      </c>
      <c r="R789" t="str">
        <f t="shared" si="48"/>
        <v>Light Snow/Rain</v>
      </c>
      <c r="S789">
        <f t="shared" si="49"/>
        <v>-0.25435329828790432</v>
      </c>
      <c r="T789">
        <f t="shared" si="50"/>
        <v>0.10399668008577614</v>
      </c>
      <c r="U789" s="6">
        <v>0.2</v>
      </c>
      <c r="V789">
        <f t="array" ref="V789">CORREL(IFERROR(VALUE(TRIM(CLEAN($U$2:$U$1001))),0), IFERROR(VALUE(TRIM(CLEAN($P$2:$P$1001))),0))</f>
        <v>0.23135628536430677</v>
      </c>
    </row>
    <row r="790" spans="1:22" x14ac:dyDescent="0.25">
      <c r="A790">
        <v>789</v>
      </c>
      <c r="B790" s="1">
        <v>40579</v>
      </c>
      <c r="C790">
        <v>1</v>
      </c>
      <c r="D790">
        <v>0</v>
      </c>
      <c r="E790">
        <v>2</v>
      </c>
      <c r="F790">
        <v>7</v>
      </c>
      <c r="G790" t="b">
        <v>0</v>
      </c>
      <c r="H790">
        <v>6</v>
      </c>
      <c r="I790">
        <v>3</v>
      </c>
      <c r="J790">
        <v>0.22</v>
      </c>
      <c r="K790">
        <v>0.2576</v>
      </c>
      <c r="L790">
        <v>0.93</v>
      </c>
      <c r="M790">
        <v>8.9599999999999999E-2</v>
      </c>
      <c r="N790">
        <v>0</v>
      </c>
      <c r="O790">
        <v>4</v>
      </c>
      <c r="P790">
        <v>4</v>
      </c>
      <c r="Q790" t="str">
        <f t="shared" si="51"/>
        <v>Weekday</v>
      </c>
      <c r="R790" t="str">
        <f t="shared" si="48"/>
        <v>Light Snow/Rain</v>
      </c>
      <c r="S790">
        <f t="shared" si="49"/>
        <v>-0.25435329828790432</v>
      </c>
      <c r="T790">
        <f t="shared" si="50"/>
        <v>0.10399668008577614</v>
      </c>
      <c r="U790" s="6">
        <v>0.22</v>
      </c>
      <c r="V790">
        <f t="array" ref="V790">CORREL(IFERROR(VALUE(TRIM(CLEAN($U$2:$U$1001))),0), IFERROR(VALUE(TRIM(CLEAN($P$2:$P$1001))),0))</f>
        <v>0.23135628536430677</v>
      </c>
    </row>
    <row r="791" spans="1:22" x14ac:dyDescent="0.25">
      <c r="A791">
        <v>790</v>
      </c>
      <c r="B791" s="1">
        <v>40579</v>
      </c>
      <c r="C791">
        <v>1</v>
      </c>
      <c r="D791">
        <v>0</v>
      </c>
      <c r="E791">
        <v>2</v>
      </c>
      <c r="F791">
        <v>8</v>
      </c>
      <c r="G791" t="b">
        <v>0</v>
      </c>
      <c r="H791">
        <v>6</v>
      </c>
      <c r="I791">
        <v>3</v>
      </c>
      <c r="J791">
        <v>0.2</v>
      </c>
      <c r="K791">
        <v>0.2273</v>
      </c>
      <c r="L791">
        <v>1</v>
      </c>
      <c r="M791">
        <v>8.9599999999999999E-2</v>
      </c>
      <c r="N791">
        <v>0</v>
      </c>
      <c r="O791">
        <v>10</v>
      </c>
      <c r="P791">
        <v>10</v>
      </c>
      <c r="Q791" t="str">
        <f t="shared" si="51"/>
        <v>Weekday</v>
      </c>
      <c r="R791" t="str">
        <f t="shared" si="48"/>
        <v>Light Snow/Rain</v>
      </c>
      <c r="S791">
        <f t="shared" si="49"/>
        <v>-0.25435329828790432</v>
      </c>
      <c r="T791">
        <f t="shared" si="50"/>
        <v>0.10399668008577614</v>
      </c>
      <c r="U791" s="6">
        <v>0.2</v>
      </c>
      <c r="V791">
        <f t="array" ref="V791">CORREL(IFERROR(VALUE(TRIM(CLEAN($U$2:$U$1001))),0), IFERROR(VALUE(TRIM(CLEAN($P$2:$P$1001))),0))</f>
        <v>0.23135628536430677</v>
      </c>
    </row>
    <row r="792" spans="1:22" x14ac:dyDescent="0.25">
      <c r="A792">
        <v>791</v>
      </c>
      <c r="B792" s="1">
        <v>40579</v>
      </c>
      <c r="C792">
        <v>1</v>
      </c>
      <c r="D792">
        <v>0</v>
      </c>
      <c r="E792">
        <v>2</v>
      </c>
      <c r="F792">
        <v>9</v>
      </c>
      <c r="G792" t="b">
        <v>0</v>
      </c>
      <c r="H792">
        <v>6</v>
      </c>
      <c r="I792">
        <v>3</v>
      </c>
      <c r="J792">
        <v>0.2</v>
      </c>
      <c r="K792">
        <v>0.2273</v>
      </c>
      <c r="L792">
        <v>1</v>
      </c>
      <c r="M792">
        <v>8.9599999999999999E-2</v>
      </c>
      <c r="N792">
        <v>3</v>
      </c>
      <c r="O792">
        <v>17</v>
      </c>
      <c r="P792">
        <v>20</v>
      </c>
      <c r="Q792" t="str">
        <f t="shared" si="51"/>
        <v>Weekend</v>
      </c>
      <c r="R792" t="str">
        <f t="shared" si="48"/>
        <v>Light Snow/Rain</v>
      </c>
      <c r="S792">
        <f t="shared" si="49"/>
        <v>-0.25435329828790432</v>
      </c>
      <c r="T792">
        <f t="shared" si="50"/>
        <v>0.10399668008577614</v>
      </c>
      <c r="U792" s="6">
        <v>0.2</v>
      </c>
      <c r="V792">
        <f t="array" ref="V792">CORREL(IFERROR(VALUE(TRIM(CLEAN($U$2:$U$1001))),0), IFERROR(VALUE(TRIM(CLEAN($P$2:$P$1001))),0))</f>
        <v>0.23135628536430677</v>
      </c>
    </row>
    <row r="793" spans="1:22" x14ac:dyDescent="0.25">
      <c r="A793">
        <v>792</v>
      </c>
      <c r="B793" s="1">
        <v>40579</v>
      </c>
      <c r="C793">
        <v>1</v>
      </c>
      <c r="D793">
        <v>0</v>
      </c>
      <c r="E793">
        <v>2</v>
      </c>
      <c r="F793">
        <v>10</v>
      </c>
      <c r="G793" t="b">
        <v>0</v>
      </c>
      <c r="H793">
        <v>6</v>
      </c>
      <c r="I793">
        <v>3</v>
      </c>
      <c r="J793">
        <v>0.2</v>
      </c>
      <c r="K793">
        <v>0.21210000000000001</v>
      </c>
      <c r="L793">
        <v>1</v>
      </c>
      <c r="M793">
        <v>0.1343</v>
      </c>
      <c r="N793">
        <v>3</v>
      </c>
      <c r="O793">
        <v>31</v>
      </c>
      <c r="P793">
        <v>34</v>
      </c>
      <c r="Q793" t="str">
        <f t="shared" si="51"/>
        <v>Weekend</v>
      </c>
      <c r="R793" t="str">
        <f t="shared" si="48"/>
        <v>Light Snow/Rain</v>
      </c>
      <c r="S793">
        <f t="shared" si="49"/>
        <v>-0.25435329828790432</v>
      </c>
      <c r="T793">
        <f t="shared" si="50"/>
        <v>0.10399668008577614</v>
      </c>
      <c r="U793" s="6">
        <v>0.2</v>
      </c>
      <c r="V793">
        <f t="array" ref="V793">CORREL(IFERROR(VALUE(TRIM(CLEAN($U$2:$U$1001))),0), IFERROR(VALUE(TRIM(CLEAN($P$2:$P$1001))),0))</f>
        <v>0.23135628536430677</v>
      </c>
    </row>
    <row r="794" spans="1:22" x14ac:dyDescent="0.25">
      <c r="A794">
        <v>793</v>
      </c>
      <c r="B794" s="1">
        <v>40579</v>
      </c>
      <c r="C794">
        <v>1</v>
      </c>
      <c r="D794">
        <v>0</v>
      </c>
      <c r="E794">
        <v>2</v>
      </c>
      <c r="F794">
        <v>11</v>
      </c>
      <c r="G794" t="b">
        <v>0</v>
      </c>
      <c r="H794">
        <v>6</v>
      </c>
      <c r="I794">
        <v>3</v>
      </c>
      <c r="J794">
        <v>0.22</v>
      </c>
      <c r="K794">
        <v>0.2273</v>
      </c>
      <c r="L794">
        <v>1</v>
      </c>
      <c r="M794">
        <v>0.1343</v>
      </c>
      <c r="N794">
        <v>1</v>
      </c>
      <c r="O794">
        <v>46</v>
      </c>
      <c r="P794">
        <v>47</v>
      </c>
      <c r="Q794" t="str">
        <f t="shared" si="51"/>
        <v>Weekday</v>
      </c>
      <c r="R794" t="str">
        <f t="shared" si="48"/>
        <v>Light Snow/Rain</v>
      </c>
      <c r="S794">
        <f t="shared" si="49"/>
        <v>-0.25435329828790432</v>
      </c>
      <c r="T794">
        <f t="shared" si="50"/>
        <v>0.10399668008577614</v>
      </c>
      <c r="U794" s="6">
        <v>0.22</v>
      </c>
      <c r="V794">
        <f t="array" ref="V794">CORREL(IFERROR(VALUE(TRIM(CLEAN($U$2:$U$1001))),0), IFERROR(VALUE(TRIM(CLEAN($P$2:$P$1001))),0))</f>
        <v>0.23135628536430677</v>
      </c>
    </row>
    <row r="795" spans="1:22" x14ac:dyDescent="0.25">
      <c r="A795">
        <v>794</v>
      </c>
      <c r="B795" s="1">
        <v>40579</v>
      </c>
      <c r="C795">
        <v>1</v>
      </c>
      <c r="D795">
        <v>0</v>
      </c>
      <c r="E795">
        <v>2</v>
      </c>
      <c r="F795">
        <v>12</v>
      </c>
      <c r="G795" t="b">
        <v>0</v>
      </c>
      <c r="H795">
        <v>6</v>
      </c>
      <c r="I795">
        <v>3</v>
      </c>
      <c r="J795">
        <v>0.22</v>
      </c>
      <c r="K795">
        <v>0.2273</v>
      </c>
      <c r="L795">
        <v>1</v>
      </c>
      <c r="M795">
        <v>0.16420000000000001</v>
      </c>
      <c r="N795">
        <v>10</v>
      </c>
      <c r="O795">
        <v>42</v>
      </c>
      <c r="P795">
        <v>52</v>
      </c>
      <c r="Q795" t="str">
        <f t="shared" si="51"/>
        <v>Weekday</v>
      </c>
      <c r="R795" t="str">
        <f t="shared" si="48"/>
        <v>Light Snow/Rain</v>
      </c>
      <c r="S795">
        <f t="shared" si="49"/>
        <v>-0.25435329828790432</v>
      </c>
      <c r="T795">
        <f t="shared" si="50"/>
        <v>0.10399668008577614</v>
      </c>
      <c r="U795" s="6">
        <v>0.22</v>
      </c>
      <c r="V795">
        <f t="array" ref="V795">CORREL(IFERROR(VALUE(TRIM(CLEAN($U$2:$U$1001))),0), IFERROR(VALUE(TRIM(CLEAN($P$2:$P$1001))),0))</f>
        <v>0.23135628536430677</v>
      </c>
    </row>
    <row r="796" spans="1:22" x14ac:dyDescent="0.25">
      <c r="A796">
        <v>795</v>
      </c>
      <c r="B796" s="1">
        <v>40579</v>
      </c>
      <c r="C796">
        <v>1</v>
      </c>
      <c r="D796">
        <v>0</v>
      </c>
      <c r="E796">
        <v>2</v>
      </c>
      <c r="F796">
        <v>13</v>
      </c>
      <c r="G796" t="b">
        <v>0</v>
      </c>
      <c r="H796">
        <v>6</v>
      </c>
      <c r="I796">
        <v>3</v>
      </c>
      <c r="J796">
        <v>0.22</v>
      </c>
      <c r="K796">
        <v>0.2273</v>
      </c>
      <c r="L796">
        <v>1</v>
      </c>
      <c r="M796">
        <v>0.16420000000000001</v>
      </c>
      <c r="N796">
        <v>10</v>
      </c>
      <c r="O796">
        <v>62</v>
      </c>
      <c r="P796">
        <v>72</v>
      </c>
      <c r="Q796" t="str">
        <f t="shared" si="51"/>
        <v>Weekday</v>
      </c>
      <c r="R796" t="str">
        <f t="shared" si="48"/>
        <v>Light Snow/Rain</v>
      </c>
      <c r="S796">
        <f t="shared" si="49"/>
        <v>-0.25435329828790432</v>
      </c>
      <c r="T796">
        <f t="shared" si="50"/>
        <v>0.10399668008577614</v>
      </c>
      <c r="U796" s="6">
        <v>0.22</v>
      </c>
      <c r="V796">
        <f t="array" ref="V796">CORREL(IFERROR(VALUE(TRIM(CLEAN($U$2:$U$1001))),0), IFERROR(VALUE(TRIM(CLEAN($P$2:$P$1001))),0))</f>
        <v>0.23135628536430677</v>
      </c>
    </row>
    <row r="797" spans="1:22" x14ac:dyDescent="0.25">
      <c r="A797">
        <v>796</v>
      </c>
      <c r="B797" s="1">
        <v>40579</v>
      </c>
      <c r="C797">
        <v>1</v>
      </c>
      <c r="D797">
        <v>0</v>
      </c>
      <c r="E797">
        <v>2</v>
      </c>
      <c r="F797">
        <v>14</v>
      </c>
      <c r="G797" t="b">
        <v>0</v>
      </c>
      <c r="H797">
        <v>6</v>
      </c>
      <c r="I797">
        <v>3</v>
      </c>
      <c r="J797">
        <v>0.22</v>
      </c>
      <c r="K797">
        <v>0.2727</v>
      </c>
      <c r="L797">
        <v>1</v>
      </c>
      <c r="M797">
        <v>0</v>
      </c>
      <c r="N797">
        <v>5</v>
      </c>
      <c r="O797">
        <v>50</v>
      </c>
      <c r="P797">
        <v>55</v>
      </c>
      <c r="Q797" t="str">
        <f t="shared" si="51"/>
        <v>Weekday</v>
      </c>
      <c r="R797" t="str">
        <f t="shared" si="48"/>
        <v>Light Snow/Rain</v>
      </c>
      <c r="S797">
        <f t="shared" si="49"/>
        <v>-0.25435329828790432</v>
      </c>
      <c r="T797">
        <f t="shared" si="50"/>
        <v>0.10399668008577614</v>
      </c>
      <c r="U797" s="6">
        <v>0.22</v>
      </c>
      <c r="V797">
        <f t="array" ref="V797">CORREL(IFERROR(VALUE(TRIM(CLEAN($U$2:$U$1001))),0), IFERROR(VALUE(TRIM(CLEAN($P$2:$P$1001))),0))</f>
        <v>0.23135628536430677</v>
      </c>
    </row>
    <row r="798" spans="1:22" x14ac:dyDescent="0.25">
      <c r="A798">
        <v>797</v>
      </c>
      <c r="B798" s="1">
        <v>40579</v>
      </c>
      <c r="C798">
        <v>1</v>
      </c>
      <c r="D798">
        <v>0</v>
      </c>
      <c r="E798">
        <v>2</v>
      </c>
      <c r="F798">
        <v>15</v>
      </c>
      <c r="G798" t="b">
        <v>0</v>
      </c>
      <c r="H798">
        <v>6</v>
      </c>
      <c r="I798">
        <v>3</v>
      </c>
      <c r="J798">
        <v>0.22</v>
      </c>
      <c r="K798">
        <v>0.2727</v>
      </c>
      <c r="L798">
        <v>1</v>
      </c>
      <c r="M798">
        <v>0</v>
      </c>
      <c r="N798">
        <v>11</v>
      </c>
      <c r="O798">
        <v>49</v>
      </c>
      <c r="P798">
        <v>60</v>
      </c>
      <c r="Q798" t="str">
        <f t="shared" si="51"/>
        <v>Weekday</v>
      </c>
      <c r="R798" t="str">
        <f t="shared" si="48"/>
        <v>Light Snow/Rain</v>
      </c>
      <c r="S798">
        <f t="shared" si="49"/>
        <v>-0.25435329828790432</v>
      </c>
      <c r="T798">
        <f t="shared" si="50"/>
        <v>0.10399668008577614</v>
      </c>
      <c r="U798" s="6">
        <v>0.22</v>
      </c>
      <c r="V798">
        <f t="array" ref="V798">CORREL(IFERROR(VALUE(TRIM(CLEAN($U$2:$U$1001))),0), IFERROR(VALUE(TRIM(CLEAN($P$2:$P$1001))),0))</f>
        <v>0.23135628536430677</v>
      </c>
    </row>
    <row r="799" spans="1:22" x14ac:dyDescent="0.25">
      <c r="A799">
        <v>798</v>
      </c>
      <c r="B799" s="1">
        <v>40579</v>
      </c>
      <c r="C799">
        <v>1</v>
      </c>
      <c r="D799">
        <v>0</v>
      </c>
      <c r="E799">
        <v>2</v>
      </c>
      <c r="F799">
        <v>16</v>
      </c>
      <c r="G799" t="b">
        <v>0</v>
      </c>
      <c r="H799">
        <v>6</v>
      </c>
      <c r="I799">
        <v>3</v>
      </c>
      <c r="J799">
        <v>0.22</v>
      </c>
      <c r="K799">
        <v>0.2273</v>
      </c>
      <c r="L799">
        <v>1</v>
      </c>
      <c r="M799">
        <v>0.1343</v>
      </c>
      <c r="N799">
        <v>8</v>
      </c>
      <c r="O799">
        <v>63</v>
      </c>
      <c r="P799">
        <v>71</v>
      </c>
      <c r="Q799" t="str">
        <f t="shared" si="51"/>
        <v>Weekend</v>
      </c>
      <c r="R799" t="str">
        <f t="shared" si="48"/>
        <v>Light Snow/Rain</v>
      </c>
      <c r="S799">
        <f t="shared" si="49"/>
        <v>-0.25435329828790432</v>
      </c>
      <c r="T799">
        <f t="shared" si="50"/>
        <v>0.10399668008577614</v>
      </c>
      <c r="U799" s="6">
        <v>0.22</v>
      </c>
      <c r="V799">
        <f t="array" ref="V799">CORREL(IFERROR(VALUE(TRIM(CLEAN($U$2:$U$1001))),0), IFERROR(VALUE(TRIM(CLEAN($P$2:$P$1001))),0))</f>
        <v>0.23135628536430677</v>
      </c>
    </row>
    <row r="800" spans="1:22" x14ac:dyDescent="0.25">
      <c r="A800">
        <v>799</v>
      </c>
      <c r="B800" s="1">
        <v>40579</v>
      </c>
      <c r="C800">
        <v>1</v>
      </c>
      <c r="D800">
        <v>0</v>
      </c>
      <c r="E800">
        <v>2</v>
      </c>
      <c r="F800">
        <v>17</v>
      </c>
      <c r="G800" t="b">
        <v>0</v>
      </c>
      <c r="H800">
        <v>6</v>
      </c>
      <c r="I800">
        <v>2</v>
      </c>
      <c r="J800">
        <v>0.24</v>
      </c>
      <c r="K800">
        <v>0.21210000000000001</v>
      </c>
      <c r="L800">
        <v>1</v>
      </c>
      <c r="M800">
        <v>0.28360000000000002</v>
      </c>
      <c r="N800">
        <v>14</v>
      </c>
      <c r="O800">
        <v>64</v>
      </c>
      <c r="P800">
        <v>78</v>
      </c>
      <c r="Q800" t="str">
        <f t="shared" si="51"/>
        <v>Weekend</v>
      </c>
      <c r="R800" t="str">
        <f t="shared" si="48"/>
        <v>Mist/Cloudy</v>
      </c>
      <c r="S800">
        <f t="shared" si="49"/>
        <v>-0.25435329828790432</v>
      </c>
      <c r="T800">
        <f t="shared" si="50"/>
        <v>0.10399668008577614</v>
      </c>
      <c r="U800" s="6">
        <v>0.24</v>
      </c>
      <c r="V800">
        <f t="array" ref="V800">CORREL(IFERROR(VALUE(TRIM(CLEAN($U$2:$U$1001))),0), IFERROR(VALUE(TRIM(CLEAN($P$2:$P$1001))),0))</f>
        <v>0.23135628536430677</v>
      </c>
    </row>
    <row r="801" spans="1:22" x14ac:dyDescent="0.25">
      <c r="A801">
        <v>800</v>
      </c>
      <c r="B801" s="1">
        <v>40579</v>
      </c>
      <c r="C801">
        <v>1</v>
      </c>
      <c r="D801">
        <v>0</v>
      </c>
      <c r="E801">
        <v>2</v>
      </c>
      <c r="F801">
        <v>18</v>
      </c>
      <c r="G801" t="b">
        <v>0</v>
      </c>
      <c r="H801">
        <v>6</v>
      </c>
      <c r="I801">
        <v>2</v>
      </c>
      <c r="J801">
        <v>0.28000000000000003</v>
      </c>
      <c r="K801">
        <v>0.2424</v>
      </c>
      <c r="L801">
        <v>0.93</v>
      </c>
      <c r="M801">
        <v>0.44779999999999998</v>
      </c>
      <c r="N801">
        <v>2</v>
      </c>
      <c r="O801">
        <v>81</v>
      </c>
      <c r="P801">
        <v>83</v>
      </c>
      <c r="Q801" t="str">
        <f t="shared" si="51"/>
        <v>Weekday</v>
      </c>
      <c r="R801" t="str">
        <f t="shared" si="48"/>
        <v>Mist/Cloudy</v>
      </c>
      <c r="S801">
        <f t="shared" si="49"/>
        <v>-0.25435329828790432</v>
      </c>
      <c r="T801">
        <f t="shared" si="50"/>
        <v>0.10399668008577614</v>
      </c>
      <c r="U801" s="6">
        <v>0.28000000000000003</v>
      </c>
      <c r="V801">
        <f t="array" ref="V801">CORREL(IFERROR(VALUE(TRIM(CLEAN($U$2:$U$1001))),0), IFERROR(VALUE(TRIM(CLEAN($P$2:$P$1001))),0))</f>
        <v>0.23135628536430677</v>
      </c>
    </row>
    <row r="802" spans="1:22" x14ac:dyDescent="0.25">
      <c r="A802">
        <v>801</v>
      </c>
      <c r="B802" s="1">
        <v>40579</v>
      </c>
      <c r="C802">
        <v>1</v>
      </c>
      <c r="D802">
        <v>0</v>
      </c>
      <c r="E802">
        <v>2</v>
      </c>
      <c r="F802">
        <v>19</v>
      </c>
      <c r="G802" t="b">
        <v>0</v>
      </c>
      <c r="H802">
        <v>6</v>
      </c>
      <c r="I802">
        <v>2</v>
      </c>
      <c r="J802">
        <v>0.28000000000000003</v>
      </c>
      <c r="K802">
        <v>0.2424</v>
      </c>
      <c r="L802">
        <v>0.93</v>
      </c>
      <c r="M802">
        <v>0.44779999999999998</v>
      </c>
      <c r="N802">
        <v>6</v>
      </c>
      <c r="O802">
        <v>78</v>
      </c>
      <c r="P802">
        <v>84</v>
      </c>
      <c r="Q802" t="str">
        <f t="shared" si="51"/>
        <v>Weekday</v>
      </c>
      <c r="R802" t="str">
        <f t="shared" si="48"/>
        <v>Mist/Cloudy</v>
      </c>
      <c r="S802">
        <f t="shared" si="49"/>
        <v>-0.25435329828790432</v>
      </c>
      <c r="T802">
        <f t="shared" si="50"/>
        <v>0.10399668008577614</v>
      </c>
      <c r="U802" s="6">
        <v>0.28000000000000003</v>
      </c>
      <c r="V802">
        <f t="array" ref="V802">CORREL(IFERROR(VALUE(TRIM(CLEAN($U$2:$U$1001))),0), IFERROR(VALUE(TRIM(CLEAN($P$2:$P$1001))),0))</f>
        <v>0.23135628536430677</v>
      </c>
    </row>
    <row r="803" spans="1:22" x14ac:dyDescent="0.25">
      <c r="A803">
        <v>802</v>
      </c>
      <c r="B803" s="1">
        <v>40579</v>
      </c>
      <c r="C803">
        <v>1</v>
      </c>
      <c r="D803">
        <v>0</v>
      </c>
      <c r="E803">
        <v>2</v>
      </c>
      <c r="F803">
        <v>20</v>
      </c>
      <c r="G803" t="b">
        <v>0</v>
      </c>
      <c r="H803">
        <v>6</v>
      </c>
      <c r="I803">
        <v>1</v>
      </c>
      <c r="J803">
        <v>0.3</v>
      </c>
      <c r="K803">
        <v>0.28789999999999999</v>
      </c>
      <c r="L803">
        <v>0.87</v>
      </c>
      <c r="M803">
        <v>0.25369999999999998</v>
      </c>
      <c r="N803">
        <v>5</v>
      </c>
      <c r="O803">
        <v>64</v>
      </c>
      <c r="P803">
        <v>69</v>
      </c>
      <c r="Q803" t="str">
        <f t="shared" si="51"/>
        <v>Weekday</v>
      </c>
      <c r="R803" t="str">
        <f t="shared" si="48"/>
        <v>Clear</v>
      </c>
      <c r="S803">
        <f t="shared" si="49"/>
        <v>-0.25435329828790432</v>
      </c>
      <c r="T803">
        <f t="shared" si="50"/>
        <v>0.10399668008577614</v>
      </c>
      <c r="U803" s="6">
        <v>0.3</v>
      </c>
      <c r="V803">
        <f t="array" ref="V803">CORREL(IFERROR(VALUE(TRIM(CLEAN($U$2:$U$1001))),0), IFERROR(VALUE(TRIM(CLEAN($P$2:$P$1001))),0))</f>
        <v>0.23135628536430677</v>
      </c>
    </row>
    <row r="804" spans="1:22" x14ac:dyDescent="0.25">
      <c r="A804">
        <v>803</v>
      </c>
      <c r="B804" s="1">
        <v>40579</v>
      </c>
      <c r="C804">
        <v>1</v>
      </c>
      <c r="D804">
        <v>0</v>
      </c>
      <c r="E804">
        <v>2</v>
      </c>
      <c r="F804">
        <v>21</v>
      </c>
      <c r="G804" t="b">
        <v>0</v>
      </c>
      <c r="H804">
        <v>6</v>
      </c>
      <c r="I804">
        <v>1</v>
      </c>
      <c r="J804">
        <v>0.26</v>
      </c>
      <c r="K804">
        <v>0.2576</v>
      </c>
      <c r="L804">
        <v>1</v>
      </c>
      <c r="M804">
        <v>0.19400000000000001</v>
      </c>
      <c r="N804">
        <v>3</v>
      </c>
      <c r="O804">
        <v>53</v>
      </c>
      <c r="P804">
        <v>56</v>
      </c>
      <c r="Q804" t="str">
        <f t="shared" si="51"/>
        <v>Weekday</v>
      </c>
      <c r="R804" t="str">
        <f t="shared" si="48"/>
        <v>Clear</v>
      </c>
      <c r="S804">
        <f t="shared" si="49"/>
        <v>-0.25435329828790432</v>
      </c>
      <c r="T804">
        <f t="shared" si="50"/>
        <v>0.10399668008577614</v>
      </c>
      <c r="U804" s="6">
        <v>0.26</v>
      </c>
      <c r="V804">
        <f t="array" ref="V804">CORREL(IFERROR(VALUE(TRIM(CLEAN($U$2:$U$1001))),0), IFERROR(VALUE(TRIM(CLEAN($P$2:$P$1001))),0))</f>
        <v>0.23135628536430677</v>
      </c>
    </row>
    <row r="805" spans="1:22" x14ac:dyDescent="0.25">
      <c r="A805">
        <v>804</v>
      </c>
      <c r="B805" s="1">
        <v>40579</v>
      </c>
      <c r="C805">
        <v>1</v>
      </c>
      <c r="D805">
        <v>0</v>
      </c>
      <c r="E805">
        <v>2</v>
      </c>
      <c r="F805">
        <v>22</v>
      </c>
      <c r="G805" t="b">
        <v>0</v>
      </c>
      <c r="H805">
        <v>6</v>
      </c>
      <c r="I805">
        <v>1</v>
      </c>
      <c r="J805">
        <v>0.26</v>
      </c>
      <c r="K805">
        <v>0.2727</v>
      </c>
      <c r="L805">
        <v>0.93</v>
      </c>
      <c r="M805">
        <v>0.1343</v>
      </c>
      <c r="N805">
        <v>2</v>
      </c>
      <c r="O805">
        <v>43</v>
      </c>
      <c r="P805">
        <v>45</v>
      </c>
      <c r="Q805" t="str">
        <f t="shared" si="51"/>
        <v>Weekday</v>
      </c>
      <c r="R805" t="str">
        <f t="shared" si="48"/>
        <v>Clear</v>
      </c>
      <c r="S805">
        <f t="shared" si="49"/>
        <v>-0.25435329828790432</v>
      </c>
      <c r="T805">
        <f t="shared" si="50"/>
        <v>0.10399668008577614</v>
      </c>
      <c r="U805" s="6">
        <v>0.26</v>
      </c>
      <c r="V805">
        <f t="array" ref="V805">CORREL(IFERROR(VALUE(TRIM(CLEAN($U$2:$U$1001))),0), IFERROR(VALUE(TRIM(CLEAN($P$2:$P$1001))),0))</f>
        <v>0.23135628536430677</v>
      </c>
    </row>
    <row r="806" spans="1:22" x14ac:dyDescent="0.25">
      <c r="A806">
        <v>805</v>
      </c>
      <c r="B806" s="1">
        <v>40579</v>
      </c>
      <c r="C806">
        <v>1</v>
      </c>
      <c r="D806">
        <v>0</v>
      </c>
      <c r="E806">
        <v>2</v>
      </c>
      <c r="F806">
        <v>23</v>
      </c>
      <c r="G806" t="b">
        <v>0</v>
      </c>
      <c r="H806">
        <v>6</v>
      </c>
      <c r="I806">
        <v>1</v>
      </c>
      <c r="J806">
        <v>0.26</v>
      </c>
      <c r="K806">
        <v>0.2576</v>
      </c>
      <c r="L806">
        <v>0.93</v>
      </c>
      <c r="M806">
        <v>0.22389999999999999</v>
      </c>
      <c r="N806">
        <v>7</v>
      </c>
      <c r="O806">
        <v>52</v>
      </c>
      <c r="P806">
        <v>59</v>
      </c>
      <c r="Q806" t="str">
        <f t="shared" si="51"/>
        <v>Weekend</v>
      </c>
      <c r="R806" t="str">
        <f t="shared" si="48"/>
        <v>Clear</v>
      </c>
      <c r="S806">
        <f t="shared" si="49"/>
        <v>-0.25435329828790432</v>
      </c>
      <c r="T806">
        <f t="shared" si="50"/>
        <v>0.10399668008577614</v>
      </c>
      <c r="U806" s="6">
        <v>0.26</v>
      </c>
      <c r="V806">
        <f t="array" ref="V806">CORREL(IFERROR(VALUE(TRIM(CLEAN($U$2:$U$1001))),0), IFERROR(VALUE(TRIM(CLEAN($P$2:$P$1001))),0))</f>
        <v>0.23135628536430677</v>
      </c>
    </row>
    <row r="807" spans="1:22" x14ac:dyDescent="0.25">
      <c r="A807">
        <v>806</v>
      </c>
      <c r="B807" s="1">
        <v>40580</v>
      </c>
      <c r="C807">
        <v>1</v>
      </c>
      <c r="D807">
        <v>0</v>
      </c>
      <c r="E807">
        <v>2</v>
      </c>
      <c r="F807">
        <v>0</v>
      </c>
      <c r="G807" t="b">
        <v>0</v>
      </c>
      <c r="H807">
        <v>0</v>
      </c>
      <c r="I807">
        <v>1</v>
      </c>
      <c r="J807">
        <v>0.26</v>
      </c>
      <c r="K807">
        <v>0.2576</v>
      </c>
      <c r="L807">
        <v>0.7</v>
      </c>
      <c r="M807">
        <v>0.19400000000000001</v>
      </c>
      <c r="N807">
        <v>2</v>
      </c>
      <c r="O807">
        <v>37</v>
      </c>
      <c r="P807">
        <v>39</v>
      </c>
      <c r="Q807" t="str">
        <f t="shared" si="51"/>
        <v>Weekend</v>
      </c>
      <c r="R807" t="str">
        <f t="shared" si="48"/>
        <v>Clear</v>
      </c>
      <c r="S807">
        <f t="shared" si="49"/>
        <v>-0.25435329828790432</v>
      </c>
      <c r="T807">
        <f t="shared" si="50"/>
        <v>0.10399668008577614</v>
      </c>
      <c r="U807" s="6">
        <v>0.26</v>
      </c>
      <c r="V807">
        <f t="array" ref="V807">CORREL(IFERROR(VALUE(TRIM(CLEAN($U$2:$U$1001))),0), IFERROR(VALUE(TRIM(CLEAN($P$2:$P$1001))),0))</f>
        <v>0.23135628536430677</v>
      </c>
    </row>
    <row r="808" spans="1:22" x14ac:dyDescent="0.25">
      <c r="A808">
        <v>807</v>
      </c>
      <c r="B808" s="1">
        <v>40580</v>
      </c>
      <c r="C808">
        <v>1</v>
      </c>
      <c r="D808">
        <v>0</v>
      </c>
      <c r="E808">
        <v>2</v>
      </c>
      <c r="F808">
        <v>1</v>
      </c>
      <c r="G808" t="b">
        <v>0</v>
      </c>
      <c r="H808">
        <v>0</v>
      </c>
      <c r="I808">
        <v>1</v>
      </c>
      <c r="J808">
        <v>0.26</v>
      </c>
      <c r="K808">
        <v>0.2273</v>
      </c>
      <c r="L808">
        <v>0.65</v>
      </c>
      <c r="M808">
        <v>0.41789999999999999</v>
      </c>
      <c r="N808">
        <v>4</v>
      </c>
      <c r="O808">
        <v>40</v>
      </c>
      <c r="P808">
        <v>44</v>
      </c>
      <c r="Q808" t="str">
        <f t="shared" si="51"/>
        <v>Weekday</v>
      </c>
      <c r="R808" t="str">
        <f t="shared" si="48"/>
        <v>Clear</v>
      </c>
      <c r="S808">
        <f t="shared" si="49"/>
        <v>-0.25435329828790432</v>
      </c>
      <c r="T808">
        <f t="shared" si="50"/>
        <v>0.10399668008577614</v>
      </c>
      <c r="U808" s="6">
        <v>0.26</v>
      </c>
      <c r="V808">
        <f t="array" ref="V808">CORREL(IFERROR(VALUE(TRIM(CLEAN($U$2:$U$1001))),0), IFERROR(VALUE(TRIM(CLEAN($P$2:$P$1001))),0))</f>
        <v>0.23135628536430677</v>
      </c>
    </row>
    <row r="809" spans="1:22" x14ac:dyDescent="0.25">
      <c r="A809">
        <v>808</v>
      </c>
      <c r="B809" s="1">
        <v>40580</v>
      </c>
      <c r="C809">
        <v>1</v>
      </c>
      <c r="D809">
        <v>0</v>
      </c>
      <c r="E809">
        <v>2</v>
      </c>
      <c r="F809">
        <v>2</v>
      </c>
      <c r="G809" t="b">
        <v>0</v>
      </c>
      <c r="H809">
        <v>0</v>
      </c>
      <c r="I809">
        <v>1</v>
      </c>
      <c r="J809">
        <v>0.26</v>
      </c>
      <c r="K809">
        <v>0.2273</v>
      </c>
      <c r="L809">
        <v>0.6</v>
      </c>
      <c r="M809">
        <v>0.32840000000000003</v>
      </c>
      <c r="N809">
        <v>0</v>
      </c>
      <c r="O809">
        <v>20</v>
      </c>
      <c r="P809">
        <v>20</v>
      </c>
      <c r="Q809" t="str">
        <f t="shared" si="51"/>
        <v>Weekday</v>
      </c>
      <c r="R809" t="str">
        <f t="shared" si="48"/>
        <v>Clear</v>
      </c>
      <c r="S809">
        <f t="shared" si="49"/>
        <v>-0.25435329828790432</v>
      </c>
      <c r="T809">
        <f t="shared" si="50"/>
        <v>0.10399668008577614</v>
      </c>
      <c r="U809" s="6">
        <v>0.26</v>
      </c>
      <c r="V809">
        <f t="array" ref="V809">CORREL(IFERROR(VALUE(TRIM(CLEAN($U$2:$U$1001))),0), IFERROR(VALUE(TRIM(CLEAN($P$2:$P$1001))),0))</f>
        <v>0.23135628536430677</v>
      </c>
    </row>
    <row r="810" spans="1:22" x14ac:dyDescent="0.25">
      <c r="A810">
        <v>809</v>
      </c>
      <c r="B810" s="1">
        <v>40580</v>
      </c>
      <c r="C810">
        <v>1</v>
      </c>
      <c r="D810">
        <v>0</v>
      </c>
      <c r="E810">
        <v>2</v>
      </c>
      <c r="F810">
        <v>3</v>
      </c>
      <c r="G810" t="b">
        <v>0</v>
      </c>
      <c r="H810">
        <v>0</v>
      </c>
      <c r="I810">
        <v>1</v>
      </c>
      <c r="J810">
        <v>0.26</v>
      </c>
      <c r="K810">
        <v>0.28789999999999999</v>
      </c>
      <c r="L810">
        <v>0.6</v>
      </c>
      <c r="M810">
        <v>8.9599999999999999E-2</v>
      </c>
      <c r="N810">
        <v>3</v>
      </c>
      <c r="O810">
        <v>10</v>
      </c>
      <c r="P810">
        <v>13</v>
      </c>
      <c r="Q810" t="str">
        <f t="shared" si="51"/>
        <v>Weekday</v>
      </c>
      <c r="R810" t="str">
        <f t="shared" si="48"/>
        <v>Clear</v>
      </c>
      <c r="S810">
        <f t="shared" si="49"/>
        <v>-0.25435329828790432</v>
      </c>
      <c r="T810">
        <f t="shared" si="50"/>
        <v>0.10399668008577614</v>
      </c>
      <c r="U810" s="6">
        <v>0.26</v>
      </c>
      <c r="V810">
        <f t="array" ref="V810">CORREL(IFERROR(VALUE(TRIM(CLEAN($U$2:$U$1001))),0), IFERROR(VALUE(TRIM(CLEAN($P$2:$P$1001))),0))</f>
        <v>0.23135628536430677</v>
      </c>
    </row>
    <row r="811" spans="1:22" x14ac:dyDescent="0.25">
      <c r="A811">
        <v>810</v>
      </c>
      <c r="B811" s="1">
        <v>40580</v>
      </c>
      <c r="C811">
        <v>1</v>
      </c>
      <c r="D811">
        <v>0</v>
      </c>
      <c r="E811">
        <v>2</v>
      </c>
      <c r="F811">
        <v>4</v>
      </c>
      <c r="G811" t="b">
        <v>0</v>
      </c>
      <c r="H811">
        <v>0</v>
      </c>
      <c r="I811">
        <v>1</v>
      </c>
      <c r="J811">
        <v>0.26</v>
      </c>
      <c r="K811">
        <v>0.2273</v>
      </c>
      <c r="L811">
        <v>0.6</v>
      </c>
      <c r="M811">
        <v>0.35820000000000002</v>
      </c>
      <c r="N811">
        <v>0</v>
      </c>
      <c r="O811">
        <v>2</v>
      </c>
      <c r="P811">
        <v>2</v>
      </c>
      <c r="Q811" t="str">
        <f t="shared" si="51"/>
        <v>Weekday</v>
      </c>
      <c r="R811" t="str">
        <f t="shared" si="48"/>
        <v>Clear</v>
      </c>
      <c r="S811">
        <f t="shared" si="49"/>
        <v>-0.25435329828790432</v>
      </c>
      <c r="T811">
        <f t="shared" si="50"/>
        <v>0.10399668008577614</v>
      </c>
      <c r="U811" s="6">
        <v>0.26</v>
      </c>
      <c r="V811">
        <f t="array" ref="V811">CORREL(IFERROR(VALUE(TRIM(CLEAN($U$2:$U$1001))),0), IFERROR(VALUE(TRIM(CLEAN($P$2:$P$1001))),0))</f>
        <v>0.23135628536430677</v>
      </c>
    </row>
    <row r="812" spans="1:22" x14ac:dyDescent="0.25">
      <c r="A812">
        <v>811</v>
      </c>
      <c r="B812" s="1">
        <v>40580</v>
      </c>
      <c r="C812">
        <v>1</v>
      </c>
      <c r="D812">
        <v>0</v>
      </c>
      <c r="E812">
        <v>2</v>
      </c>
      <c r="F812">
        <v>5</v>
      </c>
      <c r="G812" t="b">
        <v>0</v>
      </c>
      <c r="H812">
        <v>0</v>
      </c>
      <c r="I812">
        <v>1</v>
      </c>
      <c r="J812">
        <v>0.26</v>
      </c>
      <c r="K812">
        <v>0.2576</v>
      </c>
      <c r="L812">
        <v>0.6</v>
      </c>
      <c r="M812">
        <v>0.22389999999999999</v>
      </c>
      <c r="N812">
        <v>0</v>
      </c>
      <c r="O812">
        <v>1</v>
      </c>
      <c r="P812">
        <v>1</v>
      </c>
      <c r="Q812" t="str">
        <f t="shared" si="51"/>
        <v>Weekday</v>
      </c>
      <c r="R812" t="str">
        <f t="shared" si="48"/>
        <v>Clear</v>
      </c>
      <c r="S812">
        <f t="shared" si="49"/>
        <v>-0.25435329828790432</v>
      </c>
      <c r="T812">
        <f t="shared" si="50"/>
        <v>0.10399668008577614</v>
      </c>
      <c r="U812" s="6">
        <v>0.26</v>
      </c>
      <c r="V812">
        <f t="array" ref="V812">CORREL(IFERROR(VALUE(TRIM(CLEAN($U$2:$U$1001))),0), IFERROR(VALUE(TRIM(CLEAN($P$2:$P$1001))),0))</f>
        <v>0.23135628536430677</v>
      </c>
    </row>
    <row r="813" spans="1:22" x14ac:dyDescent="0.25">
      <c r="A813">
        <v>812</v>
      </c>
      <c r="B813" s="1">
        <v>40580</v>
      </c>
      <c r="C813">
        <v>1</v>
      </c>
      <c r="D813">
        <v>0</v>
      </c>
      <c r="E813">
        <v>2</v>
      </c>
      <c r="F813">
        <v>6</v>
      </c>
      <c r="G813" t="b">
        <v>0</v>
      </c>
      <c r="H813">
        <v>0</v>
      </c>
      <c r="I813">
        <v>1</v>
      </c>
      <c r="J813">
        <v>0.26</v>
      </c>
      <c r="K813">
        <v>0.2576</v>
      </c>
      <c r="L813">
        <v>0.6</v>
      </c>
      <c r="M813">
        <v>0.22389999999999999</v>
      </c>
      <c r="N813">
        <v>0</v>
      </c>
      <c r="O813">
        <v>1</v>
      </c>
      <c r="P813">
        <v>1</v>
      </c>
      <c r="Q813" t="str">
        <f t="shared" si="51"/>
        <v>Weekend</v>
      </c>
      <c r="R813" t="str">
        <f t="shared" si="48"/>
        <v>Clear</v>
      </c>
      <c r="S813">
        <f t="shared" si="49"/>
        <v>-0.25435329828790432</v>
      </c>
      <c r="T813">
        <f t="shared" si="50"/>
        <v>0.10399668008577614</v>
      </c>
      <c r="U813" s="6">
        <v>0.26</v>
      </c>
      <c r="V813">
        <f t="array" ref="V813">CORREL(IFERROR(VALUE(TRIM(CLEAN($U$2:$U$1001))),0), IFERROR(VALUE(TRIM(CLEAN($P$2:$P$1001))),0))</f>
        <v>0.23135628536430677</v>
      </c>
    </row>
    <row r="814" spans="1:22" x14ac:dyDescent="0.25">
      <c r="A814">
        <v>813</v>
      </c>
      <c r="B814" s="1">
        <v>40580</v>
      </c>
      <c r="C814">
        <v>1</v>
      </c>
      <c r="D814">
        <v>0</v>
      </c>
      <c r="E814">
        <v>2</v>
      </c>
      <c r="F814">
        <v>7</v>
      </c>
      <c r="G814" t="b">
        <v>0</v>
      </c>
      <c r="H814">
        <v>0</v>
      </c>
      <c r="I814">
        <v>1</v>
      </c>
      <c r="J814">
        <v>0.24</v>
      </c>
      <c r="K814">
        <v>0.2424</v>
      </c>
      <c r="L814">
        <v>0.65</v>
      </c>
      <c r="M814">
        <v>0.16420000000000001</v>
      </c>
      <c r="N814">
        <v>0</v>
      </c>
      <c r="O814">
        <v>8</v>
      </c>
      <c r="P814">
        <v>8</v>
      </c>
      <c r="Q814" t="str">
        <f t="shared" si="51"/>
        <v>Weekend</v>
      </c>
      <c r="R814" t="str">
        <f t="shared" si="48"/>
        <v>Clear</v>
      </c>
      <c r="S814">
        <f t="shared" si="49"/>
        <v>-0.25435329828790432</v>
      </c>
      <c r="T814">
        <f t="shared" si="50"/>
        <v>0.10399668008577614</v>
      </c>
      <c r="U814" s="6">
        <v>0.24</v>
      </c>
      <c r="V814">
        <f t="array" ref="V814">CORREL(IFERROR(VALUE(TRIM(CLEAN($U$2:$U$1001))),0), IFERROR(VALUE(TRIM(CLEAN($P$2:$P$1001))),0))</f>
        <v>0.23135628536430677</v>
      </c>
    </row>
    <row r="815" spans="1:22" x14ac:dyDescent="0.25">
      <c r="A815">
        <v>814</v>
      </c>
      <c r="B815" s="1">
        <v>40580</v>
      </c>
      <c r="C815">
        <v>1</v>
      </c>
      <c r="D815">
        <v>0</v>
      </c>
      <c r="E815">
        <v>2</v>
      </c>
      <c r="F815">
        <v>8</v>
      </c>
      <c r="G815" t="b">
        <v>0</v>
      </c>
      <c r="H815">
        <v>0</v>
      </c>
      <c r="I815">
        <v>1</v>
      </c>
      <c r="J815">
        <v>0.24</v>
      </c>
      <c r="K815">
        <v>0.2576</v>
      </c>
      <c r="L815">
        <v>0.65</v>
      </c>
      <c r="M815">
        <v>0.1045</v>
      </c>
      <c r="N815">
        <v>2</v>
      </c>
      <c r="O815">
        <v>21</v>
      </c>
      <c r="P815">
        <v>23</v>
      </c>
      <c r="Q815" t="str">
        <f t="shared" si="51"/>
        <v>Weekday</v>
      </c>
      <c r="R815" t="str">
        <f t="shared" si="48"/>
        <v>Clear</v>
      </c>
      <c r="S815">
        <f t="shared" si="49"/>
        <v>-0.25435329828790432</v>
      </c>
      <c r="T815">
        <f t="shared" si="50"/>
        <v>0.10399668008577614</v>
      </c>
      <c r="U815" s="6">
        <v>0.24</v>
      </c>
      <c r="V815">
        <f t="array" ref="V815">CORREL(IFERROR(VALUE(TRIM(CLEAN($U$2:$U$1001))),0), IFERROR(VALUE(TRIM(CLEAN($P$2:$P$1001))),0))</f>
        <v>0.23135628536430677</v>
      </c>
    </row>
    <row r="816" spans="1:22" x14ac:dyDescent="0.25">
      <c r="A816">
        <v>815</v>
      </c>
      <c r="B816" s="1">
        <v>40580</v>
      </c>
      <c r="C816">
        <v>1</v>
      </c>
      <c r="D816">
        <v>0</v>
      </c>
      <c r="E816">
        <v>2</v>
      </c>
      <c r="F816">
        <v>9</v>
      </c>
      <c r="G816" t="b">
        <v>0</v>
      </c>
      <c r="H816">
        <v>0</v>
      </c>
      <c r="I816">
        <v>1</v>
      </c>
      <c r="J816">
        <v>0.28000000000000003</v>
      </c>
      <c r="K816">
        <v>0.28789999999999999</v>
      </c>
      <c r="L816">
        <v>0.56000000000000005</v>
      </c>
      <c r="M816">
        <v>0.1045</v>
      </c>
      <c r="N816">
        <v>7</v>
      </c>
      <c r="O816">
        <v>38</v>
      </c>
      <c r="P816">
        <v>45</v>
      </c>
      <c r="Q816" t="str">
        <f t="shared" si="51"/>
        <v>Weekday</v>
      </c>
      <c r="R816" t="str">
        <f t="shared" si="48"/>
        <v>Clear</v>
      </c>
      <c r="S816">
        <f t="shared" si="49"/>
        <v>-0.25435329828790432</v>
      </c>
      <c r="T816">
        <f t="shared" si="50"/>
        <v>0.10399668008577614</v>
      </c>
      <c r="U816" s="6">
        <v>0.28000000000000003</v>
      </c>
      <c r="V816">
        <f t="array" ref="V816">CORREL(IFERROR(VALUE(TRIM(CLEAN($U$2:$U$1001))),0), IFERROR(VALUE(TRIM(CLEAN($P$2:$P$1001))),0))</f>
        <v>0.23135628536430677</v>
      </c>
    </row>
    <row r="817" spans="1:22" x14ac:dyDescent="0.25">
      <c r="A817">
        <v>816</v>
      </c>
      <c r="B817" s="1">
        <v>40580</v>
      </c>
      <c r="C817">
        <v>1</v>
      </c>
      <c r="D817">
        <v>0</v>
      </c>
      <c r="E817">
        <v>2</v>
      </c>
      <c r="F817">
        <v>10</v>
      </c>
      <c r="G817" t="b">
        <v>0</v>
      </c>
      <c r="H817">
        <v>0</v>
      </c>
      <c r="I817">
        <v>1</v>
      </c>
      <c r="J817">
        <v>0.3</v>
      </c>
      <c r="K817">
        <v>0.28789999999999999</v>
      </c>
      <c r="L817">
        <v>0.52</v>
      </c>
      <c r="M817">
        <v>0.25369999999999998</v>
      </c>
      <c r="N817">
        <v>15</v>
      </c>
      <c r="O817">
        <v>74</v>
      </c>
      <c r="P817">
        <v>89</v>
      </c>
      <c r="Q817" t="str">
        <f t="shared" si="51"/>
        <v>Weekday</v>
      </c>
      <c r="R817" t="str">
        <f t="shared" si="48"/>
        <v>Clear</v>
      </c>
      <c r="S817">
        <f t="shared" si="49"/>
        <v>-0.25435329828790432</v>
      </c>
      <c r="T817">
        <f t="shared" si="50"/>
        <v>0.10399668008577614</v>
      </c>
      <c r="U817" s="6">
        <v>0.3</v>
      </c>
      <c r="V817">
        <f t="array" ref="V817">CORREL(IFERROR(VALUE(TRIM(CLEAN($U$2:$U$1001))),0), IFERROR(VALUE(TRIM(CLEAN($P$2:$P$1001))),0))</f>
        <v>0.23135628536430677</v>
      </c>
    </row>
    <row r="818" spans="1:22" x14ac:dyDescent="0.25">
      <c r="A818">
        <v>817</v>
      </c>
      <c r="B818" s="1">
        <v>40580</v>
      </c>
      <c r="C818">
        <v>1</v>
      </c>
      <c r="D818">
        <v>0</v>
      </c>
      <c r="E818">
        <v>2</v>
      </c>
      <c r="F818">
        <v>11</v>
      </c>
      <c r="G818" t="b">
        <v>0</v>
      </c>
      <c r="H818">
        <v>0</v>
      </c>
      <c r="I818">
        <v>1</v>
      </c>
      <c r="J818">
        <v>0.32</v>
      </c>
      <c r="K818">
        <v>0.30299999999999999</v>
      </c>
      <c r="L818">
        <v>0.49</v>
      </c>
      <c r="M818">
        <v>0.25369999999999998</v>
      </c>
      <c r="N818">
        <v>28</v>
      </c>
      <c r="O818">
        <v>89</v>
      </c>
      <c r="P818">
        <v>117</v>
      </c>
      <c r="Q818" t="str">
        <f t="shared" si="51"/>
        <v>Weekday</v>
      </c>
      <c r="R818" t="str">
        <f t="shared" si="48"/>
        <v>Clear</v>
      </c>
      <c r="S818">
        <f t="shared" si="49"/>
        <v>-0.25435329828790432</v>
      </c>
      <c r="T818">
        <f t="shared" si="50"/>
        <v>0.10399668008577614</v>
      </c>
      <c r="U818" s="6">
        <v>0.32</v>
      </c>
      <c r="V818">
        <f t="array" ref="V818">CORREL(IFERROR(VALUE(TRIM(CLEAN($U$2:$U$1001))),0), IFERROR(VALUE(TRIM(CLEAN($P$2:$P$1001))),0))</f>
        <v>0.23135628536430677</v>
      </c>
    </row>
    <row r="819" spans="1:22" x14ac:dyDescent="0.25">
      <c r="A819">
        <v>818</v>
      </c>
      <c r="B819" s="1">
        <v>40580</v>
      </c>
      <c r="C819">
        <v>1</v>
      </c>
      <c r="D819">
        <v>0</v>
      </c>
      <c r="E819">
        <v>2</v>
      </c>
      <c r="F819">
        <v>12</v>
      </c>
      <c r="G819" t="b">
        <v>0</v>
      </c>
      <c r="H819">
        <v>0</v>
      </c>
      <c r="I819">
        <v>1</v>
      </c>
      <c r="J819">
        <v>0.34</v>
      </c>
      <c r="K819">
        <v>0.33329999999999999</v>
      </c>
      <c r="L819">
        <v>0.46</v>
      </c>
      <c r="M819">
        <v>0</v>
      </c>
      <c r="N819">
        <v>48</v>
      </c>
      <c r="O819">
        <v>126</v>
      </c>
      <c r="P819">
        <v>174</v>
      </c>
      <c r="Q819" t="str">
        <f t="shared" si="51"/>
        <v>Weekday</v>
      </c>
      <c r="R819" t="str">
        <f t="shared" si="48"/>
        <v>Clear</v>
      </c>
      <c r="S819">
        <f t="shared" si="49"/>
        <v>-0.25435329828790432</v>
      </c>
      <c r="T819">
        <f t="shared" si="50"/>
        <v>0.10399668008577614</v>
      </c>
      <c r="U819" s="6">
        <v>0.34</v>
      </c>
      <c r="V819">
        <f t="array" ref="V819">CORREL(IFERROR(VALUE(TRIM(CLEAN($U$2:$U$1001))),0), IFERROR(VALUE(TRIM(CLEAN($P$2:$P$1001))),0))</f>
        <v>0.23135628536430677</v>
      </c>
    </row>
    <row r="820" spans="1:22" x14ac:dyDescent="0.25">
      <c r="A820">
        <v>819</v>
      </c>
      <c r="B820" s="1">
        <v>40580</v>
      </c>
      <c r="C820">
        <v>1</v>
      </c>
      <c r="D820">
        <v>0</v>
      </c>
      <c r="E820">
        <v>2</v>
      </c>
      <c r="F820">
        <v>13</v>
      </c>
      <c r="G820" t="b">
        <v>0</v>
      </c>
      <c r="H820">
        <v>0</v>
      </c>
      <c r="I820">
        <v>1</v>
      </c>
      <c r="J820">
        <v>0.34</v>
      </c>
      <c r="K820">
        <v>0.36359999999999998</v>
      </c>
      <c r="L820">
        <v>0.46</v>
      </c>
      <c r="M820">
        <v>0</v>
      </c>
      <c r="N820">
        <v>47</v>
      </c>
      <c r="O820">
        <v>135</v>
      </c>
      <c r="P820">
        <v>182</v>
      </c>
      <c r="Q820" t="str">
        <f t="shared" si="51"/>
        <v>Weekend</v>
      </c>
      <c r="R820" t="str">
        <f t="shared" si="48"/>
        <v>Clear</v>
      </c>
      <c r="S820">
        <f t="shared" si="49"/>
        <v>-0.25435329828790432</v>
      </c>
      <c r="T820">
        <f t="shared" si="50"/>
        <v>0.10399668008577614</v>
      </c>
      <c r="U820" s="6">
        <v>0.34</v>
      </c>
      <c r="V820">
        <f t="array" ref="V820">CORREL(IFERROR(VALUE(TRIM(CLEAN($U$2:$U$1001))),0), IFERROR(VALUE(TRIM(CLEAN($P$2:$P$1001))),0))</f>
        <v>0.23135628536430677</v>
      </c>
    </row>
    <row r="821" spans="1:22" x14ac:dyDescent="0.25">
      <c r="A821">
        <v>820</v>
      </c>
      <c r="B821" s="1">
        <v>40580</v>
      </c>
      <c r="C821">
        <v>1</v>
      </c>
      <c r="D821">
        <v>0</v>
      </c>
      <c r="E821">
        <v>2</v>
      </c>
      <c r="F821">
        <v>14</v>
      </c>
      <c r="G821" t="b">
        <v>0</v>
      </c>
      <c r="H821">
        <v>0</v>
      </c>
      <c r="I821">
        <v>1</v>
      </c>
      <c r="J821">
        <v>0.34</v>
      </c>
      <c r="K821">
        <v>0.34849999999999998</v>
      </c>
      <c r="L821">
        <v>0.46</v>
      </c>
      <c r="M821">
        <v>8.9599999999999999E-2</v>
      </c>
      <c r="N821">
        <v>47</v>
      </c>
      <c r="O821">
        <v>114</v>
      </c>
      <c r="P821">
        <v>161</v>
      </c>
      <c r="Q821" t="str">
        <f t="shared" si="51"/>
        <v>Weekend</v>
      </c>
      <c r="R821" t="str">
        <f t="shared" si="48"/>
        <v>Clear</v>
      </c>
      <c r="S821">
        <f t="shared" si="49"/>
        <v>-0.25435329828790432</v>
      </c>
      <c r="T821">
        <f t="shared" si="50"/>
        <v>0.10399668008577614</v>
      </c>
      <c r="U821" s="6">
        <v>0.34</v>
      </c>
      <c r="V821">
        <f t="array" ref="V821">CORREL(IFERROR(VALUE(TRIM(CLEAN($U$2:$U$1001))),0), IFERROR(VALUE(TRIM(CLEAN($P$2:$P$1001))),0))</f>
        <v>0.23135628536430677</v>
      </c>
    </row>
    <row r="822" spans="1:22" x14ac:dyDescent="0.25">
      <c r="A822">
        <v>821</v>
      </c>
      <c r="B822" s="1">
        <v>40580</v>
      </c>
      <c r="C822">
        <v>1</v>
      </c>
      <c r="D822">
        <v>0</v>
      </c>
      <c r="E822">
        <v>2</v>
      </c>
      <c r="F822">
        <v>15</v>
      </c>
      <c r="G822" t="b">
        <v>0</v>
      </c>
      <c r="H822">
        <v>0</v>
      </c>
      <c r="I822">
        <v>1</v>
      </c>
      <c r="J822">
        <v>0.34</v>
      </c>
      <c r="K822">
        <v>0.34849999999999998</v>
      </c>
      <c r="L822">
        <v>0.46</v>
      </c>
      <c r="M822">
        <v>8.9599999999999999E-2</v>
      </c>
      <c r="N822">
        <v>52</v>
      </c>
      <c r="O822">
        <v>130</v>
      </c>
      <c r="P822">
        <v>182</v>
      </c>
      <c r="Q822" t="str">
        <f t="shared" si="51"/>
        <v>Weekday</v>
      </c>
      <c r="R822" t="str">
        <f t="shared" si="48"/>
        <v>Clear</v>
      </c>
      <c r="S822">
        <f t="shared" si="49"/>
        <v>-0.25435329828790432</v>
      </c>
      <c r="T822">
        <f t="shared" si="50"/>
        <v>0.10399668008577614</v>
      </c>
      <c r="U822" s="6">
        <v>0.34</v>
      </c>
      <c r="V822">
        <f t="array" ref="V822">CORREL(IFERROR(VALUE(TRIM(CLEAN($U$2:$U$1001))),0), IFERROR(VALUE(TRIM(CLEAN($P$2:$P$1001))),0))</f>
        <v>0.23135628536430677</v>
      </c>
    </row>
    <row r="823" spans="1:22" x14ac:dyDescent="0.25">
      <c r="A823">
        <v>822</v>
      </c>
      <c r="B823" s="1">
        <v>40580</v>
      </c>
      <c r="C823">
        <v>1</v>
      </c>
      <c r="D823">
        <v>0</v>
      </c>
      <c r="E823">
        <v>2</v>
      </c>
      <c r="F823">
        <v>16</v>
      </c>
      <c r="G823" t="b">
        <v>0</v>
      </c>
      <c r="H823">
        <v>0</v>
      </c>
      <c r="I823">
        <v>1</v>
      </c>
      <c r="J823">
        <v>0.34</v>
      </c>
      <c r="K823">
        <v>0.34849999999999998</v>
      </c>
      <c r="L823">
        <v>0.49</v>
      </c>
      <c r="M823">
        <v>0.1045</v>
      </c>
      <c r="N823">
        <v>42</v>
      </c>
      <c r="O823">
        <v>115</v>
      </c>
      <c r="P823">
        <v>157</v>
      </c>
      <c r="Q823" t="str">
        <f t="shared" si="51"/>
        <v>Weekday</v>
      </c>
      <c r="R823" t="str">
        <f t="shared" si="48"/>
        <v>Clear</v>
      </c>
      <c r="S823">
        <f t="shared" si="49"/>
        <v>-0.25435329828790432</v>
      </c>
      <c r="T823">
        <f t="shared" si="50"/>
        <v>0.10399668008577614</v>
      </c>
      <c r="U823" s="6">
        <v>0.34</v>
      </c>
      <c r="V823">
        <f t="array" ref="V823">CORREL(IFERROR(VALUE(TRIM(CLEAN($U$2:$U$1001))),0), IFERROR(VALUE(TRIM(CLEAN($P$2:$P$1001))),0))</f>
        <v>0.23135628536430677</v>
      </c>
    </row>
    <row r="824" spans="1:22" x14ac:dyDescent="0.25">
      <c r="A824">
        <v>823</v>
      </c>
      <c r="B824" s="1">
        <v>40580</v>
      </c>
      <c r="C824">
        <v>1</v>
      </c>
      <c r="D824">
        <v>0</v>
      </c>
      <c r="E824">
        <v>2</v>
      </c>
      <c r="F824">
        <v>17</v>
      </c>
      <c r="G824" t="b">
        <v>0</v>
      </c>
      <c r="H824">
        <v>0</v>
      </c>
      <c r="I824">
        <v>1</v>
      </c>
      <c r="J824">
        <v>0.34</v>
      </c>
      <c r="K824">
        <v>0.36359999999999998</v>
      </c>
      <c r="L824">
        <v>0.46</v>
      </c>
      <c r="M824">
        <v>0</v>
      </c>
      <c r="N824">
        <v>24</v>
      </c>
      <c r="O824">
        <v>97</v>
      </c>
      <c r="P824">
        <v>121</v>
      </c>
      <c r="Q824" t="str">
        <f t="shared" si="51"/>
        <v>Weekday</v>
      </c>
      <c r="R824" t="str">
        <f t="shared" si="48"/>
        <v>Clear</v>
      </c>
      <c r="S824">
        <f t="shared" si="49"/>
        <v>-0.25435329828790432</v>
      </c>
      <c r="T824">
        <f t="shared" si="50"/>
        <v>0.10399668008577614</v>
      </c>
      <c r="U824" s="6">
        <v>0.34</v>
      </c>
      <c r="V824">
        <f t="array" ref="V824">CORREL(IFERROR(VALUE(TRIM(CLEAN($U$2:$U$1001))),0), IFERROR(VALUE(TRIM(CLEAN($P$2:$P$1001))),0))</f>
        <v>0.23135628536430677</v>
      </c>
    </row>
    <row r="825" spans="1:22" x14ac:dyDescent="0.25">
      <c r="A825">
        <v>824</v>
      </c>
      <c r="B825" s="1">
        <v>40580</v>
      </c>
      <c r="C825">
        <v>1</v>
      </c>
      <c r="D825">
        <v>0</v>
      </c>
      <c r="E825">
        <v>2</v>
      </c>
      <c r="F825">
        <v>18</v>
      </c>
      <c r="G825" t="b">
        <v>0</v>
      </c>
      <c r="H825">
        <v>0</v>
      </c>
      <c r="I825">
        <v>1</v>
      </c>
      <c r="J825">
        <v>0.3</v>
      </c>
      <c r="K825">
        <v>0.30299999999999999</v>
      </c>
      <c r="L825">
        <v>0.56000000000000005</v>
      </c>
      <c r="M825">
        <v>0.16420000000000001</v>
      </c>
      <c r="N825">
        <v>13</v>
      </c>
      <c r="O825">
        <v>65</v>
      </c>
      <c r="P825">
        <v>78</v>
      </c>
      <c r="Q825" t="str">
        <f t="shared" si="51"/>
        <v>Weekday</v>
      </c>
      <c r="R825" t="str">
        <f t="shared" si="48"/>
        <v>Clear</v>
      </c>
      <c r="S825">
        <f t="shared" si="49"/>
        <v>-0.25435329828790432</v>
      </c>
      <c r="T825">
        <f t="shared" si="50"/>
        <v>0.10399668008577614</v>
      </c>
      <c r="U825" s="6">
        <v>0.3</v>
      </c>
      <c r="V825">
        <f t="array" ref="V825">CORREL(IFERROR(VALUE(TRIM(CLEAN($U$2:$U$1001))),0), IFERROR(VALUE(TRIM(CLEAN($P$2:$P$1001))),0))</f>
        <v>0.23135628536430677</v>
      </c>
    </row>
    <row r="826" spans="1:22" x14ac:dyDescent="0.25">
      <c r="A826">
        <v>825</v>
      </c>
      <c r="B826" s="1">
        <v>40580</v>
      </c>
      <c r="C826">
        <v>1</v>
      </c>
      <c r="D826">
        <v>0</v>
      </c>
      <c r="E826">
        <v>2</v>
      </c>
      <c r="F826">
        <v>19</v>
      </c>
      <c r="G826" t="b">
        <v>0</v>
      </c>
      <c r="H826">
        <v>0</v>
      </c>
      <c r="I826">
        <v>1</v>
      </c>
      <c r="J826">
        <v>0.28000000000000003</v>
      </c>
      <c r="K826">
        <v>0.28789999999999999</v>
      </c>
      <c r="L826">
        <v>0.61</v>
      </c>
      <c r="M826">
        <v>0.1343</v>
      </c>
      <c r="N826">
        <v>1</v>
      </c>
      <c r="O826">
        <v>20</v>
      </c>
      <c r="P826">
        <v>21</v>
      </c>
      <c r="Q826" t="str">
        <f t="shared" si="51"/>
        <v>Weekday</v>
      </c>
      <c r="R826" t="str">
        <f t="shared" si="48"/>
        <v>Clear</v>
      </c>
      <c r="S826">
        <f t="shared" si="49"/>
        <v>-0.25435329828790432</v>
      </c>
      <c r="T826">
        <f t="shared" si="50"/>
        <v>0.10399668008577614</v>
      </c>
      <c r="U826" s="6">
        <v>0.28000000000000003</v>
      </c>
      <c r="V826">
        <f t="array" ref="V826">CORREL(IFERROR(VALUE(TRIM(CLEAN($U$2:$U$1001))),0), IFERROR(VALUE(TRIM(CLEAN($P$2:$P$1001))),0))</f>
        <v>0.23135628536430677</v>
      </c>
    </row>
    <row r="827" spans="1:22" x14ac:dyDescent="0.25">
      <c r="A827">
        <v>826</v>
      </c>
      <c r="B827" s="1">
        <v>40580</v>
      </c>
      <c r="C827">
        <v>1</v>
      </c>
      <c r="D827">
        <v>0</v>
      </c>
      <c r="E827">
        <v>2</v>
      </c>
      <c r="F827">
        <v>20</v>
      </c>
      <c r="G827" t="b">
        <v>0</v>
      </c>
      <c r="H827">
        <v>0</v>
      </c>
      <c r="I827">
        <v>1</v>
      </c>
      <c r="J827">
        <v>0.28000000000000003</v>
      </c>
      <c r="K827">
        <v>0.28789999999999999</v>
      </c>
      <c r="L827">
        <v>0.61</v>
      </c>
      <c r="M827">
        <v>0.1045</v>
      </c>
      <c r="N827">
        <v>5</v>
      </c>
      <c r="O827">
        <v>21</v>
      </c>
      <c r="P827">
        <v>26</v>
      </c>
      <c r="Q827" t="str">
        <f t="shared" si="51"/>
        <v>Weekend</v>
      </c>
      <c r="R827" t="str">
        <f t="shared" si="48"/>
        <v>Clear</v>
      </c>
      <c r="S827">
        <f t="shared" si="49"/>
        <v>-0.25435329828790432</v>
      </c>
      <c r="T827">
        <f t="shared" si="50"/>
        <v>0.10399668008577614</v>
      </c>
      <c r="U827" s="6">
        <v>0.28000000000000003</v>
      </c>
      <c r="V827">
        <f t="array" ref="V827">CORREL(IFERROR(VALUE(TRIM(CLEAN($U$2:$U$1001))),0), IFERROR(VALUE(TRIM(CLEAN($P$2:$P$1001))),0))</f>
        <v>0.23135628536430677</v>
      </c>
    </row>
    <row r="828" spans="1:22" x14ac:dyDescent="0.25">
      <c r="A828">
        <v>827</v>
      </c>
      <c r="B828" s="1">
        <v>40580</v>
      </c>
      <c r="C828">
        <v>1</v>
      </c>
      <c r="D828">
        <v>0</v>
      </c>
      <c r="E828">
        <v>2</v>
      </c>
      <c r="F828">
        <v>21</v>
      </c>
      <c r="G828" t="b">
        <v>0</v>
      </c>
      <c r="H828">
        <v>0</v>
      </c>
      <c r="I828">
        <v>1</v>
      </c>
      <c r="J828">
        <v>0.26</v>
      </c>
      <c r="K828">
        <v>0.30299999999999999</v>
      </c>
      <c r="L828">
        <v>0.6</v>
      </c>
      <c r="M828">
        <v>0</v>
      </c>
      <c r="N828">
        <v>5</v>
      </c>
      <c r="O828">
        <v>22</v>
      </c>
      <c r="P828">
        <v>27</v>
      </c>
      <c r="Q828" t="str">
        <f t="shared" si="51"/>
        <v>Weekend</v>
      </c>
      <c r="R828" t="str">
        <f t="shared" si="48"/>
        <v>Clear</v>
      </c>
      <c r="S828">
        <f t="shared" si="49"/>
        <v>-0.25435329828790432</v>
      </c>
      <c r="T828">
        <f t="shared" si="50"/>
        <v>0.10399668008577614</v>
      </c>
      <c r="U828" s="6">
        <v>0.26</v>
      </c>
      <c r="V828">
        <f t="array" ref="V828">CORREL(IFERROR(VALUE(TRIM(CLEAN($U$2:$U$1001))),0), IFERROR(VALUE(TRIM(CLEAN($P$2:$P$1001))),0))</f>
        <v>0.23135628536430677</v>
      </c>
    </row>
    <row r="829" spans="1:22" x14ac:dyDescent="0.25">
      <c r="A829">
        <v>828</v>
      </c>
      <c r="B829" s="1">
        <v>40580</v>
      </c>
      <c r="C829">
        <v>1</v>
      </c>
      <c r="D829">
        <v>0</v>
      </c>
      <c r="E829">
        <v>2</v>
      </c>
      <c r="F829">
        <v>22</v>
      </c>
      <c r="G829" t="b">
        <v>0</v>
      </c>
      <c r="H829">
        <v>0</v>
      </c>
      <c r="I829">
        <v>1</v>
      </c>
      <c r="J829">
        <v>0.26</v>
      </c>
      <c r="K829">
        <v>0.30299999999999999</v>
      </c>
      <c r="L829">
        <v>0.6</v>
      </c>
      <c r="M829">
        <v>0</v>
      </c>
      <c r="N829">
        <v>5</v>
      </c>
      <c r="O829">
        <v>57</v>
      </c>
      <c r="P829">
        <v>62</v>
      </c>
      <c r="Q829" t="str">
        <f t="shared" si="51"/>
        <v>Weekday</v>
      </c>
      <c r="R829" t="str">
        <f t="shared" si="48"/>
        <v>Clear</v>
      </c>
      <c r="S829">
        <f t="shared" si="49"/>
        <v>-0.25435329828790432</v>
      </c>
      <c r="T829">
        <f t="shared" si="50"/>
        <v>0.10399668008577614</v>
      </c>
      <c r="U829" s="6">
        <v>0.26</v>
      </c>
      <c r="V829">
        <f t="array" ref="V829">CORREL(IFERROR(VALUE(TRIM(CLEAN($U$2:$U$1001))),0), IFERROR(VALUE(TRIM(CLEAN($P$2:$P$1001))),0))</f>
        <v>0.23135628536430677</v>
      </c>
    </row>
    <row r="830" spans="1:22" x14ac:dyDescent="0.25">
      <c r="A830">
        <v>829</v>
      </c>
      <c r="B830" s="1">
        <v>40580</v>
      </c>
      <c r="C830">
        <v>1</v>
      </c>
      <c r="D830">
        <v>0</v>
      </c>
      <c r="E830">
        <v>2</v>
      </c>
      <c r="F830">
        <v>23</v>
      </c>
      <c r="G830" t="b">
        <v>0</v>
      </c>
      <c r="H830">
        <v>0</v>
      </c>
      <c r="I830">
        <v>1</v>
      </c>
      <c r="J830">
        <v>0.24</v>
      </c>
      <c r="K830">
        <v>0.28789999999999999</v>
      </c>
      <c r="L830">
        <v>0.65</v>
      </c>
      <c r="M830">
        <v>0</v>
      </c>
      <c r="N830">
        <v>4</v>
      </c>
      <c r="O830">
        <v>26</v>
      </c>
      <c r="P830">
        <v>30</v>
      </c>
      <c r="Q830" t="str">
        <f t="shared" si="51"/>
        <v>Weekday</v>
      </c>
      <c r="R830" t="str">
        <f t="shared" si="48"/>
        <v>Clear</v>
      </c>
      <c r="S830">
        <f t="shared" si="49"/>
        <v>-0.25435329828790432</v>
      </c>
      <c r="T830">
        <f t="shared" si="50"/>
        <v>0.10399668008577614</v>
      </c>
      <c r="U830" s="6">
        <v>0.24</v>
      </c>
      <c r="V830">
        <f t="array" ref="V830">CORREL(IFERROR(VALUE(TRIM(CLEAN($U$2:$U$1001))),0), IFERROR(VALUE(TRIM(CLEAN($P$2:$P$1001))),0))</f>
        <v>0.23135628536430677</v>
      </c>
    </row>
    <row r="831" spans="1:22" x14ac:dyDescent="0.25">
      <c r="A831">
        <v>830</v>
      </c>
      <c r="B831" s="1">
        <v>40581</v>
      </c>
      <c r="C831">
        <v>1</v>
      </c>
      <c r="D831">
        <v>0</v>
      </c>
      <c r="E831">
        <v>2</v>
      </c>
      <c r="F831">
        <v>0</v>
      </c>
      <c r="G831" t="b">
        <v>0</v>
      </c>
      <c r="H831">
        <v>1</v>
      </c>
      <c r="I831">
        <v>1</v>
      </c>
      <c r="J831">
        <v>0.24</v>
      </c>
      <c r="K831">
        <v>0.28789999999999999</v>
      </c>
      <c r="L831">
        <v>0.65</v>
      </c>
      <c r="M831">
        <v>0</v>
      </c>
      <c r="N831">
        <v>1</v>
      </c>
      <c r="O831">
        <v>14</v>
      </c>
      <c r="P831">
        <v>15</v>
      </c>
      <c r="Q831" t="str">
        <f t="shared" si="51"/>
        <v>Weekday</v>
      </c>
      <c r="R831" t="str">
        <f t="shared" si="48"/>
        <v>Clear</v>
      </c>
      <c r="S831">
        <f t="shared" si="49"/>
        <v>-0.25435329828790432</v>
      </c>
      <c r="T831">
        <f t="shared" si="50"/>
        <v>0.10399668008577614</v>
      </c>
      <c r="U831" s="6">
        <v>0.24</v>
      </c>
      <c r="V831">
        <f t="array" ref="V831">CORREL(IFERROR(VALUE(TRIM(CLEAN($U$2:$U$1001))),0), IFERROR(VALUE(TRIM(CLEAN($P$2:$P$1001))),0))</f>
        <v>0.23135628536430677</v>
      </c>
    </row>
    <row r="832" spans="1:22" x14ac:dyDescent="0.25">
      <c r="A832">
        <v>831</v>
      </c>
      <c r="B832" s="1">
        <v>40581</v>
      </c>
      <c r="C832">
        <v>1</v>
      </c>
      <c r="D832">
        <v>0</v>
      </c>
      <c r="E832">
        <v>2</v>
      </c>
      <c r="F832">
        <v>1</v>
      </c>
      <c r="G832" t="b">
        <v>0</v>
      </c>
      <c r="H832">
        <v>1</v>
      </c>
      <c r="I832">
        <v>1</v>
      </c>
      <c r="J832">
        <v>0.22</v>
      </c>
      <c r="K832">
        <v>0.2727</v>
      </c>
      <c r="L832">
        <v>0.75</v>
      </c>
      <c r="M832">
        <v>0</v>
      </c>
      <c r="N832">
        <v>1</v>
      </c>
      <c r="O832">
        <v>4</v>
      </c>
      <c r="P832">
        <v>5</v>
      </c>
      <c r="Q832" t="str">
        <f t="shared" si="51"/>
        <v>Weekday</v>
      </c>
      <c r="R832" t="str">
        <f t="shared" si="48"/>
        <v>Clear</v>
      </c>
      <c r="S832">
        <f t="shared" si="49"/>
        <v>-0.25435329828790432</v>
      </c>
      <c r="T832">
        <f t="shared" si="50"/>
        <v>0.10399668008577614</v>
      </c>
      <c r="U832" s="6">
        <v>0.22</v>
      </c>
      <c r="V832">
        <f t="array" ref="V832">CORREL(IFERROR(VALUE(TRIM(CLEAN($U$2:$U$1001))),0), IFERROR(VALUE(TRIM(CLEAN($P$2:$P$1001))),0))</f>
        <v>0.23135628536430677</v>
      </c>
    </row>
    <row r="833" spans="1:22" x14ac:dyDescent="0.25">
      <c r="A833">
        <v>832</v>
      </c>
      <c r="B833" s="1">
        <v>40581</v>
      </c>
      <c r="C833">
        <v>1</v>
      </c>
      <c r="D833">
        <v>0</v>
      </c>
      <c r="E833">
        <v>2</v>
      </c>
      <c r="F833">
        <v>2</v>
      </c>
      <c r="G833" t="b">
        <v>0</v>
      </c>
      <c r="H833">
        <v>1</v>
      </c>
      <c r="I833">
        <v>1</v>
      </c>
      <c r="J833">
        <v>0.2</v>
      </c>
      <c r="K833">
        <v>0.2576</v>
      </c>
      <c r="L833">
        <v>0.8</v>
      </c>
      <c r="M833">
        <v>0</v>
      </c>
      <c r="N833">
        <v>0</v>
      </c>
      <c r="O833">
        <v>3</v>
      </c>
      <c r="P833">
        <v>3</v>
      </c>
      <c r="Q833" t="str">
        <f t="shared" si="51"/>
        <v>Weekday</v>
      </c>
      <c r="R833" t="str">
        <f t="shared" si="48"/>
        <v>Clear</v>
      </c>
      <c r="S833">
        <f t="shared" si="49"/>
        <v>-0.25435329828790432</v>
      </c>
      <c r="T833">
        <f t="shared" si="50"/>
        <v>0.10399668008577614</v>
      </c>
      <c r="U833" s="6">
        <v>0.2</v>
      </c>
      <c r="V833">
        <f t="array" ref="V833">CORREL(IFERROR(VALUE(TRIM(CLEAN($U$2:$U$1001))),0), IFERROR(VALUE(TRIM(CLEAN($P$2:$P$1001))),0))</f>
        <v>0.23135628536430677</v>
      </c>
    </row>
    <row r="834" spans="1:22" x14ac:dyDescent="0.25">
      <c r="A834">
        <v>833</v>
      </c>
      <c r="B834" s="1">
        <v>40581</v>
      </c>
      <c r="C834">
        <v>1</v>
      </c>
      <c r="D834">
        <v>0</v>
      </c>
      <c r="E834">
        <v>2</v>
      </c>
      <c r="F834">
        <v>3</v>
      </c>
      <c r="G834" t="b">
        <v>0</v>
      </c>
      <c r="H834">
        <v>1</v>
      </c>
      <c r="I834">
        <v>1</v>
      </c>
      <c r="J834">
        <v>0.2</v>
      </c>
      <c r="K834">
        <v>0.2576</v>
      </c>
      <c r="L834">
        <v>0.86</v>
      </c>
      <c r="M834">
        <v>0</v>
      </c>
      <c r="N834">
        <v>0</v>
      </c>
      <c r="O834">
        <v>1</v>
      </c>
      <c r="P834">
        <v>1</v>
      </c>
      <c r="Q834" t="str">
        <f t="shared" si="51"/>
        <v>Weekend</v>
      </c>
      <c r="R834" t="str">
        <f t="shared" ref="R834:R897" si="52">IF(I834=1, "Clear", IF(I834=2, "Mist/Cloudy", IF(I834=3, "Light Snow/Rain", "Heavy Rain")))</f>
        <v>Clear</v>
      </c>
      <c r="S834">
        <f t="shared" ref="S834:S897" si="53">CORREL($L$2:$L$1001, $P$2:$P$1001)</f>
        <v>-0.25435329828790432</v>
      </c>
      <c r="T834">
        <f t="shared" ref="T834:T897" si="54">CORREL($M$2:$M$1001, $P$2:$P$1001)</f>
        <v>0.10399668008577614</v>
      </c>
      <c r="U834" s="6">
        <v>0.2</v>
      </c>
      <c r="V834">
        <f t="array" ref="V834">CORREL(IFERROR(VALUE(TRIM(CLEAN($U$2:$U$1001))),0), IFERROR(VALUE(TRIM(CLEAN($P$2:$P$1001))),0))</f>
        <v>0.23135628536430677</v>
      </c>
    </row>
    <row r="835" spans="1:22" x14ac:dyDescent="0.25">
      <c r="A835">
        <v>834</v>
      </c>
      <c r="B835" s="1">
        <v>40581</v>
      </c>
      <c r="C835">
        <v>1</v>
      </c>
      <c r="D835">
        <v>0</v>
      </c>
      <c r="E835">
        <v>2</v>
      </c>
      <c r="F835">
        <v>4</v>
      </c>
      <c r="G835" t="b">
        <v>0</v>
      </c>
      <c r="H835">
        <v>1</v>
      </c>
      <c r="I835">
        <v>1</v>
      </c>
      <c r="J835">
        <v>0.2</v>
      </c>
      <c r="K835">
        <v>0.2576</v>
      </c>
      <c r="L835">
        <v>0.86</v>
      </c>
      <c r="M835">
        <v>0</v>
      </c>
      <c r="N835">
        <v>1</v>
      </c>
      <c r="O835">
        <v>1</v>
      </c>
      <c r="P835">
        <v>2</v>
      </c>
      <c r="Q835" t="str">
        <f t="shared" ref="Q835:Q898" si="55">IF(WEEKDAY(A835,2)&gt;5,"Weekend","Weekday")</f>
        <v>Weekend</v>
      </c>
      <c r="R835" t="str">
        <f t="shared" si="52"/>
        <v>Clear</v>
      </c>
      <c r="S835">
        <f t="shared" si="53"/>
        <v>-0.25435329828790432</v>
      </c>
      <c r="T835">
        <f t="shared" si="54"/>
        <v>0.10399668008577614</v>
      </c>
      <c r="U835" s="6">
        <v>0.2</v>
      </c>
      <c r="V835">
        <f t="array" ref="V835">CORREL(IFERROR(VALUE(TRIM(CLEAN($U$2:$U$1001))),0), IFERROR(VALUE(TRIM(CLEAN($P$2:$P$1001))),0))</f>
        <v>0.23135628536430677</v>
      </c>
    </row>
    <row r="836" spans="1:22" x14ac:dyDescent="0.25">
      <c r="A836">
        <v>835</v>
      </c>
      <c r="B836" s="1">
        <v>40581</v>
      </c>
      <c r="C836">
        <v>1</v>
      </c>
      <c r="D836">
        <v>0</v>
      </c>
      <c r="E836">
        <v>2</v>
      </c>
      <c r="F836">
        <v>5</v>
      </c>
      <c r="G836" t="b">
        <v>0</v>
      </c>
      <c r="H836">
        <v>1</v>
      </c>
      <c r="I836">
        <v>1</v>
      </c>
      <c r="J836">
        <v>0.2</v>
      </c>
      <c r="K836">
        <v>0.2576</v>
      </c>
      <c r="L836">
        <v>0.86</v>
      </c>
      <c r="M836">
        <v>0</v>
      </c>
      <c r="N836">
        <v>1</v>
      </c>
      <c r="O836">
        <v>9</v>
      </c>
      <c r="P836">
        <v>10</v>
      </c>
      <c r="Q836" t="str">
        <f t="shared" si="55"/>
        <v>Weekday</v>
      </c>
      <c r="R836" t="str">
        <f t="shared" si="52"/>
        <v>Clear</v>
      </c>
      <c r="S836">
        <f t="shared" si="53"/>
        <v>-0.25435329828790432</v>
      </c>
      <c r="T836">
        <f t="shared" si="54"/>
        <v>0.10399668008577614</v>
      </c>
      <c r="U836" s="6">
        <v>0.2</v>
      </c>
      <c r="V836">
        <f t="array" ref="V836">CORREL(IFERROR(VALUE(TRIM(CLEAN($U$2:$U$1001))),0), IFERROR(VALUE(TRIM(CLEAN($P$2:$P$1001))),0))</f>
        <v>0.23135628536430677</v>
      </c>
    </row>
    <row r="837" spans="1:22" x14ac:dyDescent="0.25">
      <c r="A837">
        <v>836</v>
      </c>
      <c r="B837" s="1">
        <v>40581</v>
      </c>
      <c r="C837">
        <v>1</v>
      </c>
      <c r="D837">
        <v>0</v>
      </c>
      <c r="E837">
        <v>2</v>
      </c>
      <c r="F837">
        <v>6</v>
      </c>
      <c r="G837" t="b">
        <v>0</v>
      </c>
      <c r="H837">
        <v>1</v>
      </c>
      <c r="I837">
        <v>1</v>
      </c>
      <c r="J837">
        <v>0.18</v>
      </c>
      <c r="K837">
        <v>0.2424</v>
      </c>
      <c r="L837">
        <v>0.93</v>
      </c>
      <c r="M837">
        <v>0</v>
      </c>
      <c r="N837">
        <v>1</v>
      </c>
      <c r="O837">
        <v>29</v>
      </c>
      <c r="P837">
        <v>30</v>
      </c>
      <c r="Q837" t="str">
        <f t="shared" si="55"/>
        <v>Weekday</v>
      </c>
      <c r="R837" t="str">
        <f t="shared" si="52"/>
        <v>Clear</v>
      </c>
      <c r="S837">
        <f t="shared" si="53"/>
        <v>-0.25435329828790432</v>
      </c>
      <c r="T837">
        <f t="shared" si="54"/>
        <v>0.10399668008577614</v>
      </c>
      <c r="U837" s="6">
        <v>0.18</v>
      </c>
      <c r="V837">
        <f t="array" ref="V837">CORREL(IFERROR(VALUE(TRIM(CLEAN($U$2:$U$1001))),0), IFERROR(VALUE(TRIM(CLEAN($P$2:$P$1001))),0))</f>
        <v>0.23135628536430677</v>
      </c>
    </row>
    <row r="838" spans="1:22" x14ac:dyDescent="0.25">
      <c r="A838">
        <v>837</v>
      </c>
      <c r="B838" s="1">
        <v>40581</v>
      </c>
      <c r="C838">
        <v>1</v>
      </c>
      <c r="D838">
        <v>0</v>
      </c>
      <c r="E838">
        <v>2</v>
      </c>
      <c r="F838">
        <v>7</v>
      </c>
      <c r="G838" t="b">
        <v>0</v>
      </c>
      <c r="H838">
        <v>1</v>
      </c>
      <c r="I838">
        <v>1</v>
      </c>
      <c r="J838">
        <v>0.18</v>
      </c>
      <c r="K838">
        <v>0.2424</v>
      </c>
      <c r="L838">
        <v>0.86</v>
      </c>
      <c r="M838">
        <v>0</v>
      </c>
      <c r="N838">
        <v>6</v>
      </c>
      <c r="O838">
        <v>89</v>
      </c>
      <c r="P838">
        <v>95</v>
      </c>
      <c r="Q838" t="str">
        <f t="shared" si="55"/>
        <v>Weekday</v>
      </c>
      <c r="R838" t="str">
        <f t="shared" si="52"/>
        <v>Clear</v>
      </c>
      <c r="S838">
        <f t="shared" si="53"/>
        <v>-0.25435329828790432</v>
      </c>
      <c r="T838">
        <f t="shared" si="54"/>
        <v>0.10399668008577614</v>
      </c>
      <c r="U838" s="6">
        <v>0.18</v>
      </c>
      <c r="V838">
        <f t="array" ref="V838">CORREL(IFERROR(VALUE(TRIM(CLEAN($U$2:$U$1001))),0), IFERROR(VALUE(TRIM(CLEAN($P$2:$P$1001))),0))</f>
        <v>0.23135628536430677</v>
      </c>
    </row>
    <row r="839" spans="1:22" x14ac:dyDescent="0.25">
      <c r="A839">
        <v>838</v>
      </c>
      <c r="B839" s="1">
        <v>40581</v>
      </c>
      <c r="C839">
        <v>1</v>
      </c>
      <c r="D839">
        <v>0</v>
      </c>
      <c r="E839">
        <v>2</v>
      </c>
      <c r="F839">
        <v>8</v>
      </c>
      <c r="G839" t="b">
        <v>0</v>
      </c>
      <c r="H839">
        <v>1</v>
      </c>
      <c r="I839">
        <v>2</v>
      </c>
      <c r="J839">
        <v>0.16</v>
      </c>
      <c r="K839">
        <v>0.2273</v>
      </c>
      <c r="L839">
        <v>1</v>
      </c>
      <c r="M839">
        <v>0</v>
      </c>
      <c r="N839">
        <v>7</v>
      </c>
      <c r="O839">
        <v>223</v>
      </c>
      <c r="P839">
        <v>230</v>
      </c>
      <c r="Q839" t="str">
        <f t="shared" si="55"/>
        <v>Weekday</v>
      </c>
      <c r="R839" t="str">
        <f t="shared" si="52"/>
        <v>Mist/Cloudy</v>
      </c>
      <c r="S839">
        <f t="shared" si="53"/>
        <v>-0.25435329828790432</v>
      </c>
      <c r="T839">
        <f t="shared" si="54"/>
        <v>0.10399668008577614</v>
      </c>
      <c r="U839" s="6">
        <v>0.16</v>
      </c>
      <c r="V839">
        <f t="array" ref="V839">CORREL(IFERROR(VALUE(TRIM(CLEAN($U$2:$U$1001))),0), IFERROR(VALUE(TRIM(CLEAN($P$2:$P$1001))),0))</f>
        <v>0.23135628536430677</v>
      </c>
    </row>
    <row r="840" spans="1:22" x14ac:dyDescent="0.25">
      <c r="A840">
        <v>839</v>
      </c>
      <c r="B840" s="1">
        <v>40581</v>
      </c>
      <c r="C840">
        <v>1</v>
      </c>
      <c r="D840">
        <v>0</v>
      </c>
      <c r="E840">
        <v>2</v>
      </c>
      <c r="F840">
        <v>9</v>
      </c>
      <c r="G840" t="b">
        <v>0</v>
      </c>
      <c r="H840">
        <v>1</v>
      </c>
      <c r="I840">
        <v>1</v>
      </c>
      <c r="J840">
        <v>0.22</v>
      </c>
      <c r="K840">
        <v>0.2727</v>
      </c>
      <c r="L840">
        <v>0.8</v>
      </c>
      <c r="M840">
        <v>0</v>
      </c>
      <c r="N840">
        <v>3</v>
      </c>
      <c r="O840">
        <v>115</v>
      </c>
      <c r="P840">
        <v>118</v>
      </c>
      <c r="Q840" t="str">
        <f t="shared" si="55"/>
        <v>Weekday</v>
      </c>
      <c r="R840" t="str">
        <f t="shared" si="52"/>
        <v>Clear</v>
      </c>
      <c r="S840">
        <f t="shared" si="53"/>
        <v>-0.25435329828790432</v>
      </c>
      <c r="T840">
        <f t="shared" si="54"/>
        <v>0.10399668008577614</v>
      </c>
      <c r="U840" s="6">
        <v>0.22</v>
      </c>
      <c r="V840">
        <f t="array" ref="V840">CORREL(IFERROR(VALUE(TRIM(CLEAN($U$2:$U$1001))),0), IFERROR(VALUE(TRIM(CLEAN($P$2:$P$1001))),0))</f>
        <v>0.23135628536430677</v>
      </c>
    </row>
    <row r="841" spans="1:22" x14ac:dyDescent="0.25">
      <c r="A841">
        <v>840</v>
      </c>
      <c r="B841" s="1">
        <v>40581</v>
      </c>
      <c r="C841">
        <v>1</v>
      </c>
      <c r="D841">
        <v>0</v>
      </c>
      <c r="E841">
        <v>2</v>
      </c>
      <c r="F841">
        <v>10</v>
      </c>
      <c r="G841" t="b">
        <v>0</v>
      </c>
      <c r="H841">
        <v>1</v>
      </c>
      <c r="I841">
        <v>1</v>
      </c>
      <c r="J841">
        <v>0.24</v>
      </c>
      <c r="K841">
        <v>0.2576</v>
      </c>
      <c r="L841">
        <v>0.75</v>
      </c>
      <c r="M841">
        <v>0.1045</v>
      </c>
      <c r="N841">
        <v>6</v>
      </c>
      <c r="O841">
        <v>49</v>
      </c>
      <c r="P841">
        <v>55</v>
      </c>
      <c r="Q841" t="str">
        <f t="shared" si="55"/>
        <v>Weekend</v>
      </c>
      <c r="R841" t="str">
        <f t="shared" si="52"/>
        <v>Clear</v>
      </c>
      <c r="S841">
        <f t="shared" si="53"/>
        <v>-0.25435329828790432</v>
      </c>
      <c r="T841">
        <f t="shared" si="54"/>
        <v>0.10399668008577614</v>
      </c>
      <c r="U841" s="6">
        <v>0.24</v>
      </c>
      <c r="V841">
        <f t="array" ref="V841">CORREL(IFERROR(VALUE(TRIM(CLEAN($U$2:$U$1001))),0), IFERROR(VALUE(TRIM(CLEAN($P$2:$P$1001))),0))</f>
        <v>0.23135628536430677</v>
      </c>
    </row>
    <row r="842" spans="1:22" x14ac:dyDescent="0.25">
      <c r="A842">
        <v>841</v>
      </c>
      <c r="B842" s="1">
        <v>40581</v>
      </c>
      <c r="C842">
        <v>1</v>
      </c>
      <c r="D842">
        <v>0</v>
      </c>
      <c r="E842">
        <v>2</v>
      </c>
      <c r="F842">
        <v>11</v>
      </c>
      <c r="G842" t="b">
        <v>0</v>
      </c>
      <c r="H842">
        <v>1</v>
      </c>
      <c r="I842">
        <v>1</v>
      </c>
      <c r="J842">
        <v>0.3</v>
      </c>
      <c r="K842">
        <v>0.31819999999999998</v>
      </c>
      <c r="L842">
        <v>0.65</v>
      </c>
      <c r="M842">
        <v>8.9599999999999999E-2</v>
      </c>
      <c r="N842">
        <v>11</v>
      </c>
      <c r="O842">
        <v>36</v>
      </c>
      <c r="P842">
        <v>47</v>
      </c>
      <c r="Q842" t="str">
        <f t="shared" si="55"/>
        <v>Weekend</v>
      </c>
      <c r="R842" t="str">
        <f t="shared" si="52"/>
        <v>Clear</v>
      </c>
      <c r="S842">
        <f t="shared" si="53"/>
        <v>-0.25435329828790432</v>
      </c>
      <c r="T842">
        <f t="shared" si="54"/>
        <v>0.10399668008577614</v>
      </c>
      <c r="U842" s="6">
        <v>0.3</v>
      </c>
      <c r="V842">
        <f t="array" ref="V842">CORREL(IFERROR(VALUE(TRIM(CLEAN($U$2:$U$1001))),0), IFERROR(VALUE(TRIM(CLEAN($P$2:$P$1001))),0))</f>
        <v>0.23135628536430677</v>
      </c>
    </row>
    <row r="843" spans="1:22" x14ac:dyDescent="0.25">
      <c r="A843">
        <v>842</v>
      </c>
      <c r="B843" s="1">
        <v>40581</v>
      </c>
      <c r="C843">
        <v>1</v>
      </c>
      <c r="D843">
        <v>0</v>
      </c>
      <c r="E843">
        <v>2</v>
      </c>
      <c r="F843">
        <v>12</v>
      </c>
      <c r="G843" t="b">
        <v>0</v>
      </c>
      <c r="H843">
        <v>1</v>
      </c>
      <c r="I843">
        <v>2</v>
      </c>
      <c r="J843">
        <v>0.32</v>
      </c>
      <c r="K843">
        <v>0.34849999999999998</v>
      </c>
      <c r="L843">
        <v>0.62</v>
      </c>
      <c r="M843">
        <v>0</v>
      </c>
      <c r="N843">
        <v>7</v>
      </c>
      <c r="O843">
        <v>59</v>
      </c>
      <c r="P843">
        <v>66</v>
      </c>
      <c r="Q843" t="str">
        <f t="shared" si="55"/>
        <v>Weekday</v>
      </c>
      <c r="R843" t="str">
        <f t="shared" si="52"/>
        <v>Mist/Cloudy</v>
      </c>
      <c r="S843">
        <f t="shared" si="53"/>
        <v>-0.25435329828790432</v>
      </c>
      <c r="T843">
        <f t="shared" si="54"/>
        <v>0.10399668008577614</v>
      </c>
      <c r="U843" s="6">
        <v>0.32</v>
      </c>
      <c r="V843">
        <f t="array" ref="V843">CORREL(IFERROR(VALUE(TRIM(CLEAN($U$2:$U$1001))),0), IFERROR(VALUE(TRIM(CLEAN($P$2:$P$1001))),0))</f>
        <v>0.23135628536430677</v>
      </c>
    </row>
    <row r="844" spans="1:22" x14ac:dyDescent="0.25">
      <c r="A844">
        <v>843</v>
      </c>
      <c r="B844" s="1">
        <v>40581</v>
      </c>
      <c r="C844">
        <v>1</v>
      </c>
      <c r="D844">
        <v>0</v>
      </c>
      <c r="E844">
        <v>2</v>
      </c>
      <c r="F844">
        <v>13</v>
      </c>
      <c r="G844" t="b">
        <v>0</v>
      </c>
      <c r="H844">
        <v>1</v>
      </c>
      <c r="I844">
        <v>2</v>
      </c>
      <c r="J844">
        <v>0.36</v>
      </c>
      <c r="K844">
        <v>0.36359999999999998</v>
      </c>
      <c r="L844">
        <v>0.56999999999999995</v>
      </c>
      <c r="M844">
        <v>8.9599999999999999E-2</v>
      </c>
      <c r="N844">
        <v>10</v>
      </c>
      <c r="O844">
        <v>54</v>
      </c>
      <c r="P844">
        <v>64</v>
      </c>
      <c r="Q844" t="str">
        <f t="shared" si="55"/>
        <v>Weekday</v>
      </c>
      <c r="R844" t="str">
        <f t="shared" si="52"/>
        <v>Mist/Cloudy</v>
      </c>
      <c r="S844">
        <f t="shared" si="53"/>
        <v>-0.25435329828790432</v>
      </c>
      <c r="T844">
        <f t="shared" si="54"/>
        <v>0.10399668008577614</v>
      </c>
      <c r="U844" s="6">
        <v>0.36</v>
      </c>
      <c r="V844">
        <f t="array" ref="V844">CORREL(IFERROR(VALUE(TRIM(CLEAN($U$2:$U$1001))),0), IFERROR(VALUE(TRIM(CLEAN($P$2:$P$1001))),0))</f>
        <v>0.23135628536430677</v>
      </c>
    </row>
    <row r="845" spans="1:22" x14ac:dyDescent="0.25">
      <c r="A845">
        <v>844</v>
      </c>
      <c r="B845" s="1">
        <v>40581</v>
      </c>
      <c r="C845">
        <v>1</v>
      </c>
      <c r="D845">
        <v>0</v>
      </c>
      <c r="E845">
        <v>2</v>
      </c>
      <c r="F845">
        <v>14</v>
      </c>
      <c r="G845" t="b">
        <v>0</v>
      </c>
      <c r="H845">
        <v>1</v>
      </c>
      <c r="I845">
        <v>2</v>
      </c>
      <c r="J845">
        <v>0.36</v>
      </c>
      <c r="K845">
        <v>0.36359999999999998</v>
      </c>
      <c r="L845">
        <v>0.56999999999999995</v>
      </c>
      <c r="M845">
        <v>8.9599999999999999E-2</v>
      </c>
      <c r="N845">
        <v>8</v>
      </c>
      <c r="O845">
        <v>52</v>
      </c>
      <c r="P845">
        <v>60</v>
      </c>
      <c r="Q845" t="str">
        <f t="shared" si="55"/>
        <v>Weekday</v>
      </c>
      <c r="R845" t="str">
        <f t="shared" si="52"/>
        <v>Mist/Cloudy</v>
      </c>
      <c r="S845">
        <f t="shared" si="53"/>
        <v>-0.25435329828790432</v>
      </c>
      <c r="T845">
        <f t="shared" si="54"/>
        <v>0.10399668008577614</v>
      </c>
      <c r="U845" s="6">
        <v>0.36</v>
      </c>
      <c r="V845">
        <f t="array" ref="V845">CORREL(IFERROR(VALUE(TRIM(CLEAN($U$2:$U$1001))),0), IFERROR(VALUE(TRIM(CLEAN($P$2:$P$1001))),0))</f>
        <v>0.23135628536430677</v>
      </c>
    </row>
    <row r="846" spans="1:22" x14ac:dyDescent="0.25">
      <c r="A846">
        <v>845</v>
      </c>
      <c r="B846" s="1">
        <v>40581</v>
      </c>
      <c r="C846">
        <v>1</v>
      </c>
      <c r="D846">
        <v>0</v>
      </c>
      <c r="E846">
        <v>2</v>
      </c>
      <c r="F846">
        <v>15</v>
      </c>
      <c r="G846" t="b">
        <v>0</v>
      </c>
      <c r="H846">
        <v>1</v>
      </c>
      <c r="I846">
        <v>2</v>
      </c>
      <c r="J846">
        <v>0.38</v>
      </c>
      <c r="K846">
        <v>0.39389999999999997</v>
      </c>
      <c r="L846">
        <v>0.54</v>
      </c>
      <c r="M846">
        <v>8.9599999999999999E-2</v>
      </c>
      <c r="N846">
        <v>4</v>
      </c>
      <c r="O846">
        <v>46</v>
      </c>
      <c r="P846">
        <v>50</v>
      </c>
      <c r="Q846" t="str">
        <f t="shared" si="55"/>
        <v>Weekday</v>
      </c>
      <c r="R846" t="str">
        <f t="shared" si="52"/>
        <v>Mist/Cloudy</v>
      </c>
      <c r="S846">
        <f t="shared" si="53"/>
        <v>-0.25435329828790432</v>
      </c>
      <c r="T846">
        <f t="shared" si="54"/>
        <v>0.10399668008577614</v>
      </c>
      <c r="U846" s="6">
        <v>0.38</v>
      </c>
      <c r="V846">
        <f t="array" ref="V846">CORREL(IFERROR(VALUE(TRIM(CLEAN($U$2:$U$1001))),0), IFERROR(VALUE(TRIM(CLEAN($P$2:$P$1001))),0))</f>
        <v>0.23135628536430677</v>
      </c>
    </row>
    <row r="847" spans="1:22" x14ac:dyDescent="0.25">
      <c r="A847">
        <v>846</v>
      </c>
      <c r="B847" s="1">
        <v>40581</v>
      </c>
      <c r="C847">
        <v>1</v>
      </c>
      <c r="D847">
        <v>0</v>
      </c>
      <c r="E847">
        <v>2</v>
      </c>
      <c r="F847">
        <v>16</v>
      </c>
      <c r="G847" t="b">
        <v>0</v>
      </c>
      <c r="H847">
        <v>1</v>
      </c>
      <c r="I847">
        <v>2</v>
      </c>
      <c r="J847">
        <v>0.36</v>
      </c>
      <c r="K847">
        <v>0.34849999999999998</v>
      </c>
      <c r="L847">
        <v>0.56999999999999995</v>
      </c>
      <c r="M847">
        <v>0.1343</v>
      </c>
      <c r="N847">
        <v>16</v>
      </c>
      <c r="O847">
        <v>98</v>
      </c>
      <c r="P847">
        <v>114</v>
      </c>
      <c r="Q847" t="str">
        <f t="shared" si="55"/>
        <v>Weekday</v>
      </c>
      <c r="R847" t="str">
        <f t="shared" si="52"/>
        <v>Mist/Cloudy</v>
      </c>
      <c r="S847">
        <f t="shared" si="53"/>
        <v>-0.25435329828790432</v>
      </c>
      <c r="T847">
        <f t="shared" si="54"/>
        <v>0.10399668008577614</v>
      </c>
      <c r="U847" s="6">
        <v>0.36</v>
      </c>
      <c r="V847">
        <f t="array" ref="V847">CORREL(IFERROR(VALUE(TRIM(CLEAN($U$2:$U$1001))),0), IFERROR(VALUE(TRIM(CLEAN($P$2:$P$1001))),0))</f>
        <v>0.23135628536430677</v>
      </c>
    </row>
    <row r="848" spans="1:22" x14ac:dyDescent="0.25">
      <c r="A848">
        <v>847</v>
      </c>
      <c r="B848" s="1">
        <v>40581</v>
      </c>
      <c r="C848">
        <v>1</v>
      </c>
      <c r="D848">
        <v>0</v>
      </c>
      <c r="E848">
        <v>2</v>
      </c>
      <c r="F848">
        <v>17</v>
      </c>
      <c r="G848" t="b">
        <v>0</v>
      </c>
      <c r="H848">
        <v>1</v>
      </c>
      <c r="I848">
        <v>2</v>
      </c>
      <c r="J848">
        <v>0.32</v>
      </c>
      <c r="K848">
        <v>0.31819999999999998</v>
      </c>
      <c r="L848">
        <v>0.7</v>
      </c>
      <c r="M848">
        <v>0.16420000000000001</v>
      </c>
      <c r="N848">
        <v>9</v>
      </c>
      <c r="O848">
        <v>207</v>
      </c>
      <c r="P848">
        <v>216</v>
      </c>
      <c r="Q848" t="str">
        <f t="shared" si="55"/>
        <v>Weekend</v>
      </c>
      <c r="R848" t="str">
        <f t="shared" si="52"/>
        <v>Mist/Cloudy</v>
      </c>
      <c r="S848">
        <f t="shared" si="53"/>
        <v>-0.25435329828790432</v>
      </c>
      <c r="T848">
        <f t="shared" si="54"/>
        <v>0.10399668008577614</v>
      </c>
      <c r="U848" s="6">
        <v>0.32</v>
      </c>
      <c r="V848">
        <f t="array" ref="V848">CORREL(IFERROR(VALUE(TRIM(CLEAN($U$2:$U$1001))),0), IFERROR(VALUE(TRIM(CLEAN($P$2:$P$1001))),0))</f>
        <v>0.23135628536430677</v>
      </c>
    </row>
    <row r="849" spans="1:22" x14ac:dyDescent="0.25">
      <c r="A849">
        <v>848</v>
      </c>
      <c r="B849" s="1">
        <v>40581</v>
      </c>
      <c r="C849">
        <v>1</v>
      </c>
      <c r="D849">
        <v>0</v>
      </c>
      <c r="E849">
        <v>2</v>
      </c>
      <c r="F849">
        <v>18</v>
      </c>
      <c r="G849" t="b">
        <v>0</v>
      </c>
      <c r="H849">
        <v>1</v>
      </c>
      <c r="I849">
        <v>2</v>
      </c>
      <c r="J849">
        <v>0.34</v>
      </c>
      <c r="K849">
        <v>0.33329999999999999</v>
      </c>
      <c r="L849">
        <v>0.66</v>
      </c>
      <c r="M849">
        <v>0.1343</v>
      </c>
      <c r="N849">
        <v>5</v>
      </c>
      <c r="O849">
        <v>170</v>
      </c>
      <c r="P849">
        <v>175</v>
      </c>
      <c r="Q849" t="str">
        <f t="shared" si="55"/>
        <v>Weekend</v>
      </c>
      <c r="R849" t="str">
        <f t="shared" si="52"/>
        <v>Mist/Cloudy</v>
      </c>
      <c r="S849">
        <f t="shared" si="53"/>
        <v>-0.25435329828790432</v>
      </c>
      <c r="T849">
        <f t="shared" si="54"/>
        <v>0.10399668008577614</v>
      </c>
      <c r="U849" s="6">
        <v>0.34</v>
      </c>
      <c r="V849">
        <f t="array" ref="V849">CORREL(IFERROR(VALUE(TRIM(CLEAN($U$2:$U$1001))),0), IFERROR(VALUE(TRIM(CLEAN($P$2:$P$1001))),0))</f>
        <v>0.23135628536430677</v>
      </c>
    </row>
    <row r="850" spans="1:22" x14ac:dyDescent="0.25">
      <c r="A850">
        <v>849</v>
      </c>
      <c r="B850" s="1">
        <v>40581</v>
      </c>
      <c r="C850">
        <v>1</v>
      </c>
      <c r="D850">
        <v>0</v>
      </c>
      <c r="E850">
        <v>2</v>
      </c>
      <c r="F850">
        <v>19</v>
      </c>
      <c r="G850" t="b">
        <v>0</v>
      </c>
      <c r="H850">
        <v>1</v>
      </c>
      <c r="I850">
        <v>2</v>
      </c>
      <c r="J850">
        <v>0.32</v>
      </c>
      <c r="K850">
        <v>0.34849999999999998</v>
      </c>
      <c r="L850">
        <v>0.7</v>
      </c>
      <c r="M850">
        <v>0</v>
      </c>
      <c r="N850">
        <v>5</v>
      </c>
      <c r="O850">
        <v>123</v>
      </c>
      <c r="P850">
        <v>128</v>
      </c>
      <c r="Q850" t="str">
        <f t="shared" si="55"/>
        <v>Weekday</v>
      </c>
      <c r="R850" t="str">
        <f t="shared" si="52"/>
        <v>Mist/Cloudy</v>
      </c>
      <c r="S850">
        <f t="shared" si="53"/>
        <v>-0.25435329828790432</v>
      </c>
      <c r="T850">
        <f t="shared" si="54"/>
        <v>0.10399668008577614</v>
      </c>
      <c r="U850" s="6">
        <v>0.32</v>
      </c>
      <c r="V850">
        <f t="array" ref="V850">CORREL(IFERROR(VALUE(TRIM(CLEAN($U$2:$U$1001))),0), IFERROR(VALUE(TRIM(CLEAN($P$2:$P$1001))),0))</f>
        <v>0.23135628536430677</v>
      </c>
    </row>
    <row r="851" spans="1:22" x14ac:dyDescent="0.25">
      <c r="A851">
        <v>850</v>
      </c>
      <c r="B851" s="1">
        <v>40581</v>
      </c>
      <c r="C851">
        <v>1</v>
      </c>
      <c r="D851">
        <v>0</v>
      </c>
      <c r="E851">
        <v>2</v>
      </c>
      <c r="F851">
        <v>20</v>
      </c>
      <c r="G851" t="b">
        <v>0</v>
      </c>
      <c r="H851">
        <v>1</v>
      </c>
      <c r="I851">
        <v>2</v>
      </c>
      <c r="J851">
        <v>0.32</v>
      </c>
      <c r="K851">
        <v>0.33329999999999999</v>
      </c>
      <c r="L851">
        <v>0.7</v>
      </c>
      <c r="M851">
        <v>0.1045</v>
      </c>
      <c r="N851">
        <v>6</v>
      </c>
      <c r="O851">
        <v>82</v>
      </c>
      <c r="P851">
        <v>88</v>
      </c>
      <c r="Q851" t="str">
        <f t="shared" si="55"/>
        <v>Weekday</v>
      </c>
      <c r="R851" t="str">
        <f t="shared" si="52"/>
        <v>Mist/Cloudy</v>
      </c>
      <c r="S851">
        <f t="shared" si="53"/>
        <v>-0.25435329828790432</v>
      </c>
      <c r="T851">
        <f t="shared" si="54"/>
        <v>0.10399668008577614</v>
      </c>
      <c r="U851" s="6">
        <v>0.32</v>
      </c>
      <c r="V851">
        <f t="array" ref="V851">CORREL(IFERROR(VALUE(TRIM(CLEAN($U$2:$U$1001))),0), IFERROR(VALUE(TRIM(CLEAN($P$2:$P$1001))),0))</f>
        <v>0.23135628536430677</v>
      </c>
    </row>
    <row r="852" spans="1:22" x14ac:dyDescent="0.25">
      <c r="A852">
        <v>851</v>
      </c>
      <c r="B852" s="1">
        <v>40581</v>
      </c>
      <c r="C852">
        <v>1</v>
      </c>
      <c r="D852">
        <v>0</v>
      </c>
      <c r="E852">
        <v>2</v>
      </c>
      <c r="F852">
        <v>21</v>
      </c>
      <c r="G852" t="b">
        <v>0</v>
      </c>
      <c r="H852">
        <v>1</v>
      </c>
      <c r="I852">
        <v>1</v>
      </c>
      <c r="J852">
        <v>0.32</v>
      </c>
      <c r="K852">
        <v>0.34849999999999998</v>
      </c>
      <c r="L852">
        <v>0.7</v>
      </c>
      <c r="M852">
        <v>0</v>
      </c>
      <c r="N852">
        <v>3</v>
      </c>
      <c r="O852">
        <v>75</v>
      </c>
      <c r="P852">
        <v>78</v>
      </c>
      <c r="Q852" t="str">
        <f t="shared" si="55"/>
        <v>Weekday</v>
      </c>
      <c r="R852" t="str">
        <f t="shared" si="52"/>
        <v>Clear</v>
      </c>
      <c r="S852">
        <f t="shared" si="53"/>
        <v>-0.25435329828790432</v>
      </c>
      <c r="T852">
        <f t="shared" si="54"/>
        <v>0.10399668008577614</v>
      </c>
      <c r="U852" s="6">
        <v>0.32</v>
      </c>
      <c r="V852">
        <f t="array" ref="V852">CORREL(IFERROR(VALUE(TRIM(CLEAN($U$2:$U$1001))),0), IFERROR(VALUE(TRIM(CLEAN($P$2:$P$1001))),0))</f>
        <v>0.23135628536430677</v>
      </c>
    </row>
    <row r="853" spans="1:22" x14ac:dyDescent="0.25">
      <c r="A853">
        <v>852</v>
      </c>
      <c r="B853" s="1">
        <v>40581</v>
      </c>
      <c r="C853">
        <v>1</v>
      </c>
      <c r="D853">
        <v>0</v>
      </c>
      <c r="E853">
        <v>2</v>
      </c>
      <c r="F853">
        <v>22</v>
      </c>
      <c r="G853" t="b">
        <v>0</v>
      </c>
      <c r="H853">
        <v>1</v>
      </c>
      <c r="I853">
        <v>1</v>
      </c>
      <c r="J853">
        <v>0.28000000000000003</v>
      </c>
      <c r="K853">
        <v>0.30299999999999999</v>
      </c>
      <c r="L853">
        <v>0.81</v>
      </c>
      <c r="M853">
        <v>8.9599999999999999E-2</v>
      </c>
      <c r="N853">
        <v>3</v>
      </c>
      <c r="O853">
        <v>34</v>
      </c>
      <c r="P853">
        <v>37</v>
      </c>
      <c r="Q853" t="str">
        <f t="shared" si="55"/>
        <v>Weekday</v>
      </c>
      <c r="R853" t="str">
        <f t="shared" si="52"/>
        <v>Clear</v>
      </c>
      <c r="S853">
        <f t="shared" si="53"/>
        <v>-0.25435329828790432</v>
      </c>
      <c r="T853">
        <f t="shared" si="54"/>
        <v>0.10399668008577614</v>
      </c>
      <c r="U853" s="6">
        <v>0.28000000000000003</v>
      </c>
      <c r="V853">
        <f t="array" ref="V853">CORREL(IFERROR(VALUE(TRIM(CLEAN($U$2:$U$1001))),0), IFERROR(VALUE(TRIM(CLEAN($P$2:$P$1001))),0))</f>
        <v>0.23135628536430677</v>
      </c>
    </row>
    <row r="854" spans="1:22" x14ac:dyDescent="0.25">
      <c r="A854">
        <v>853</v>
      </c>
      <c r="B854" s="1">
        <v>40581</v>
      </c>
      <c r="C854">
        <v>1</v>
      </c>
      <c r="D854">
        <v>0</v>
      </c>
      <c r="E854">
        <v>2</v>
      </c>
      <c r="F854">
        <v>23</v>
      </c>
      <c r="G854" t="b">
        <v>0</v>
      </c>
      <c r="H854">
        <v>1</v>
      </c>
      <c r="I854">
        <v>2</v>
      </c>
      <c r="J854">
        <v>0.3</v>
      </c>
      <c r="K854">
        <v>0.33329999999999999</v>
      </c>
      <c r="L854">
        <v>0.81</v>
      </c>
      <c r="M854">
        <v>0</v>
      </c>
      <c r="N854">
        <v>6</v>
      </c>
      <c r="O854">
        <v>19</v>
      </c>
      <c r="P854">
        <v>25</v>
      </c>
      <c r="Q854" t="str">
        <f t="shared" si="55"/>
        <v>Weekday</v>
      </c>
      <c r="R854" t="str">
        <f t="shared" si="52"/>
        <v>Mist/Cloudy</v>
      </c>
      <c r="S854">
        <f t="shared" si="53"/>
        <v>-0.25435329828790432</v>
      </c>
      <c r="T854">
        <f t="shared" si="54"/>
        <v>0.10399668008577614</v>
      </c>
      <c r="U854" s="6">
        <v>0.3</v>
      </c>
      <c r="V854">
        <f t="array" ref="V854">CORREL(IFERROR(VALUE(TRIM(CLEAN($U$2:$U$1001))),0), IFERROR(VALUE(TRIM(CLEAN($P$2:$P$1001))),0))</f>
        <v>0.23135628536430677</v>
      </c>
    </row>
    <row r="855" spans="1:22" x14ac:dyDescent="0.25">
      <c r="A855">
        <v>854</v>
      </c>
      <c r="B855" s="1">
        <v>40582</v>
      </c>
      <c r="C855">
        <v>1</v>
      </c>
      <c r="D855">
        <v>0</v>
      </c>
      <c r="E855">
        <v>2</v>
      </c>
      <c r="F855">
        <v>0</v>
      </c>
      <c r="G855" t="b">
        <v>0</v>
      </c>
      <c r="H855">
        <v>2</v>
      </c>
      <c r="I855">
        <v>2</v>
      </c>
      <c r="J855">
        <v>0.28000000000000003</v>
      </c>
      <c r="K855">
        <v>0.31819999999999998</v>
      </c>
      <c r="L855">
        <v>0.87</v>
      </c>
      <c r="M855">
        <v>0</v>
      </c>
      <c r="N855">
        <v>4</v>
      </c>
      <c r="O855">
        <v>6</v>
      </c>
      <c r="P855">
        <v>10</v>
      </c>
      <c r="Q855" t="str">
        <f t="shared" si="55"/>
        <v>Weekend</v>
      </c>
      <c r="R855" t="str">
        <f t="shared" si="52"/>
        <v>Mist/Cloudy</v>
      </c>
      <c r="S855">
        <f t="shared" si="53"/>
        <v>-0.25435329828790432</v>
      </c>
      <c r="T855">
        <f t="shared" si="54"/>
        <v>0.10399668008577614</v>
      </c>
      <c r="U855" s="6">
        <v>0.28000000000000003</v>
      </c>
      <c r="V855">
        <f t="array" ref="V855">CORREL(IFERROR(VALUE(TRIM(CLEAN($U$2:$U$1001))),0), IFERROR(VALUE(TRIM(CLEAN($P$2:$P$1001))),0))</f>
        <v>0.23135628536430677</v>
      </c>
    </row>
    <row r="856" spans="1:22" x14ac:dyDescent="0.25">
      <c r="A856">
        <v>855</v>
      </c>
      <c r="B856" s="1">
        <v>40582</v>
      </c>
      <c r="C856">
        <v>1</v>
      </c>
      <c r="D856">
        <v>0</v>
      </c>
      <c r="E856">
        <v>2</v>
      </c>
      <c r="F856">
        <v>1</v>
      </c>
      <c r="G856" t="b">
        <v>0</v>
      </c>
      <c r="H856">
        <v>2</v>
      </c>
      <c r="I856">
        <v>2</v>
      </c>
      <c r="J856">
        <v>0.28000000000000003</v>
      </c>
      <c r="K856">
        <v>0.31819999999999998</v>
      </c>
      <c r="L856">
        <v>0.87</v>
      </c>
      <c r="M856">
        <v>0</v>
      </c>
      <c r="N856">
        <v>0</v>
      </c>
      <c r="O856">
        <v>4</v>
      </c>
      <c r="P856">
        <v>4</v>
      </c>
      <c r="Q856" t="str">
        <f t="shared" si="55"/>
        <v>Weekend</v>
      </c>
      <c r="R856" t="str">
        <f t="shared" si="52"/>
        <v>Mist/Cloudy</v>
      </c>
      <c r="S856">
        <f t="shared" si="53"/>
        <v>-0.25435329828790432</v>
      </c>
      <c r="T856">
        <f t="shared" si="54"/>
        <v>0.10399668008577614</v>
      </c>
      <c r="U856" s="6">
        <v>0.28000000000000003</v>
      </c>
      <c r="V856">
        <f t="array" ref="V856">CORREL(IFERROR(VALUE(TRIM(CLEAN($U$2:$U$1001))),0), IFERROR(VALUE(TRIM(CLEAN($P$2:$P$1001))),0))</f>
        <v>0.23135628536430677</v>
      </c>
    </row>
    <row r="857" spans="1:22" x14ac:dyDescent="0.25">
      <c r="A857">
        <v>856</v>
      </c>
      <c r="B857" s="1">
        <v>40582</v>
      </c>
      <c r="C857">
        <v>1</v>
      </c>
      <c r="D857">
        <v>0</v>
      </c>
      <c r="E857">
        <v>2</v>
      </c>
      <c r="F857">
        <v>2</v>
      </c>
      <c r="G857" t="b">
        <v>0</v>
      </c>
      <c r="H857">
        <v>2</v>
      </c>
      <c r="I857">
        <v>2</v>
      </c>
      <c r="J857">
        <v>0.26</v>
      </c>
      <c r="K857">
        <v>0.2727</v>
      </c>
      <c r="L857">
        <v>0.93</v>
      </c>
      <c r="M857">
        <v>0.1045</v>
      </c>
      <c r="N857">
        <v>1</v>
      </c>
      <c r="O857">
        <v>1</v>
      </c>
      <c r="P857">
        <v>2</v>
      </c>
      <c r="Q857" t="str">
        <f t="shared" si="55"/>
        <v>Weekday</v>
      </c>
      <c r="R857" t="str">
        <f t="shared" si="52"/>
        <v>Mist/Cloudy</v>
      </c>
      <c r="S857">
        <f t="shared" si="53"/>
        <v>-0.25435329828790432</v>
      </c>
      <c r="T857">
        <f t="shared" si="54"/>
        <v>0.10399668008577614</v>
      </c>
      <c r="U857" s="6">
        <v>0.26</v>
      </c>
      <c r="V857">
        <f t="array" ref="V857">CORREL(IFERROR(VALUE(TRIM(CLEAN($U$2:$U$1001))),0), IFERROR(VALUE(TRIM(CLEAN($P$2:$P$1001))),0))</f>
        <v>0.23135628536430677</v>
      </c>
    </row>
    <row r="858" spans="1:22" x14ac:dyDescent="0.25">
      <c r="A858">
        <v>857</v>
      </c>
      <c r="B858" s="1">
        <v>40582</v>
      </c>
      <c r="C858">
        <v>1</v>
      </c>
      <c r="D858">
        <v>0</v>
      </c>
      <c r="E858">
        <v>2</v>
      </c>
      <c r="F858">
        <v>3</v>
      </c>
      <c r="G858" t="b">
        <v>0</v>
      </c>
      <c r="H858">
        <v>2</v>
      </c>
      <c r="I858">
        <v>3</v>
      </c>
      <c r="J858">
        <v>0.28000000000000003</v>
      </c>
      <c r="K858">
        <v>0.2727</v>
      </c>
      <c r="L858">
        <v>0.93</v>
      </c>
      <c r="M858">
        <v>0.16420000000000001</v>
      </c>
      <c r="N858">
        <v>0</v>
      </c>
      <c r="O858">
        <v>1</v>
      </c>
      <c r="P858">
        <v>1</v>
      </c>
      <c r="Q858" t="str">
        <f t="shared" si="55"/>
        <v>Weekday</v>
      </c>
      <c r="R858" t="str">
        <f t="shared" si="52"/>
        <v>Light Snow/Rain</v>
      </c>
      <c r="S858">
        <f t="shared" si="53"/>
        <v>-0.25435329828790432</v>
      </c>
      <c r="T858">
        <f t="shared" si="54"/>
        <v>0.10399668008577614</v>
      </c>
      <c r="U858" s="6">
        <v>0.28000000000000003</v>
      </c>
      <c r="V858">
        <f t="array" ref="V858">CORREL(IFERROR(VALUE(TRIM(CLEAN($U$2:$U$1001))),0), IFERROR(VALUE(TRIM(CLEAN($P$2:$P$1001))),0))</f>
        <v>0.23135628536430677</v>
      </c>
    </row>
    <row r="859" spans="1:22" x14ac:dyDescent="0.25">
      <c r="A859">
        <v>858</v>
      </c>
      <c r="B859" s="1">
        <v>40582</v>
      </c>
      <c r="C859">
        <v>1</v>
      </c>
      <c r="D859">
        <v>0</v>
      </c>
      <c r="E859">
        <v>2</v>
      </c>
      <c r="F859">
        <v>4</v>
      </c>
      <c r="G859" t="b">
        <v>0</v>
      </c>
      <c r="H859">
        <v>2</v>
      </c>
      <c r="I859">
        <v>1</v>
      </c>
      <c r="J859">
        <v>0.26</v>
      </c>
      <c r="K859">
        <v>0.2576</v>
      </c>
      <c r="L859">
        <v>0.93</v>
      </c>
      <c r="M859">
        <v>0.16420000000000001</v>
      </c>
      <c r="N859">
        <v>0</v>
      </c>
      <c r="O859">
        <v>3</v>
      </c>
      <c r="P859">
        <v>3</v>
      </c>
      <c r="Q859" t="str">
        <f t="shared" si="55"/>
        <v>Weekday</v>
      </c>
      <c r="R859" t="str">
        <f t="shared" si="52"/>
        <v>Clear</v>
      </c>
      <c r="S859">
        <f t="shared" si="53"/>
        <v>-0.25435329828790432</v>
      </c>
      <c r="T859">
        <f t="shared" si="54"/>
        <v>0.10399668008577614</v>
      </c>
      <c r="U859" s="6">
        <v>0.26</v>
      </c>
      <c r="V859">
        <f t="array" ref="V859">CORREL(IFERROR(VALUE(TRIM(CLEAN($U$2:$U$1001))),0), IFERROR(VALUE(TRIM(CLEAN($P$2:$P$1001))),0))</f>
        <v>0.23135628536430677</v>
      </c>
    </row>
    <row r="860" spans="1:22" x14ac:dyDescent="0.25">
      <c r="A860">
        <v>859</v>
      </c>
      <c r="B860" s="1">
        <v>40582</v>
      </c>
      <c r="C860">
        <v>1</v>
      </c>
      <c r="D860">
        <v>0</v>
      </c>
      <c r="E860">
        <v>2</v>
      </c>
      <c r="F860">
        <v>5</v>
      </c>
      <c r="G860" t="b">
        <v>0</v>
      </c>
      <c r="H860">
        <v>2</v>
      </c>
      <c r="I860">
        <v>1</v>
      </c>
      <c r="J860">
        <v>0.26</v>
      </c>
      <c r="K860">
        <v>0.2273</v>
      </c>
      <c r="L860">
        <v>0.81</v>
      </c>
      <c r="M860">
        <v>0.32840000000000003</v>
      </c>
      <c r="N860">
        <v>0</v>
      </c>
      <c r="O860">
        <v>2</v>
      </c>
      <c r="P860">
        <v>2</v>
      </c>
      <c r="Q860" t="str">
        <f t="shared" si="55"/>
        <v>Weekday</v>
      </c>
      <c r="R860" t="str">
        <f t="shared" si="52"/>
        <v>Clear</v>
      </c>
      <c r="S860">
        <f t="shared" si="53"/>
        <v>-0.25435329828790432</v>
      </c>
      <c r="T860">
        <f t="shared" si="54"/>
        <v>0.10399668008577614</v>
      </c>
      <c r="U860" s="6">
        <v>0.26</v>
      </c>
      <c r="V860">
        <f t="array" ref="V860">CORREL(IFERROR(VALUE(TRIM(CLEAN($U$2:$U$1001))),0), IFERROR(VALUE(TRIM(CLEAN($P$2:$P$1001))),0))</f>
        <v>0.23135628536430677</v>
      </c>
    </row>
    <row r="861" spans="1:22" x14ac:dyDescent="0.25">
      <c r="A861">
        <v>860</v>
      </c>
      <c r="B861" s="1">
        <v>40582</v>
      </c>
      <c r="C861">
        <v>1</v>
      </c>
      <c r="D861">
        <v>0</v>
      </c>
      <c r="E861">
        <v>2</v>
      </c>
      <c r="F861">
        <v>6</v>
      </c>
      <c r="G861" t="b">
        <v>0</v>
      </c>
      <c r="H861">
        <v>2</v>
      </c>
      <c r="I861">
        <v>1</v>
      </c>
      <c r="J861">
        <v>0.26</v>
      </c>
      <c r="K861">
        <v>0.2273</v>
      </c>
      <c r="L861">
        <v>0.7</v>
      </c>
      <c r="M861">
        <v>0.32840000000000003</v>
      </c>
      <c r="N861">
        <v>0</v>
      </c>
      <c r="O861">
        <v>39</v>
      </c>
      <c r="P861">
        <v>39</v>
      </c>
      <c r="Q861" t="str">
        <f t="shared" si="55"/>
        <v>Weekday</v>
      </c>
      <c r="R861" t="str">
        <f t="shared" si="52"/>
        <v>Clear</v>
      </c>
      <c r="S861">
        <f t="shared" si="53"/>
        <v>-0.25435329828790432</v>
      </c>
      <c r="T861">
        <f t="shared" si="54"/>
        <v>0.10399668008577614</v>
      </c>
      <c r="U861" s="6">
        <v>0.26</v>
      </c>
      <c r="V861">
        <f t="array" ref="V861">CORREL(IFERROR(VALUE(TRIM(CLEAN($U$2:$U$1001))),0), IFERROR(VALUE(TRIM(CLEAN($P$2:$P$1001))),0))</f>
        <v>0.23135628536430677</v>
      </c>
    </row>
    <row r="862" spans="1:22" x14ac:dyDescent="0.25">
      <c r="A862">
        <v>861</v>
      </c>
      <c r="B862" s="1">
        <v>40582</v>
      </c>
      <c r="C862">
        <v>1</v>
      </c>
      <c r="D862">
        <v>0</v>
      </c>
      <c r="E862">
        <v>2</v>
      </c>
      <c r="F862">
        <v>7</v>
      </c>
      <c r="G862" t="b">
        <v>0</v>
      </c>
      <c r="H862">
        <v>2</v>
      </c>
      <c r="I862">
        <v>1</v>
      </c>
      <c r="J862">
        <v>0.24</v>
      </c>
      <c r="K862">
        <v>0.19700000000000001</v>
      </c>
      <c r="L862">
        <v>0.65</v>
      </c>
      <c r="M862">
        <v>0.41789999999999999</v>
      </c>
      <c r="N862">
        <v>3</v>
      </c>
      <c r="O862">
        <v>97</v>
      </c>
      <c r="P862">
        <v>100</v>
      </c>
      <c r="Q862" t="str">
        <f t="shared" si="55"/>
        <v>Weekend</v>
      </c>
      <c r="R862" t="str">
        <f t="shared" si="52"/>
        <v>Clear</v>
      </c>
      <c r="S862">
        <f t="shared" si="53"/>
        <v>-0.25435329828790432</v>
      </c>
      <c r="T862">
        <f t="shared" si="54"/>
        <v>0.10399668008577614</v>
      </c>
      <c r="U862" s="6">
        <v>0.24</v>
      </c>
      <c r="V862">
        <f t="array" ref="V862">CORREL(IFERROR(VALUE(TRIM(CLEAN($U$2:$U$1001))),0), IFERROR(VALUE(TRIM(CLEAN($P$2:$P$1001))),0))</f>
        <v>0.23135628536430677</v>
      </c>
    </row>
    <row r="863" spans="1:22" x14ac:dyDescent="0.25">
      <c r="A863">
        <v>862</v>
      </c>
      <c r="B863" s="1">
        <v>40582</v>
      </c>
      <c r="C863">
        <v>1</v>
      </c>
      <c r="D863">
        <v>0</v>
      </c>
      <c r="E863">
        <v>2</v>
      </c>
      <c r="F863">
        <v>8</v>
      </c>
      <c r="G863" t="b">
        <v>0</v>
      </c>
      <c r="H863">
        <v>2</v>
      </c>
      <c r="I863">
        <v>1</v>
      </c>
      <c r="J863">
        <v>0.24</v>
      </c>
      <c r="K863">
        <v>0.19700000000000001</v>
      </c>
      <c r="L863">
        <v>0.56000000000000005</v>
      </c>
      <c r="M863">
        <v>0.49249999999999999</v>
      </c>
      <c r="N863">
        <v>7</v>
      </c>
      <c r="O863">
        <v>236</v>
      </c>
      <c r="P863">
        <v>243</v>
      </c>
      <c r="Q863" t="str">
        <f t="shared" si="55"/>
        <v>Weekend</v>
      </c>
      <c r="R863" t="str">
        <f t="shared" si="52"/>
        <v>Clear</v>
      </c>
      <c r="S863">
        <f t="shared" si="53"/>
        <v>-0.25435329828790432</v>
      </c>
      <c r="T863">
        <f t="shared" si="54"/>
        <v>0.10399668008577614</v>
      </c>
      <c r="U863" s="6">
        <v>0.24</v>
      </c>
      <c r="V863">
        <f t="array" ref="V863">CORREL(IFERROR(VALUE(TRIM(CLEAN($U$2:$U$1001))),0), IFERROR(VALUE(TRIM(CLEAN($P$2:$P$1001))),0))</f>
        <v>0.23135628536430677</v>
      </c>
    </row>
    <row r="864" spans="1:22" x14ac:dyDescent="0.25">
      <c r="A864">
        <v>863</v>
      </c>
      <c r="B864" s="1">
        <v>40582</v>
      </c>
      <c r="C864">
        <v>1</v>
      </c>
      <c r="D864">
        <v>0</v>
      </c>
      <c r="E864">
        <v>2</v>
      </c>
      <c r="F864">
        <v>9</v>
      </c>
      <c r="G864" t="b">
        <v>0</v>
      </c>
      <c r="H864">
        <v>2</v>
      </c>
      <c r="I864">
        <v>1</v>
      </c>
      <c r="J864">
        <v>0.24</v>
      </c>
      <c r="K864">
        <v>0.19700000000000001</v>
      </c>
      <c r="L864">
        <v>0.52</v>
      </c>
      <c r="M864">
        <v>0.49249999999999999</v>
      </c>
      <c r="N864">
        <v>7</v>
      </c>
      <c r="O864">
        <v>128</v>
      </c>
      <c r="P864">
        <v>135</v>
      </c>
      <c r="Q864" t="str">
        <f t="shared" si="55"/>
        <v>Weekday</v>
      </c>
      <c r="R864" t="str">
        <f t="shared" si="52"/>
        <v>Clear</v>
      </c>
      <c r="S864">
        <f t="shared" si="53"/>
        <v>-0.25435329828790432</v>
      </c>
      <c r="T864">
        <f t="shared" si="54"/>
        <v>0.10399668008577614</v>
      </c>
      <c r="U864" s="6">
        <v>0.24</v>
      </c>
      <c r="V864">
        <f t="array" ref="V864">CORREL(IFERROR(VALUE(TRIM(CLEAN($U$2:$U$1001))),0), IFERROR(VALUE(TRIM(CLEAN($P$2:$P$1001))),0))</f>
        <v>0.23135628536430677</v>
      </c>
    </row>
    <row r="865" spans="1:22" x14ac:dyDescent="0.25">
      <c r="A865">
        <v>864</v>
      </c>
      <c r="B865" s="1">
        <v>40582</v>
      </c>
      <c r="C865">
        <v>1</v>
      </c>
      <c r="D865">
        <v>0</v>
      </c>
      <c r="E865">
        <v>2</v>
      </c>
      <c r="F865">
        <v>10</v>
      </c>
      <c r="G865" t="b">
        <v>0</v>
      </c>
      <c r="H865">
        <v>2</v>
      </c>
      <c r="I865">
        <v>1</v>
      </c>
      <c r="J865">
        <v>0.22</v>
      </c>
      <c r="K865">
        <v>0.18179999999999999</v>
      </c>
      <c r="L865">
        <v>0.47</v>
      </c>
      <c r="M865">
        <v>0.55220000000000002</v>
      </c>
      <c r="N865">
        <v>4</v>
      </c>
      <c r="O865">
        <v>44</v>
      </c>
      <c r="P865">
        <v>48</v>
      </c>
      <c r="Q865" t="str">
        <f t="shared" si="55"/>
        <v>Weekday</v>
      </c>
      <c r="R865" t="str">
        <f t="shared" si="52"/>
        <v>Clear</v>
      </c>
      <c r="S865">
        <f t="shared" si="53"/>
        <v>-0.25435329828790432</v>
      </c>
      <c r="T865">
        <f t="shared" si="54"/>
        <v>0.10399668008577614</v>
      </c>
      <c r="U865" s="6">
        <v>0.22</v>
      </c>
      <c r="V865">
        <f t="array" ref="V865">CORREL(IFERROR(VALUE(TRIM(CLEAN($U$2:$U$1001))),0), IFERROR(VALUE(TRIM(CLEAN($P$2:$P$1001))),0))</f>
        <v>0.23135628536430677</v>
      </c>
    </row>
    <row r="866" spans="1:22" x14ac:dyDescent="0.25">
      <c r="A866">
        <v>865</v>
      </c>
      <c r="B866" s="1">
        <v>40582</v>
      </c>
      <c r="C866">
        <v>1</v>
      </c>
      <c r="D866">
        <v>0</v>
      </c>
      <c r="E866">
        <v>2</v>
      </c>
      <c r="F866">
        <v>11</v>
      </c>
      <c r="G866" t="b">
        <v>0</v>
      </c>
      <c r="H866">
        <v>2</v>
      </c>
      <c r="I866">
        <v>1</v>
      </c>
      <c r="J866">
        <v>0.22</v>
      </c>
      <c r="K866">
        <v>0.18179999999999999</v>
      </c>
      <c r="L866">
        <v>0.47</v>
      </c>
      <c r="M866">
        <v>0.4627</v>
      </c>
      <c r="N866">
        <v>1</v>
      </c>
      <c r="O866">
        <v>49</v>
      </c>
      <c r="P866">
        <v>50</v>
      </c>
      <c r="Q866" t="str">
        <f t="shared" si="55"/>
        <v>Weekday</v>
      </c>
      <c r="R866" t="str">
        <f t="shared" si="52"/>
        <v>Clear</v>
      </c>
      <c r="S866">
        <f t="shared" si="53"/>
        <v>-0.25435329828790432</v>
      </c>
      <c r="T866">
        <f t="shared" si="54"/>
        <v>0.10399668008577614</v>
      </c>
      <c r="U866" s="6">
        <v>0.22</v>
      </c>
      <c r="V866">
        <f t="array" ref="V866">CORREL(IFERROR(VALUE(TRIM(CLEAN($U$2:$U$1001))),0), IFERROR(VALUE(TRIM(CLEAN($P$2:$P$1001))),0))</f>
        <v>0.23135628536430677</v>
      </c>
    </row>
    <row r="867" spans="1:22" x14ac:dyDescent="0.25">
      <c r="A867">
        <v>866</v>
      </c>
      <c r="B867" s="1">
        <v>40582</v>
      </c>
      <c r="C867">
        <v>1</v>
      </c>
      <c r="D867">
        <v>0</v>
      </c>
      <c r="E867">
        <v>2</v>
      </c>
      <c r="F867">
        <v>12</v>
      </c>
      <c r="G867" t="b">
        <v>0</v>
      </c>
      <c r="H867">
        <v>2</v>
      </c>
      <c r="I867">
        <v>1</v>
      </c>
      <c r="J867">
        <v>0.24</v>
      </c>
      <c r="K867">
        <v>0.19700000000000001</v>
      </c>
      <c r="L867">
        <v>0.38</v>
      </c>
      <c r="M867">
        <v>0.49249999999999999</v>
      </c>
      <c r="N867">
        <v>2</v>
      </c>
      <c r="O867">
        <v>63</v>
      </c>
      <c r="P867">
        <v>65</v>
      </c>
      <c r="Q867" t="str">
        <f t="shared" si="55"/>
        <v>Weekday</v>
      </c>
      <c r="R867" t="str">
        <f t="shared" si="52"/>
        <v>Clear</v>
      </c>
      <c r="S867">
        <f t="shared" si="53"/>
        <v>-0.25435329828790432</v>
      </c>
      <c r="T867">
        <f t="shared" si="54"/>
        <v>0.10399668008577614</v>
      </c>
      <c r="U867" s="6">
        <v>0.24</v>
      </c>
      <c r="V867">
        <f t="array" ref="V867">CORREL(IFERROR(VALUE(TRIM(CLEAN($U$2:$U$1001))),0), IFERROR(VALUE(TRIM(CLEAN($P$2:$P$1001))),0))</f>
        <v>0.23135628536430677</v>
      </c>
    </row>
    <row r="868" spans="1:22" x14ac:dyDescent="0.25">
      <c r="A868">
        <v>867</v>
      </c>
      <c r="B868" s="1">
        <v>40582</v>
      </c>
      <c r="C868">
        <v>1</v>
      </c>
      <c r="D868">
        <v>0</v>
      </c>
      <c r="E868">
        <v>2</v>
      </c>
      <c r="F868">
        <v>13</v>
      </c>
      <c r="G868" t="b">
        <v>0</v>
      </c>
      <c r="H868">
        <v>2</v>
      </c>
      <c r="I868">
        <v>2</v>
      </c>
      <c r="J868">
        <v>0.24</v>
      </c>
      <c r="K868">
        <v>0.19700000000000001</v>
      </c>
      <c r="L868">
        <v>0.32</v>
      </c>
      <c r="M868">
        <v>0.44779999999999998</v>
      </c>
      <c r="N868">
        <v>2</v>
      </c>
      <c r="O868">
        <v>48</v>
      </c>
      <c r="P868">
        <v>50</v>
      </c>
      <c r="Q868" t="str">
        <f t="shared" si="55"/>
        <v>Weekday</v>
      </c>
      <c r="R868" t="str">
        <f t="shared" si="52"/>
        <v>Mist/Cloudy</v>
      </c>
      <c r="S868">
        <f t="shared" si="53"/>
        <v>-0.25435329828790432</v>
      </c>
      <c r="T868">
        <f t="shared" si="54"/>
        <v>0.10399668008577614</v>
      </c>
      <c r="U868" s="6">
        <v>0.24</v>
      </c>
      <c r="V868">
        <f t="array" ref="V868">CORREL(IFERROR(VALUE(TRIM(CLEAN($U$2:$U$1001))),0), IFERROR(VALUE(TRIM(CLEAN($P$2:$P$1001))),0))</f>
        <v>0.23135628536430677</v>
      </c>
    </row>
    <row r="869" spans="1:22" x14ac:dyDescent="0.25">
      <c r="A869">
        <v>868</v>
      </c>
      <c r="B869" s="1">
        <v>40582</v>
      </c>
      <c r="C869">
        <v>1</v>
      </c>
      <c r="D869">
        <v>0</v>
      </c>
      <c r="E869">
        <v>2</v>
      </c>
      <c r="F869">
        <v>14</v>
      </c>
      <c r="G869" t="b">
        <v>0</v>
      </c>
      <c r="H869">
        <v>2</v>
      </c>
      <c r="I869">
        <v>1</v>
      </c>
      <c r="J869">
        <v>0.22</v>
      </c>
      <c r="K869">
        <v>0.19700000000000001</v>
      </c>
      <c r="L869">
        <v>0.37</v>
      </c>
      <c r="M869">
        <v>0.41789999999999999</v>
      </c>
      <c r="N869">
        <v>3</v>
      </c>
      <c r="O869">
        <v>61</v>
      </c>
      <c r="P869">
        <v>64</v>
      </c>
      <c r="Q869" t="str">
        <f t="shared" si="55"/>
        <v>Weekend</v>
      </c>
      <c r="R869" t="str">
        <f t="shared" si="52"/>
        <v>Clear</v>
      </c>
      <c r="S869">
        <f t="shared" si="53"/>
        <v>-0.25435329828790432</v>
      </c>
      <c r="T869">
        <f t="shared" si="54"/>
        <v>0.10399668008577614</v>
      </c>
      <c r="U869" s="6">
        <v>0.22</v>
      </c>
      <c r="V869">
        <f t="array" ref="V869">CORREL(IFERROR(VALUE(TRIM(CLEAN($U$2:$U$1001))),0), IFERROR(VALUE(TRIM(CLEAN($P$2:$P$1001))),0))</f>
        <v>0.23135628536430677</v>
      </c>
    </row>
    <row r="870" spans="1:22" x14ac:dyDescent="0.25">
      <c r="A870">
        <v>869</v>
      </c>
      <c r="B870" s="1">
        <v>40582</v>
      </c>
      <c r="C870">
        <v>1</v>
      </c>
      <c r="D870">
        <v>0</v>
      </c>
      <c r="E870">
        <v>2</v>
      </c>
      <c r="F870">
        <v>15</v>
      </c>
      <c r="G870" t="b">
        <v>0</v>
      </c>
      <c r="H870">
        <v>2</v>
      </c>
      <c r="I870">
        <v>1</v>
      </c>
      <c r="J870">
        <v>0.22</v>
      </c>
      <c r="K870">
        <v>0.19700000000000001</v>
      </c>
      <c r="L870">
        <v>0.35</v>
      </c>
      <c r="M870">
        <v>0.3881</v>
      </c>
      <c r="N870">
        <v>6</v>
      </c>
      <c r="O870">
        <v>45</v>
      </c>
      <c r="P870">
        <v>51</v>
      </c>
      <c r="Q870" t="str">
        <f t="shared" si="55"/>
        <v>Weekend</v>
      </c>
      <c r="R870" t="str">
        <f t="shared" si="52"/>
        <v>Clear</v>
      </c>
      <c r="S870">
        <f t="shared" si="53"/>
        <v>-0.25435329828790432</v>
      </c>
      <c r="T870">
        <f t="shared" si="54"/>
        <v>0.10399668008577614</v>
      </c>
      <c r="U870" s="6">
        <v>0.22</v>
      </c>
      <c r="V870">
        <f t="array" ref="V870">CORREL(IFERROR(VALUE(TRIM(CLEAN($U$2:$U$1001))),0), IFERROR(VALUE(TRIM(CLEAN($P$2:$P$1001))),0))</f>
        <v>0.23135628536430677</v>
      </c>
    </row>
    <row r="871" spans="1:22" x14ac:dyDescent="0.25">
      <c r="A871">
        <v>870</v>
      </c>
      <c r="B871" s="1">
        <v>40582</v>
      </c>
      <c r="C871">
        <v>1</v>
      </c>
      <c r="D871">
        <v>0</v>
      </c>
      <c r="E871">
        <v>2</v>
      </c>
      <c r="F871">
        <v>16</v>
      </c>
      <c r="G871" t="b">
        <v>0</v>
      </c>
      <c r="H871">
        <v>2</v>
      </c>
      <c r="I871">
        <v>1</v>
      </c>
      <c r="J871">
        <v>0.22</v>
      </c>
      <c r="K871">
        <v>0.18179999999999999</v>
      </c>
      <c r="L871">
        <v>0.35</v>
      </c>
      <c r="M871">
        <v>0.52239999999999998</v>
      </c>
      <c r="N871">
        <v>4</v>
      </c>
      <c r="O871">
        <v>79</v>
      </c>
      <c r="P871">
        <v>83</v>
      </c>
      <c r="Q871" t="str">
        <f t="shared" si="55"/>
        <v>Weekday</v>
      </c>
      <c r="R871" t="str">
        <f t="shared" si="52"/>
        <v>Clear</v>
      </c>
      <c r="S871">
        <f t="shared" si="53"/>
        <v>-0.25435329828790432</v>
      </c>
      <c r="T871">
        <f t="shared" si="54"/>
        <v>0.10399668008577614</v>
      </c>
      <c r="U871" s="6">
        <v>0.22</v>
      </c>
      <c r="V871">
        <f t="array" ref="V871">CORREL(IFERROR(VALUE(TRIM(CLEAN($U$2:$U$1001))),0), IFERROR(VALUE(TRIM(CLEAN($P$2:$P$1001))),0))</f>
        <v>0.23135628536430677</v>
      </c>
    </row>
    <row r="872" spans="1:22" x14ac:dyDescent="0.25">
      <c r="A872">
        <v>871</v>
      </c>
      <c r="B872" s="1">
        <v>40582</v>
      </c>
      <c r="C872">
        <v>1</v>
      </c>
      <c r="D872">
        <v>0</v>
      </c>
      <c r="E872">
        <v>2</v>
      </c>
      <c r="F872">
        <v>17</v>
      </c>
      <c r="G872" t="b">
        <v>0</v>
      </c>
      <c r="H872">
        <v>2</v>
      </c>
      <c r="I872">
        <v>1</v>
      </c>
      <c r="J872">
        <v>0.22</v>
      </c>
      <c r="K872">
        <v>0.18179999999999999</v>
      </c>
      <c r="L872">
        <v>0.32</v>
      </c>
      <c r="M872">
        <v>0.58209999999999995</v>
      </c>
      <c r="N872">
        <v>4</v>
      </c>
      <c r="O872">
        <v>172</v>
      </c>
      <c r="P872">
        <v>176</v>
      </c>
      <c r="Q872" t="str">
        <f t="shared" si="55"/>
        <v>Weekday</v>
      </c>
      <c r="R872" t="str">
        <f t="shared" si="52"/>
        <v>Clear</v>
      </c>
      <c r="S872">
        <f t="shared" si="53"/>
        <v>-0.25435329828790432</v>
      </c>
      <c r="T872">
        <f t="shared" si="54"/>
        <v>0.10399668008577614</v>
      </c>
      <c r="U872" s="6">
        <v>0.22</v>
      </c>
      <c r="V872">
        <f t="array" ref="V872">CORREL(IFERROR(VALUE(TRIM(CLEAN($U$2:$U$1001))),0), IFERROR(VALUE(TRIM(CLEAN($P$2:$P$1001))),0))</f>
        <v>0.23135628536430677</v>
      </c>
    </row>
    <row r="873" spans="1:22" x14ac:dyDescent="0.25">
      <c r="A873">
        <v>872</v>
      </c>
      <c r="B873" s="1">
        <v>40582</v>
      </c>
      <c r="C873">
        <v>1</v>
      </c>
      <c r="D873">
        <v>0</v>
      </c>
      <c r="E873">
        <v>2</v>
      </c>
      <c r="F873">
        <v>18</v>
      </c>
      <c r="G873" t="b">
        <v>0</v>
      </c>
      <c r="H873">
        <v>2</v>
      </c>
      <c r="I873">
        <v>1</v>
      </c>
      <c r="J873">
        <v>0.2</v>
      </c>
      <c r="K873">
        <v>0.18179999999999999</v>
      </c>
      <c r="L873">
        <v>0.32</v>
      </c>
      <c r="M873">
        <v>0.3881</v>
      </c>
      <c r="N873">
        <v>1</v>
      </c>
      <c r="O873">
        <v>151</v>
      </c>
      <c r="P873">
        <v>152</v>
      </c>
      <c r="Q873" t="str">
        <f t="shared" si="55"/>
        <v>Weekday</v>
      </c>
      <c r="R873" t="str">
        <f t="shared" si="52"/>
        <v>Clear</v>
      </c>
      <c r="S873">
        <f t="shared" si="53"/>
        <v>-0.25435329828790432</v>
      </c>
      <c r="T873">
        <f t="shared" si="54"/>
        <v>0.10399668008577614</v>
      </c>
      <c r="U873" s="6">
        <v>0.2</v>
      </c>
      <c r="V873">
        <f t="array" ref="V873">CORREL(IFERROR(VALUE(TRIM(CLEAN($U$2:$U$1001))),0), IFERROR(VALUE(TRIM(CLEAN($P$2:$P$1001))),0))</f>
        <v>0.23135628536430677</v>
      </c>
    </row>
    <row r="874" spans="1:22" x14ac:dyDescent="0.25">
      <c r="A874">
        <v>873</v>
      </c>
      <c r="B874" s="1">
        <v>40582</v>
      </c>
      <c r="C874">
        <v>1</v>
      </c>
      <c r="D874">
        <v>0</v>
      </c>
      <c r="E874">
        <v>2</v>
      </c>
      <c r="F874">
        <v>19</v>
      </c>
      <c r="G874" t="b">
        <v>0</v>
      </c>
      <c r="H874">
        <v>2</v>
      </c>
      <c r="I874">
        <v>1</v>
      </c>
      <c r="J874">
        <v>0.16</v>
      </c>
      <c r="K874">
        <v>0.1212</v>
      </c>
      <c r="L874">
        <v>0.4</v>
      </c>
      <c r="M874">
        <v>0.4627</v>
      </c>
      <c r="N874">
        <v>1</v>
      </c>
      <c r="O874">
        <v>100</v>
      </c>
      <c r="P874">
        <v>101</v>
      </c>
      <c r="Q874" t="str">
        <f t="shared" si="55"/>
        <v>Weekday</v>
      </c>
      <c r="R874" t="str">
        <f t="shared" si="52"/>
        <v>Clear</v>
      </c>
      <c r="S874">
        <f t="shared" si="53"/>
        <v>-0.25435329828790432</v>
      </c>
      <c r="T874">
        <f t="shared" si="54"/>
        <v>0.10399668008577614</v>
      </c>
      <c r="U874" s="6">
        <v>0.16</v>
      </c>
      <c r="V874">
        <f t="array" ref="V874">CORREL(IFERROR(VALUE(TRIM(CLEAN($U$2:$U$1001))),0), IFERROR(VALUE(TRIM(CLEAN($P$2:$P$1001))),0))</f>
        <v>0.23135628536430677</v>
      </c>
    </row>
    <row r="875" spans="1:22" x14ac:dyDescent="0.25">
      <c r="A875">
        <v>874</v>
      </c>
      <c r="B875" s="1">
        <v>40582</v>
      </c>
      <c r="C875">
        <v>1</v>
      </c>
      <c r="D875">
        <v>0</v>
      </c>
      <c r="E875">
        <v>2</v>
      </c>
      <c r="F875">
        <v>20</v>
      </c>
      <c r="G875" t="b">
        <v>0</v>
      </c>
      <c r="H875">
        <v>2</v>
      </c>
      <c r="I875">
        <v>1</v>
      </c>
      <c r="J875">
        <v>0.16</v>
      </c>
      <c r="K875">
        <v>0.13639999999999999</v>
      </c>
      <c r="L875">
        <v>0.4</v>
      </c>
      <c r="M875">
        <v>0.32840000000000003</v>
      </c>
      <c r="N875">
        <v>3</v>
      </c>
      <c r="O875">
        <v>53</v>
      </c>
      <c r="P875">
        <v>56</v>
      </c>
      <c r="Q875" t="str">
        <f t="shared" si="55"/>
        <v>Weekday</v>
      </c>
      <c r="R875" t="str">
        <f t="shared" si="52"/>
        <v>Clear</v>
      </c>
      <c r="S875">
        <f t="shared" si="53"/>
        <v>-0.25435329828790432</v>
      </c>
      <c r="T875">
        <f t="shared" si="54"/>
        <v>0.10399668008577614</v>
      </c>
      <c r="U875" s="6">
        <v>0.16</v>
      </c>
      <c r="V875">
        <f t="array" ref="V875">CORREL(IFERROR(VALUE(TRIM(CLEAN($U$2:$U$1001))),0), IFERROR(VALUE(TRIM(CLEAN($P$2:$P$1001))),0))</f>
        <v>0.23135628536430677</v>
      </c>
    </row>
    <row r="876" spans="1:22" x14ac:dyDescent="0.25">
      <c r="A876">
        <v>875</v>
      </c>
      <c r="B876" s="1">
        <v>40582</v>
      </c>
      <c r="C876">
        <v>1</v>
      </c>
      <c r="D876">
        <v>0</v>
      </c>
      <c r="E876">
        <v>2</v>
      </c>
      <c r="F876">
        <v>21</v>
      </c>
      <c r="G876" t="b">
        <v>0</v>
      </c>
      <c r="H876">
        <v>2</v>
      </c>
      <c r="I876">
        <v>1</v>
      </c>
      <c r="J876">
        <v>0.14000000000000001</v>
      </c>
      <c r="K876">
        <v>0.1061</v>
      </c>
      <c r="L876">
        <v>0.33</v>
      </c>
      <c r="M876">
        <v>0.4627</v>
      </c>
      <c r="N876">
        <v>8</v>
      </c>
      <c r="O876">
        <v>46</v>
      </c>
      <c r="P876">
        <v>54</v>
      </c>
      <c r="Q876" t="str">
        <f t="shared" si="55"/>
        <v>Weekend</v>
      </c>
      <c r="R876" t="str">
        <f t="shared" si="52"/>
        <v>Clear</v>
      </c>
      <c r="S876">
        <f t="shared" si="53"/>
        <v>-0.25435329828790432</v>
      </c>
      <c r="T876">
        <f t="shared" si="54"/>
        <v>0.10399668008577614</v>
      </c>
      <c r="U876" s="6">
        <v>0.14000000000000001</v>
      </c>
      <c r="V876">
        <f t="array" ref="V876">CORREL(IFERROR(VALUE(TRIM(CLEAN($U$2:$U$1001))),0), IFERROR(VALUE(TRIM(CLEAN($P$2:$P$1001))),0))</f>
        <v>0.23135628536430677</v>
      </c>
    </row>
    <row r="877" spans="1:22" x14ac:dyDescent="0.25">
      <c r="A877">
        <v>876</v>
      </c>
      <c r="B877" s="1">
        <v>40582</v>
      </c>
      <c r="C877">
        <v>1</v>
      </c>
      <c r="D877">
        <v>0</v>
      </c>
      <c r="E877">
        <v>2</v>
      </c>
      <c r="F877">
        <v>22</v>
      </c>
      <c r="G877" t="b">
        <v>0</v>
      </c>
      <c r="H877">
        <v>2</v>
      </c>
      <c r="I877">
        <v>1</v>
      </c>
      <c r="J877">
        <v>0.12</v>
      </c>
      <c r="K877">
        <v>0.1061</v>
      </c>
      <c r="L877">
        <v>0.33</v>
      </c>
      <c r="M877">
        <v>0.35820000000000002</v>
      </c>
      <c r="N877">
        <v>0</v>
      </c>
      <c r="O877">
        <v>29</v>
      </c>
      <c r="P877">
        <v>29</v>
      </c>
      <c r="Q877" t="str">
        <f t="shared" si="55"/>
        <v>Weekend</v>
      </c>
      <c r="R877" t="str">
        <f t="shared" si="52"/>
        <v>Clear</v>
      </c>
      <c r="S877">
        <f t="shared" si="53"/>
        <v>-0.25435329828790432</v>
      </c>
      <c r="T877">
        <f t="shared" si="54"/>
        <v>0.10399668008577614</v>
      </c>
      <c r="U877" s="6">
        <v>0.12</v>
      </c>
      <c r="V877">
        <f t="array" ref="V877">CORREL(IFERROR(VALUE(TRIM(CLEAN($U$2:$U$1001))),0), IFERROR(VALUE(TRIM(CLEAN($P$2:$P$1001))),0))</f>
        <v>0.23135628536430677</v>
      </c>
    </row>
    <row r="878" spans="1:22" x14ac:dyDescent="0.25">
      <c r="A878">
        <v>877</v>
      </c>
      <c r="B878" s="1">
        <v>40582</v>
      </c>
      <c r="C878">
        <v>1</v>
      </c>
      <c r="D878">
        <v>0</v>
      </c>
      <c r="E878">
        <v>2</v>
      </c>
      <c r="F878">
        <v>23</v>
      </c>
      <c r="G878" t="b">
        <v>0</v>
      </c>
      <c r="H878">
        <v>2</v>
      </c>
      <c r="I878">
        <v>1</v>
      </c>
      <c r="J878">
        <v>0.12</v>
      </c>
      <c r="K878">
        <v>0.1061</v>
      </c>
      <c r="L878">
        <v>0.33</v>
      </c>
      <c r="M878">
        <v>0.32840000000000003</v>
      </c>
      <c r="N878">
        <v>3</v>
      </c>
      <c r="O878">
        <v>9</v>
      </c>
      <c r="P878">
        <v>12</v>
      </c>
      <c r="Q878" t="str">
        <f t="shared" si="55"/>
        <v>Weekday</v>
      </c>
      <c r="R878" t="str">
        <f t="shared" si="52"/>
        <v>Clear</v>
      </c>
      <c r="S878">
        <f t="shared" si="53"/>
        <v>-0.25435329828790432</v>
      </c>
      <c r="T878">
        <f t="shared" si="54"/>
        <v>0.10399668008577614</v>
      </c>
      <c r="U878" s="6">
        <v>0.12</v>
      </c>
      <c r="V878">
        <f t="array" ref="V878">CORREL(IFERROR(VALUE(TRIM(CLEAN($U$2:$U$1001))),0), IFERROR(VALUE(TRIM(CLEAN($P$2:$P$1001))),0))</f>
        <v>0.23135628536430677</v>
      </c>
    </row>
    <row r="879" spans="1:22" x14ac:dyDescent="0.25">
      <c r="A879">
        <v>878</v>
      </c>
      <c r="B879" s="1">
        <v>40583</v>
      </c>
      <c r="C879">
        <v>1</v>
      </c>
      <c r="D879">
        <v>0</v>
      </c>
      <c r="E879">
        <v>2</v>
      </c>
      <c r="F879">
        <v>0</v>
      </c>
      <c r="G879" t="b">
        <v>0</v>
      </c>
      <c r="H879">
        <v>3</v>
      </c>
      <c r="I879">
        <v>1</v>
      </c>
      <c r="J879">
        <v>0.1</v>
      </c>
      <c r="K879">
        <v>7.5800000000000006E-2</v>
      </c>
      <c r="L879">
        <v>0.36</v>
      </c>
      <c r="M879">
        <v>0.35820000000000002</v>
      </c>
      <c r="N879">
        <v>0</v>
      </c>
      <c r="O879">
        <v>17</v>
      </c>
      <c r="P879">
        <v>17</v>
      </c>
      <c r="Q879" t="str">
        <f t="shared" si="55"/>
        <v>Weekday</v>
      </c>
      <c r="R879" t="str">
        <f t="shared" si="52"/>
        <v>Clear</v>
      </c>
      <c r="S879">
        <f t="shared" si="53"/>
        <v>-0.25435329828790432</v>
      </c>
      <c r="T879">
        <f t="shared" si="54"/>
        <v>0.10399668008577614</v>
      </c>
      <c r="U879" s="6">
        <v>0.1</v>
      </c>
      <c r="V879">
        <f t="array" ref="V879">CORREL(IFERROR(VALUE(TRIM(CLEAN($U$2:$U$1001))),0), IFERROR(VALUE(TRIM(CLEAN($P$2:$P$1001))),0))</f>
        <v>0.23135628536430677</v>
      </c>
    </row>
    <row r="880" spans="1:22" x14ac:dyDescent="0.25">
      <c r="A880">
        <v>879</v>
      </c>
      <c r="B880" s="1">
        <v>40583</v>
      </c>
      <c r="C880">
        <v>1</v>
      </c>
      <c r="D880">
        <v>0</v>
      </c>
      <c r="E880">
        <v>2</v>
      </c>
      <c r="F880">
        <v>1</v>
      </c>
      <c r="G880" t="b">
        <v>0</v>
      </c>
      <c r="H880">
        <v>3</v>
      </c>
      <c r="I880">
        <v>1</v>
      </c>
      <c r="J880">
        <v>0.1</v>
      </c>
      <c r="K880">
        <v>0.1061</v>
      </c>
      <c r="L880">
        <v>0.36</v>
      </c>
      <c r="M880">
        <v>0.22389999999999999</v>
      </c>
      <c r="N880">
        <v>0</v>
      </c>
      <c r="O880">
        <v>7</v>
      </c>
      <c r="P880">
        <v>7</v>
      </c>
      <c r="Q880" t="str">
        <f t="shared" si="55"/>
        <v>Weekday</v>
      </c>
      <c r="R880" t="str">
        <f t="shared" si="52"/>
        <v>Clear</v>
      </c>
      <c r="S880">
        <f t="shared" si="53"/>
        <v>-0.25435329828790432</v>
      </c>
      <c r="T880">
        <f t="shared" si="54"/>
        <v>0.10399668008577614</v>
      </c>
      <c r="U880" s="6">
        <v>0.1</v>
      </c>
      <c r="V880">
        <f t="array" ref="V880">CORREL(IFERROR(VALUE(TRIM(CLEAN($U$2:$U$1001))),0), IFERROR(VALUE(TRIM(CLEAN($P$2:$P$1001))),0))</f>
        <v>0.23135628536430677</v>
      </c>
    </row>
    <row r="881" spans="1:22" x14ac:dyDescent="0.25">
      <c r="A881">
        <v>880</v>
      </c>
      <c r="B881" s="1">
        <v>40583</v>
      </c>
      <c r="C881">
        <v>1</v>
      </c>
      <c r="D881">
        <v>0</v>
      </c>
      <c r="E881">
        <v>2</v>
      </c>
      <c r="F881">
        <v>2</v>
      </c>
      <c r="G881" t="b">
        <v>0</v>
      </c>
      <c r="H881">
        <v>3</v>
      </c>
      <c r="I881">
        <v>1</v>
      </c>
      <c r="J881">
        <v>0.08</v>
      </c>
      <c r="K881">
        <v>7.5800000000000006E-2</v>
      </c>
      <c r="L881">
        <v>0.38</v>
      </c>
      <c r="M881">
        <v>0.28360000000000002</v>
      </c>
      <c r="N881">
        <v>1</v>
      </c>
      <c r="O881">
        <v>2</v>
      </c>
      <c r="P881">
        <v>3</v>
      </c>
      <c r="Q881" t="str">
        <f t="shared" si="55"/>
        <v>Weekday</v>
      </c>
      <c r="R881" t="str">
        <f t="shared" si="52"/>
        <v>Clear</v>
      </c>
      <c r="S881">
        <f t="shared" si="53"/>
        <v>-0.25435329828790432</v>
      </c>
      <c r="T881">
        <f t="shared" si="54"/>
        <v>0.10399668008577614</v>
      </c>
      <c r="U881" s="6">
        <v>0.08</v>
      </c>
      <c r="V881">
        <f t="array" ref="V881">CORREL(IFERROR(VALUE(TRIM(CLEAN($U$2:$U$1001))),0), IFERROR(VALUE(TRIM(CLEAN($P$2:$P$1001))),0))</f>
        <v>0.23135628536430677</v>
      </c>
    </row>
    <row r="882" spans="1:22" x14ac:dyDescent="0.25">
      <c r="A882">
        <v>881</v>
      </c>
      <c r="B882" s="1">
        <v>40583</v>
      </c>
      <c r="C882">
        <v>1</v>
      </c>
      <c r="D882">
        <v>0</v>
      </c>
      <c r="E882">
        <v>2</v>
      </c>
      <c r="F882">
        <v>3</v>
      </c>
      <c r="G882" t="b">
        <v>0</v>
      </c>
      <c r="H882">
        <v>3</v>
      </c>
      <c r="I882">
        <v>1</v>
      </c>
      <c r="J882">
        <v>0.06</v>
      </c>
      <c r="K882">
        <v>7.5800000000000006E-2</v>
      </c>
      <c r="L882">
        <v>0.45</v>
      </c>
      <c r="M882">
        <v>0.1343</v>
      </c>
      <c r="N882">
        <v>0</v>
      </c>
      <c r="O882">
        <v>2</v>
      </c>
      <c r="P882">
        <v>2</v>
      </c>
      <c r="Q882" t="str">
        <f t="shared" si="55"/>
        <v>Weekday</v>
      </c>
      <c r="R882" t="str">
        <f t="shared" si="52"/>
        <v>Clear</v>
      </c>
      <c r="S882">
        <f t="shared" si="53"/>
        <v>-0.25435329828790432</v>
      </c>
      <c r="T882">
        <f t="shared" si="54"/>
        <v>0.10399668008577614</v>
      </c>
      <c r="U882" s="6">
        <v>0.06</v>
      </c>
      <c r="V882">
        <f t="array" ref="V882">CORREL(IFERROR(VALUE(TRIM(CLEAN($U$2:$U$1001))),0), IFERROR(VALUE(TRIM(CLEAN($P$2:$P$1001))),0))</f>
        <v>0.23135628536430677</v>
      </c>
    </row>
    <row r="883" spans="1:22" x14ac:dyDescent="0.25">
      <c r="A883">
        <v>882</v>
      </c>
      <c r="B883" s="1">
        <v>40583</v>
      </c>
      <c r="C883">
        <v>1</v>
      </c>
      <c r="D883">
        <v>0</v>
      </c>
      <c r="E883">
        <v>2</v>
      </c>
      <c r="F883">
        <v>5</v>
      </c>
      <c r="G883" t="b">
        <v>0</v>
      </c>
      <c r="H883">
        <v>3</v>
      </c>
      <c r="I883">
        <v>1</v>
      </c>
      <c r="J883">
        <v>0.06</v>
      </c>
      <c r="K883">
        <v>0.1061</v>
      </c>
      <c r="L883">
        <v>0.45</v>
      </c>
      <c r="M883">
        <v>0.1045</v>
      </c>
      <c r="N883">
        <v>0</v>
      </c>
      <c r="O883">
        <v>7</v>
      </c>
      <c r="P883">
        <v>7</v>
      </c>
      <c r="Q883" t="str">
        <f t="shared" si="55"/>
        <v>Weekend</v>
      </c>
      <c r="R883" t="str">
        <f t="shared" si="52"/>
        <v>Clear</v>
      </c>
      <c r="S883">
        <f t="shared" si="53"/>
        <v>-0.25435329828790432</v>
      </c>
      <c r="T883">
        <f t="shared" si="54"/>
        <v>0.10399668008577614</v>
      </c>
      <c r="U883" s="6">
        <v>0.06</v>
      </c>
      <c r="V883">
        <f t="array" ref="V883">CORREL(IFERROR(VALUE(TRIM(CLEAN($U$2:$U$1001))),0), IFERROR(VALUE(TRIM(CLEAN($P$2:$P$1001))),0))</f>
        <v>0.23135628536430677</v>
      </c>
    </row>
    <row r="884" spans="1:22" x14ac:dyDescent="0.25">
      <c r="A884">
        <v>883</v>
      </c>
      <c r="B884" s="1">
        <v>40583</v>
      </c>
      <c r="C884">
        <v>1</v>
      </c>
      <c r="D884">
        <v>0</v>
      </c>
      <c r="E884">
        <v>2</v>
      </c>
      <c r="F884">
        <v>6</v>
      </c>
      <c r="G884" t="b">
        <v>0</v>
      </c>
      <c r="H884">
        <v>3</v>
      </c>
      <c r="I884">
        <v>1</v>
      </c>
      <c r="J884">
        <v>0.06</v>
      </c>
      <c r="K884">
        <v>0.1515</v>
      </c>
      <c r="L884">
        <v>0.45</v>
      </c>
      <c r="M884">
        <v>0</v>
      </c>
      <c r="N884">
        <v>0</v>
      </c>
      <c r="O884">
        <v>43</v>
      </c>
      <c r="P884">
        <v>43</v>
      </c>
      <c r="Q884" t="str">
        <f t="shared" si="55"/>
        <v>Weekend</v>
      </c>
      <c r="R884" t="str">
        <f t="shared" si="52"/>
        <v>Clear</v>
      </c>
      <c r="S884">
        <f t="shared" si="53"/>
        <v>-0.25435329828790432</v>
      </c>
      <c r="T884">
        <f t="shared" si="54"/>
        <v>0.10399668008577614</v>
      </c>
      <c r="U884" s="6">
        <v>0.06</v>
      </c>
      <c r="V884">
        <f t="array" ref="V884">CORREL(IFERROR(VALUE(TRIM(CLEAN($U$2:$U$1001))),0), IFERROR(VALUE(TRIM(CLEAN($P$2:$P$1001))),0))</f>
        <v>0.23135628536430677</v>
      </c>
    </row>
    <row r="885" spans="1:22" x14ac:dyDescent="0.25">
      <c r="A885">
        <v>884</v>
      </c>
      <c r="B885" s="1">
        <v>40583</v>
      </c>
      <c r="C885">
        <v>1</v>
      </c>
      <c r="D885">
        <v>0</v>
      </c>
      <c r="E885">
        <v>2</v>
      </c>
      <c r="F885">
        <v>7</v>
      </c>
      <c r="G885" t="b">
        <v>0</v>
      </c>
      <c r="H885">
        <v>3</v>
      </c>
      <c r="I885">
        <v>1</v>
      </c>
      <c r="J885">
        <v>0.06</v>
      </c>
      <c r="K885">
        <v>0.1061</v>
      </c>
      <c r="L885">
        <v>0.49</v>
      </c>
      <c r="M885">
        <v>0.1045</v>
      </c>
      <c r="N885">
        <v>4</v>
      </c>
      <c r="O885">
        <v>95</v>
      </c>
      <c r="P885">
        <v>99</v>
      </c>
      <c r="Q885" t="str">
        <f t="shared" si="55"/>
        <v>Weekday</v>
      </c>
      <c r="R885" t="str">
        <f t="shared" si="52"/>
        <v>Clear</v>
      </c>
      <c r="S885">
        <f t="shared" si="53"/>
        <v>-0.25435329828790432</v>
      </c>
      <c r="T885">
        <f t="shared" si="54"/>
        <v>0.10399668008577614</v>
      </c>
      <c r="U885" s="6">
        <v>0.06</v>
      </c>
      <c r="V885">
        <f t="array" ref="V885">CORREL(IFERROR(VALUE(TRIM(CLEAN($U$2:$U$1001))),0), IFERROR(VALUE(TRIM(CLEAN($P$2:$P$1001))),0))</f>
        <v>0.23135628536430677</v>
      </c>
    </row>
    <row r="886" spans="1:22" x14ac:dyDescent="0.25">
      <c r="A886">
        <v>885</v>
      </c>
      <c r="B886" s="1">
        <v>40583</v>
      </c>
      <c r="C886">
        <v>1</v>
      </c>
      <c r="D886">
        <v>0</v>
      </c>
      <c r="E886">
        <v>2</v>
      </c>
      <c r="F886">
        <v>8</v>
      </c>
      <c r="G886" t="b">
        <v>0</v>
      </c>
      <c r="H886">
        <v>3</v>
      </c>
      <c r="I886">
        <v>1</v>
      </c>
      <c r="J886">
        <v>0.1</v>
      </c>
      <c r="K886">
        <v>0.13639999999999999</v>
      </c>
      <c r="L886">
        <v>0.42</v>
      </c>
      <c r="M886">
        <v>0</v>
      </c>
      <c r="N886">
        <v>1</v>
      </c>
      <c r="O886">
        <v>198</v>
      </c>
      <c r="P886">
        <v>199</v>
      </c>
      <c r="Q886" t="str">
        <f t="shared" si="55"/>
        <v>Weekday</v>
      </c>
      <c r="R886" t="str">
        <f t="shared" si="52"/>
        <v>Clear</v>
      </c>
      <c r="S886">
        <f t="shared" si="53"/>
        <v>-0.25435329828790432</v>
      </c>
      <c r="T886">
        <f t="shared" si="54"/>
        <v>0.10399668008577614</v>
      </c>
      <c r="U886" s="6">
        <v>0.1</v>
      </c>
      <c r="V886">
        <f t="array" ref="V886">CORREL(IFERROR(VALUE(TRIM(CLEAN($U$2:$U$1001))),0), IFERROR(VALUE(TRIM(CLEAN($P$2:$P$1001))),0))</f>
        <v>0.23135628536430677</v>
      </c>
    </row>
    <row r="887" spans="1:22" x14ac:dyDescent="0.25">
      <c r="A887">
        <v>886</v>
      </c>
      <c r="B887" s="1">
        <v>40583</v>
      </c>
      <c r="C887">
        <v>1</v>
      </c>
      <c r="D887">
        <v>0</v>
      </c>
      <c r="E887">
        <v>2</v>
      </c>
      <c r="F887">
        <v>9</v>
      </c>
      <c r="G887" t="b">
        <v>0</v>
      </c>
      <c r="H887">
        <v>3</v>
      </c>
      <c r="I887">
        <v>1</v>
      </c>
      <c r="J887">
        <v>0.12</v>
      </c>
      <c r="K887">
        <v>0.13639999999999999</v>
      </c>
      <c r="L887">
        <v>0.39</v>
      </c>
      <c r="M887">
        <v>0.16420000000000001</v>
      </c>
      <c r="N887">
        <v>4</v>
      </c>
      <c r="O887">
        <v>119</v>
      </c>
      <c r="P887">
        <v>123</v>
      </c>
      <c r="Q887" t="str">
        <f t="shared" si="55"/>
        <v>Weekday</v>
      </c>
      <c r="R887" t="str">
        <f t="shared" si="52"/>
        <v>Clear</v>
      </c>
      <c r="S887">
        <f t="shared" si="53"/>
        <v>-0.25435329828790432</v>
      </c>
      <c r="T887">
        <f t="shared" si="54"/>
        <v>0.10399668008577614</v>
      </c>
      <c r="U887" s="6">
        <v>0.12</v>
      </c>
      <c r="V887">
        <f t="array" ref="V887">CORREL(IFERROR(VALUE(TRIM(CLEAN($U$2:$U$1001))),0), IFERROR(VALUE(TRIM(CLEAN($P$2:$P$1001))),0))</f>
        <v>0.23135628536430677</v>
      </c>
    </row>
    <row r="888" spans="1:22" x14ac:dyDescent="0.25">
      <c r="A888">
        <v>887</v>
      </c>
      <c r="B888" s="1">
        <v>40583</v>
      </c>
      <c r="C888">
        <v>1</v>
      </c>
      <c r="D888">
        <v>0</v>
      </c>
      <c r="E888">
        <v>2</v>
      </c>
      <c r="F888">
        <v>10</v>
      </c>
      <c r="G888" t="b">
        <v>0</v>
      </c>
      <c r="H888">
        <v>3</v>
      </c>
      <c r="I888">
        <v>1</v>
      </c>
      <c r="J888">
        <v>0.14000000000000001</v>
      </c>
      <c r="K888">
        <v>0.18179999999999999</v>
      </c>
      <c r="L888">
        <v>0.36</v>
      </c>
      <c r="M888">
        <v>0</v>
      </c>
      <c r="N888">
        <v>8</v>
      </c>
      <c r="O888">
        <v>51</v>
      </c>
      <c r="P888">
        <v>59</v>
      </c>
      <c r="Q888" t="str">
        <f t="shared" si="55"/>
        <v>Weekday</v>
      </c>
      <c r="R888" t="str">
        <f t="shared" si="52"/>
        <v>Clear</v>
      </c>
      <c r="S888">
        <f t="shared" si="53"/>
        <v>-0.25435329828790432</v>
      </c>
      <c r="T888">
        <f t="shared" si="54"/>
        <v>0.10399668008577614</v>
      </c>
      <c r="U888" s="6">
        <v>0.14000000000000001</v>
      </c>
      <c r="V888">
        <f t="array" ref="V888">CORREL(IFERROR(VALUE(TRIM(CLEAN($U$2:$U$1001))),0), IFERROR(VALUE(TRIM(CLEAN($P$2:$P$1001))),0))</f>
        <v>0.23135628536430677</v>
      </c>
    </row>
    <row r="889" spans="1:22" x14ac:dyDescent="0.25">
      <c r="A889">
        <v>888</v>
      </c>
      <c r="B889" s="1">
        <v>40583</v>
      </c>
      <c r="C889">
        <v>1</v>
      </c>
      <c r="D889">
        <v>0</v>
      </c>
      <c r="E889">
        <v>2</v>
      </c>
      <c r="F889">
        <v>11</v>
      </c>
      <c r="G889" t="b">
        <v>0</v>
      </c>
      <c r="H889">
        <v>3</v>
      </c>
      <c r="I889">
        <v>2</v>
      </c>
      <c r="J889">
        <v>0.14000000000000001</v>
      </c>
      <c r="K889">
        <v>0.1515</v>
      </c>
      <c r="L889">
        <v>0.43</v>
      </c>
      <c r="M889">
        <v>0.16420000000000001</v>
      </c>
      <c r="N889">
        <v>1</v>
      </c>
      <c r="O889">
        <v>40</v>
      </c>
      <c r="P889">
        <v>41</v>
      </c>
      <c r="Q889" t="str">
        <f t="shared" si="55"/>
        <v>Weekday</v>
      </c>
      <c r="R889" t="str">
        <f t="shared" si="52"/>
        <v>Mist/Cloudy</v>
      </c>
      <c r="S889">
        <f t="shared" si="53"/>
        <v>-0.25435329828790432</v>
      </c>
      <c r="T889">
        <f t="shared" si="54"/>
        <v>0.10399668008577614</v>
      </c>
      <c r="U889" s="6">
        <v>0.14000000000000001</v>
      </c>
      <c r="V889">
        <f t="array" ref="V889">CORREL(IFERROR(VALUE(TRIM(CLEAN($U$2:$U$1001))),0), IFERROR(VALUE(TRIM(CLEAN($P$2:$P$1001))),0))</f>
        <v>0.23135628536430677</v>
      </c>
    </row>
    <row r="890" spans="1:22" x14ac:dyDescent="0.25">
      <c r="A890">
        <v>889</v>
      </c>
      <c r="B890" s="1">
        <v>40583</v>
      </c>
      <c r="C890">
        <v>1</v>
      </c>
      <c r="D890">
        <v>0</v>
      </c>
      <c r="E890">
        <v>2</v>
      </c>
      <c r="F890">
        <v>12</v>
      </c>
      <c r="G890" t="b">
        <v>0</v>
      </c>
      <c r="H890">
        <v>3</v>
      </c>
      <c r="I890">
        <v>2</v>
      </c>
      <c r="J890">
        <v>0.18</v>
      </c>
      <c r="K890">
        <v>0.18179999999999999</v>
      </c>
      <c r="L890">
        <v>0.4</v>
      </c>
      <c r="M890">
        <v>0.22389999999999999</v>
      </c>
      <c r="N890">
        <v>4</v>
      </c>
      <c r="O890">
        <v>57</v>
      </c>
      <c r="P890">
        <v>61</v>
      </c>
      <c r="Q890" t="str">
        <f t="shared" si="55"/>
        <v>Weekend</v>
      </c>
      <c r="R890" t="str">
        <f t="shared" si="52"/>
        <v>Mist/Cloudy</v>
      </c>
      <c r="S890">
        <f t="shared" si="53"/>
        <v>-0.25435329828790432</v>
      </c>
      <c r="T890">
        <f t="shared" si="54"/>
        <v>0.10399668008577614</v>
      </c>
      <c r="U890" s="6">
        <v>0.18</v>
      </c>
      <c r="V890">
        <f t="array" ref="V890">CORREL(IFERROR(VALUE(TRIM(CLEAN($U$2:$U$1001))),0), IFERROR(VALUE(TRIM(CLEAN($P$2:$P$1001))),0))</f>
        <v>0.23135628536430677</v>
      </c>
    </row>
    <row r="891" spans="1:22" x14ac:dyDescent="0.25">
      <c r="A891">
        <v>890</v>
      </c>
      <c r="B891" s="1">
        <v>40583</v>
      </c>
      <c r="C891">
        <v>1</v>
      </c>
      <c r="D891">
        <v>0</v>
      </c>
      <c r="E891">
        <v>2</v>
      </c>
      <c r="F891">
        <v>13</v>
      </c>
      <c r="G891" t="b">
        <v>0</v>
      </c>
      <c r="H891">
        <v>3</v>
      </c>
      <c r="I891">
        <v>1</v>
      </c>
      <c r="J891">
        <v>0.18</v>
      </c>
      <c r="K891">
        <v>0.16669999999999999</v>
      </c>
      <c r="L891">
        <v>0.4</v>
      </c>
      <c r="M891">
        <v>0.25369999999999998</v>
      </c>
      <c r="N891">
        <v>2</v>
      </c>
      <c r="O891">
        <v>67</v>
      </c>
      <c r="P891">
        <v>69</v>
      </c>
      <c r="Q891" t="str">
        <f t="shared" si="55"/>
        <v>Weekend</v>
      </c>
      <c r="R891" t="str">
        <f t="shared" si="52"/>
        <v>Clear</v>
      </c>
      <c r="S891">
        <f t="shared" si="53"/>
        <v>-0.25435329828790432</v>
      </c>
      <c r="T891">
        <f t="shared" si="54"/>
        <v>0.10399668008577614</v>
      </c>
      <c r="U891" s="6">
        <v>0.18</v>
      </c>
      <c r="V891">
        <f t="array" ref="V891">CORREL(IFERROR(VALUE(TRIM(CLEAN($U$2:$U$1001))),0), IFERROR(VALUE(TRIM(CLEAN($P$2:$P$1001))),0))</f>
        <v>0.23135628536430677</v>
      </c>
    </row>
    <row r="892" spans="1:22" x14ac:dyDescent="0.25">
      <c r="A892">
        <v>891</v>
      </c>
      <c r="B892" s="1">
        <v>40583</v>
      </c>
      <c r="C892">
        <v>1</v>
      </c>
      <c r="D892">
        <v>0</v>
      </c>
      <c r="E892">
        <v>2</v>
      </c>
      <c r="F892">
        <v>14</v>
      </c>
      <c r="G892" t="b">
        <v>0</v>
      </c>
      <c r="H892">
        <v>3</v>
      </c>
      <c r="I892">
        <v>1</v>
      </c>
      <c r="J892">
        <v>0.2</v>
      </c>
      <c r="K892">
        <v>0.18179999999999999</v>
      </c>
      <c r="L892">
        <v>0.34</v>
      </c>
      <c r="M892">
        <v>0.29849999999999999</v>
      </c>
      <c r="N892">
        <v>2</v>
      </c>
      <c r="O892">
        <v>56</v>
      </c>
      <c r="P892">
        <v>58</v>
      </c>
      <c r="Q892" t="str">
        <f t="shared" si="55"/>
        <v>Weekday</v>
      </c>
      <c r="R892" t="str">
        <f t="shared" si="52"/>
        <v>Clear</v>
      </c>
      <c r="S892">
        <f t="shared" si="53"/>
        <v>-0.25435329828790432</v>
      </c>
      <c r="T892">
        <f t="shared" si="54"/>
        <v>0.10399668008577614</v>
      </c>
      <c r="U892" s="6">
        <v>0.2</v>
      </c>
      <c r="V892">
        <f t="array" ref="V892">CORREL(IFERROR(VALUE(TRIM(CLEAN($U$2:$U$1001))),0), IFERROR(VALUE(TRIM(CLEAN($P$2:$P$1001))),0))</f>
        <v>0.23135628536430677</v>
      </c>
    </row>
    <row r="893" spans="1:22" x14ac:dyDescent="0.25">
      <c r="A893">
        <v>892</v>
      </c>
      <c r="B893" s="1">
        <v>40583</v>
      </c>
      <c r="C893">
        <v>1</v>
      </c>
      <c r="D893">
        <v>0</v>
      </c>
      <c r="E893">
        <v>2</v>
      </c>
      <c r="F893">
        <v>15</v>
      </c>
      <c r="G893" t="b">
        <v>0</v>
      </c>
      <c r="H893">
        <v>3</v>
      </c>
      <c r="I893">
        <v>2</v>
      </c>
      <c r="J893">
        <v>0.2</v>
      </c>
      <c r="K893">
        <v>0.18179999999999999</v>
      </c>
      <c r="L893">
        <v>0.34</v>
      </c>
      <c r="M893">
        <v>0.28360000000000002</v>
      </c>
      <c r="N893">
        <v>3</v>
      </c>
      <c r="O893">
        <v>61</v>
      </c>
      <c r="P893">
        <v>64</v>
      </c>
      <c r="Q893" t="str">
        <f t="shared" si="55"/>
        <v>Weekday</v>
      </c>
      <c r="R893" t="str">
        <f t="shared" si="52"/>
        <v>Mist/Cloudy</v>
      </c>
      <c r="S893">
        <f t="shared" si="53"/>
        <v>-0.25435329828790432</v>
      </c>
      <c r="T893">
        <f t="shared" si="54"/>
        <v>0.10399668008577614</v>
      </c>
      <c r="U893" s="6">
        <v>0.2</v>
      </c>
      <c r="V893">
        <f t="array" ref="V893">CORREL(IFERROR(VALUE(TRIM(CLEAN($U$2:$U$1001))),0), IFERROR(VALUE(TRIM(CLEAN($P$2:$P$1001))),0))</f>
        <v>0.23135628536430677</v>
      </c>
    </row>
    <row r="894" spans="1:22" x14ac:dyDescent="0.25">
      <c r="A894">
        <v>893</v>
      </c>
      <c r="B894" s="1">
        <v>40583</v>
      </c>
      <c r="C894">
        <v>1</v>
      </c>
      <c r="D894">
        <v>0</v>
      </c>
      <c r="E894">
        <v>2</v>
      </c>
      <c r="F894">
        <v>16</v>
      </c>
      <c r="G894" t="b">
        <v>0</v>
      </c>
      <c r="H894">
        <v>3</v>
      </c>
      <c r="I894">
        <v>2</v>
      </c>
      <c r="J894">
        <v>0.2</v>
      </c>
      <c r="K894">
        <v>0.19700000000000001</v>
      </c>
      <c r="L894">
        <v>0.37</v>
      </c>
      <c r="M894">
        <v>0.25369999999999998</v>
      </c>
      <c r="N894">
        <v>7</v>
      </c>
      <c r="O894">
        <v>72</v>
      </c>
      <c r="P894">
        <v>79</v>
      </c>
      <c r="Q894" t="str">
        <f t="shared" si="55"/>
        <v>Weekday</v>
      </c>
      <c r="R894" t="str">
        <f t="shared" si="52"/>
        <v>Mist/Cloudy</v>
      </c>
      <c r="S894">
        <f t="shared" si="53"/>
        <v>-0.25435329828790432</v>
      </c>
      <c r="T894">
        <f t="shared" si="54"/>
        <v>0.10399668008577614</v>
      </c>
      <c r="U894" s="6">
        <v>0.2</v>
      </c>
      <c r="V894">
        <f t="array" ref="V894">CORREL(IFERROR(VALUE(TRIM(CLEAN($U$2:$U$1001))),0), IFERROR(VALUE(TRIM(CLEAN($P$2:$P$1001))),0))</f>
        <v>0.23135628536430677</v>
      </c>
    </row>
    <row r="895" spans="1:22" x14ac:dyDescent="0.25">
      <c r="A895">
        <v>894</v>
      </c>
      <c r="B895" s="1">
        <v>40583</v>
      </c>
      <c r="C895">
        <v>1</v>
      </c>
      <c r="D895">
        <v>0</v>
      </c>
      <c r="E895">
        <v>2</v>
      </c>
      <c r="F895">
        <v>17</v>
      </c>
      <c r="G895" t="b">
        <v>0</v>
      </c>
      <c r="H895">
        <v>3</v>
      </c>
      <c r="I895">
        <v>2</v>
      </c>
      <c r="J895">
        <v>0.2</v>
      </c>
      <c r="K895">
        <v>0.19700000000000001</v>
      </c>
      <c r="L895">
        <v>0.34</v>
      </c>
      <c r="M895">
        <v>0.25369999999999998</v>
      </c>
      <c r="N895">
        <v>9</v>
      </c>
      <c r="O895">
        <v>157</v>
      </c>
      <c r="P895">
        <v>166</v>
      </c>
      <c r="Q895" t="str">
        <f t="shared" si="55"/>
        <v>Weekday</v>
      </c>
      <c r="R895" t="str">
        <f t="shared" si="52"/>
        <v>Mist/Cloudy</v>
      </c>
      <c r="S895">
        <f t="shared" si="53"/>
        <v>-0.25435329828790432</v>
      </c>
      <c r="T895">
        <f t="shared" si="54"/>
        <v>0.10399668008577614</v>
      </c>
      <c r="U895" s="6">
        <v>0.2</v>
      </c>
      <c r="V895">
        <f t="array" ref="V895">CORREL(IFERROR(VALUE(TRIM(CLEAN($U$2:$U$1001))),0), IFERROR(VALUE(TRIM(CLEAN($P$2:$P$1001))),0))</f>
        <v>0.23135628536430677</v>
      </c>
    </row>
    <row r="896" spans="1:22" x14ac:dyDescent="0.25">
      <c r="A896">
        <v>895</v>
      </c>
      <c r="B896" s="1">
        <v>40583</v>
      </c>
      <c r="C896">
        <v>1</v>
      </c>
      <c r="D896">
        <v>0</v>
      </c>
      <c r="E896">
        <v>2</v>
      </c>
      <c r="F896">
        <v>18</v>
      </c>
      <c r="G896" t="b">
        <v>0</v>
      </c>
      <c r="H896">
        <v>3</v>
      </c>
      <c r="I896">
        <v>2</v>
      </c>
      <c r="J896">
        <v>0.18</v>
      </c>
      <c r="K896">
        <v>0.16669999999999999</v>
      </c>
      <c r="L896">
        <v>0.47</v>
      </c>
      <c r="M896">
        <v>0.29849999999999999</v>
      </c>
      <c r="N896">
        <v>2</v>
      </c>
      <c r="O896">
        <v>168</v>
      </c>
      <c r="P896">
        <v>170</v>
      </c>
      <c r="Q896" t="str">
        <f t="shared" si="55"/>
        <v>Weekday</v>
      </c>
      <c r="R896" t="str">
        <f t="shared" si="52"/>
        <v>Mist/Cloudy</v>
      </c>
      <c r="S896">
        <f t="shared" si="53"/>
        <v>-0.25435329828790432</v>
      </c>
      <c r="T896">
        <f t="shared" si="54"/>
        <v>0.10399668008577614</v>
      </c>
      <c r="U896" s="6">
        <v>0.18</v>
      </c>
      <c r="V896">
        <f t="array" ref="V896">CORREL(IFERROR(VALUE(TRIM(CLEAN($U$2:$U$1001))),0), IFERROR(VALUE(TRIM(CLEAN($P$2:$P$1001))),0))</f>
        <v>0.23135628536430677</v>
      </c>
    </row>
    <row r="897" spans="1:22" x14ac:dyDescent="0.25">
      <c r="A897">
        <v>896</v>
      </c>
      <c r="B897" s="1">
        <v>40583</v>
      </c>
      <c r="C897">
        <v>1</v>
      </c>
      <c r="D897">
        <v>0</v>
      </c>
      <c r="E897">
        <v>2</v>
      </c>
      <c r="F897">
        <v>19</v>
      </c>
      <c r="G897" t="b">
        <v>0</v>
      </c>
      <c r="H897">
        <v>3</v>
      </c>
      <c r="I897">
        <v>3</v>
      </c>
      <c r="J897">
        <v>0.14000000000000001</v>
      </c>
      <c r="K897">
        <v>0.1212</v>
      </c>
      <c r="L897">
        <v>0.86</v>
      </c>
      <c r="M897">
        <v>0.25369999999999998</v>
      </c>
      <c r="N897">
        <v>1</v>
      </c>
      <c r="O897">
        <v>87</v>
      </c>
      <c r="P897">
        <v>88</v>
      </c>
      <c r="Q897" t="str">
        <f t="shared" si="55"/>
        <v>Weekend</v>
      </c>
      <c r="R897" t="str">
        <f t="shared" si="52"/>
        <v>Light Snow/Rain</v>
      </c>
      <c r="S897">
        <f t="shared" si="53"/>
        <v>-0.25435329828790432</v>
      </c>
      <c r="T897">
        <f t="shared" si="54"/>
        <v>0.10399668008577614</v>
      </c>
      <c r="U897" s="6">
        <v>0.14000000000000001</v>
      </c>
      <c r="V897">
        <f t="array" ref="V897">CORREL(IFERROR(VALUE(TRIM(CLEAN($U$2:$U$1001))),0), IFERROR(VALUE(TRIM(CLEAN($P$2:$P$1001))),0))</f>
        <v>0.23135628536430677</v>
      </c>
    </row>
    <row r="898" spans="1:22" x14ac:dyDescent="0.25">
      <c r="A898">
        <v>897</v>
      </c>
      <c r="B898" s="1">
        <v>40583</v>
      </c>
      <c r="C898">
        <v>1</v>
      </c>
      <c r="D898">
        <v>0</v>
      </c>
      <c r="E898">
        <v>2</v>
      </c>
      <c r="F898">
        <v>20</v>
      </c>
      <c r="G898" t="b">
        <v>0</v>
      </c>
      <c r="H898">
        <v>3</v>
      </c>
      <c r="I898">
        <v>3</v>
      </c>
      <c r="J898">
        <v>0.14000000000000001</v>
      </c>
      <c r="K898">
        <v>0.1515</v>
      </c>
      <c r="L898">
        <v>0.86</v>
      </c>
      <c r="M898">
        <v>0.16420000000000001</v>
      </c>
      <c r="N898">
        <v>0</v>
      </c>
      <c r="O898">
        <v>84</v>
      </c>
      <c r="P898">
        <v>84</v>
      </c>
      <c r="Q898" t="str">
        <f t="shared" si="55"/>
        <v>Weekend</v>
      </c>
      <c r="R898" t="str">
        <f t="shared" ref="R898:R961" si="56">IF(I898=1, "Clear", IF(I898=2, "Mist/Cloudy", IF(I898=3, "Light Snow/Rain", "Heavy Rain")))</f>
        <v>Light Snow/Rain</v>
      </c>
      <c r="S898">
        <f t="shared" ref="S898:S961" si="57">CORREL($L$2:$L$1001, $P$2:$P$1001)</f>
        <v>-0.25435329828790432</v>
      </c>
      <c r="T898">
        <f t="shared" ref="T898:T961" si="58">CORREL($M$2:$M$1001, $P$2:$P$1001)</f>
        <v>0.10399668008577614</v>
      </c>
      <c r="U898" s="6">
        <v>0.14000000000000001</v>
      </c>
      <c r="V898">
        <f t="array" ref="V898">CORREL(IFERROR(VALUE(TRIM(CLEAN($U$2:$U$1001))),0), IFERROR(VALUE(TRIM(CLEAN($P$2:$P$1001))),0))</f>
        <v>0.23135628536430677</v>
      </c>
    </row>
    <row r="899" spans="1:22" x14ac:dyDescent="0.25">
      <c r="A899">
        <v>898</v>
      </c>
      <c r="B899" s="1">
        <v>40583</v>
      </c>
      <c r="C899">
        <v>1</v>
      </c>
      <c r="D899">
        <v>0</v>
      </c>
      <c r="E899">
        <v>2</v>
      </c>
      <c r="F899">
        <v>21</v>
      </c>
      <c r="G899" t="b">
        <v>0</v>
      </c>
      <c r="H899">
        <v>3</v>
      </c>
      <c r="I899">
        <v>2</v>
      </c>
      <c r="J899">
        <v>0.14000000000000001</v>
      </c>
      <c r="K899">
        <v>0.1515</v>
      </c>
      <c r="L899">
        <v>0.86</v>
      </c>
      <c r="M899">
        <v>0.16420000000000001</v>
      </c>
      <c r="N899">
        <v>0</v>
      </c>
      <c r="O899">
        <v>83</v>
      </c>
      <c r="P899">
        <v>83</v>
      </c>
      <c r="Q899" t="str">
        <f t="shared" ref="Q899:Q962" si="59">IF(WEEKDAY(A899,2)&gt;5,"Weekend","Weekday")</f>
        <v>Weekday</v>
      </c>
      <c r="R899" t="str">
        <f t="shared" si="56"/>
        <v>Mist/Cloudy</v>
      </c>
      <c r="S899">
        <f t="shared" si="57"/>
        <v>-0.25435329828790432</v>
      </c>
      <c r="T899">
        <f t="shared" si="58"/>
        <v>0.10399668008577614</v>
      </c>
      <c r="U899" s="6">
        <v>0.14000000000000001</v>
      </c>
      <c r="V899">
        <f t="array" ref="V899">CORREL(IFERROR(VALUE(TRIM(CLEAN($U$2:$U$1001))),0), IFERROR(VALUE(TRIM(CLEAN($P$2:$P$1001))),0))</f>
        <v>0.23135628536430677</v>
      </c>
    </row>
    <row r="900" spans="1:22" x14ac:dyDescent="0.25">
      <c r="A900">
        <v>899</v>
      </c>
      <c r="B900" s="1">
        <v>40583</v>
      </c>
      <c r="C900">
        <v>1</v>
      </c>
      <c r="D900">
        <v>0</v>
      </c>
      <c r="E900">
        <v>2</v>
      </c>
      <c r="F900">
        <v>22</v>
      </c>
      <c r="G900" t="b">
        <v>0</v>
      </c>
      <c r="H900">
        <v>3</v>
      </c>
      <c r="I900">
        <v>3</v>
      </c>
      <c r="J900">
        <v>0.16</v>
      </c>
      <c r="K900">
        <v>0.16669999999999999</v>
      </c>
      <c r="L900">
        <v>0.8</v>
      </c>
      <c r="M900">
        <v>0.16420000000000001</v>
      </c>
      <c r="N900">
        <v>4</v>
      </c>
      <c r="O900">
        <v>42</v>
      </c>
      <c r="P900">
        <v>46</v>
      </c>
      <c r="Q900" t="str">
        <f t="shared" si="59"/>
        <v>Weekday</v>
      </c>
      <c r="R900" t="str">
        <f t="shared" si="56"/>
        <v>Light Snow/Rain</v>
      </c>
      <c r="S900">
        <f t="shared" si="57"/>
        <v>-0.25435329828790432</v>
      </c>
      <c r="T900">
        <f t="shared" si="58"/>
        <v>0.10399668008577614</v>
      </c>
      <c r="U900" s="6">
        <v>0.16</v>
      </c>
      <c r="V900">
        <f t="array" ref="V900">CORREL(IFERROR(VALUE(TRIM(CLEAN($U$2:$U$1001))),0), IFERROR(VALUE(TRIM(CLEAN($P$2:$P$1001))),0))</f>
        <v>0.23135628536430677</v>
      </c>
    </row>
    <row r="901" spans="1:22" x14ac:dyDescent="0.25">
      <c r="A901">
        <v>900</v>
      </c>
      <c r="B901" s="1">
        <v>40583</v>
      </c>
      <c r="C901">
        <v>1</v>
      </c>
      <c r="D901">
        <v>0</v>
      </c>
      <c r="E901">
        <v>2</v>
      </c>
      <c r="F901">
        <v>23</v>
      </c>
      <c r="G901" t="b">
        <v>0</v>
      </c>
      <c r="H901">
        <v>3</v>
      </c>
      <c r="I901">
        <v>3</v>
      </c>
      <c r="J901">
        <v>0.16</v>
      </c>
      <c r="K901">
        <v>0.1515</v>
      </c>
      <c r="L901">
        <v>0.8</v>
      </c>
      <c r="M901">
        <v>0.19400000000000001</v>
      </c>
      <c r="N901">
        <v>0</v>
      </c>
      <c r="O901">
        <v>37</v>
      </c>
      <c r="P901">
        <v>37</v>
      </c>
      <c r="Q901" t="str">
        <f t="shared" si="59"/>
        <v>Weekday</v>
      </c>
      <c r="R901" t="str">
        <f t="shared" si="56"/>
        <v>Light Snow/Rain</v>
      </c>
      <c r="S901">
        <f t="shared" si="57"/>
        <v>-0.25435329828790432</v>
      </c>
      <c r="T901">
        <f t="shared" si="58"/>
        <v>0.10399668008577614</v>
      </c>
      <c r="U901" s="6">
        <v>0.16</v>
      </c>
      <c r="V901">
        <f t="array" ref="V901">CORREL(IFERROR(VALUE(TRIM(CLEAN($U$2:$U$1001))),0), IFERROR(VALUE(TRIM(CLEAN($P$2:$P$1001))),0))</f>
        <v>0.23135628536430677</v>
      </c>
    </row>
    <row r="902" spans="1:22" x14ac:dyDescent="0.25">
      <c r="A902">
        <v>901</v>
      </c>
      <c r="B902" s="1">
        <v>40584</v>
      </c>
      <c r="C902">
        <v>1</v>
      </c>
      <c r="D902">
        <v>0</v>
      </c>
      <c r="E902">
        <v>2</v>
      </c>
      <c r="F902">
        <v>0</v>
      </c>
      <c r="G902" t="b">
        <v>0</v>
      </c>
      <c r="H902">
        <v>4</v>
      </c>
      <c r="I902">
        <v>3</v>
      </c>
      <c r="J902">
        <v>0.14000000000000001</v>
      </c>
      <c r="K902">
        <v>0.13639999999999999</v>
      </c>
      <c r="L902">
        <v>0.86</v>
      </c>
      <c r="M902">
        <v>0.19400000000000001</v>
      </c>
      <c r="N902">
        <v>0</v>
      </c>
      <c r="O902">
        <v>16</v>
      </c>
      <c r="P902">
        <v>16</v>
      </c>
      <c r="Q902" t="str">
        <f t="shared" si="59"/>
        <v>Weekday</v>
      </c>
      <c r="R902" t="str">
        <f t="shared" si="56"/>
        <v>Light Snow/Rain</v>
      </c>
      <c r="S902">
        <f t="shared" si="57"/>
        <v>-0.25435329828790432</v>
      </c>
      <c r="T902">
        <f t="shared" si="58"/>
        <v>0.10399668008577614</v>
      </c>
      <c r="U902" s="6">
        <v>0.14000000000000001</v>
      </c>
      <c r="V902">
        <f t="array" ref="V902">CORREL(IFERROR(VALUE(TRIM(CLEAN($U$2:$U$1001))),0), IFERROR(VALUE(TRIM(CLEAN($P$2:$P$1001))),0))</f>
        <v>0.23135628536430677</v>
      </c>
    </row>
    <row r="903" spans="1:22" x14ac:dyDescent="0.25">
      <c r="A903">
        <v>902</v>
      </c>
      <c r="B903" s="1">
        <v>40584</v>
      </c>
      <c r="C903">
        <v>1</v>
      </c>
      <c r="D903">
        <v>0</v>
      </c>
      <c r="E903">
        <v>2</v>
      </c>
      <c r="F903">
        <v>1</v>
      </c>
      <c r="G903" t="b">
        <v>0</v>
      </c>
      <c r="H903">
        <v>4</v>
      </c>
      <c r="I903">
        <v>3</v>
      </c>
      <c r="J903">
        <v>0.14000000000000001</v>
      </c>
      <c r="K903">
        <v>0.1515</v>
      </c>
      <c r="L903">
        <v>0.8</v>
      </c>
      <c r="M903">
        <v>0.1343</v>
      </c>
      <c r="N903">
        <v>0</v>
      </c>
      <c r="O903">
        <v>7</v>
      </c>
      <c r="P903">
        <v>7</v>
      </c>
      <c r="Q903" t="str">
        <f t="shared" si="59"/>
        <v>Weekday</v>
      </c>
      <c r="R903" t="str">
        <f t="shared" si="56"/>
        <v>Light Snow/Rain</v>
      </c>
      <c r="S903">
        <f t="shared" si="57"/>
        <v>-0.25435329828790432</v>
      </c>
      <c r="T903">
        <f t="shared" si="58"/>
        <v>0.10399668008577614</v>
      </c>
      <c r="U903" s="6">
        <v>0.14000000000000001</v>
      </c>
      <c r="V903">
        <f t="array" ref="V903">CORREL(IFERROR(VALUE(TRIM(CLEAN($U$2:$U$1001))),0), IFERROR(VALUE(TRIM(CLEAN($P$2:$P$1001))),0))</f>
        <v>0.23135628536430677</v>
      </c>
    </row>
    <row r="904" spans="1:22" x14ac:dyDescent="0.25">
      <c r="A904">
        <v>903</v>
      </c>
      <c r="B904" s="1">
        <v>40584</v>
      </c>
      <c r="C904">
        <v>1</v>
      </c>
      <c r="D904">
        <v>0</v>
      </c>
      <c r="E904">
        <v>2</v>
      </c>
      <c r="F904">
        <v>2</v>
      </c>
      <c r="G904" t="b">
        <v>0</v>
      </c>
      <c r="H904">
        <v>4</v>
      </c>
      <c r="I904">
        <v>3</v>
      </c>
      <c r="J904">
        <v>0.14000000000000001</v>
      </c>
      <c r="K904">
        <v>0.1515</v>
      </c>
      <c r="L904">
        <v>0.8</v>
      </c>
      <c r="M904">
        <v>0.1343</v>
      </c>
      <c r="N904">
        <v>0</v>
      </c>
      <c r="O904">
        <v>3</v>
      </c>
      <c r="P904">
        <v>3</v>
      </c>
      <c r="Q904" t="str">
        <f t="shared" si="59"/>
        <v>Weekend</v>
      </c>
      <c r="R904" t="str">
        <f t="shared" si="56"/>
        <v>Light Snow/Rain</v>
      </c>
      <c r="S904">
        <f t="shared" si="57"/>
        <v>-0.25435329828790432</v>
      </c>
      <c r="T904">
        <f t="shared" si="58"/>
        <v>0.10399668008577614</v>
      </c>
      <c r="U904" s="6">
        <v>0.14000000000000001</v>
      </c>
      <c r="V904">
        <f t="array" ref="V904">CORREL(IFERROR(VALUE(TRIM(CLEAN($U$2:$U$1001))),0), IFERROR(VALUE(TRIM(CLEAN($P$2:$P$1001))),0))</f>
        <v>0.23135628536430677</v>
      </c>
    </row>
    <row r="905" spans="1:22" x14ac:dyDescent="0.25">
      <c r="A905">
        <v>904</v>
      </c>
      <c r="B905" s="1">
        <v>40584</v>
      </c>
      <c r="C905">
        <v>1</v>
      </c>
      <c r="D905">
        <v>0</v>
      </c>
      <c r="E905">
        <v>2</v>
      </c>
      <c r="F905">
        <v>4</v>
      </c>
      <c r="G905" t="b">
        <v>0</v>
      </c>
      <c r="H905">
        <v>4</v>
      </c>
      <c r="I905">
        <v>2</v>
      </c>
      <c r="J905">
        <v>0.14000000000000001</v>
      </c>
      <c r="K905">
        <v>0.13639999999999999</v>
      </c>
      <c r="L905">
        <v>0.59</v>
      </c>
      <c r="M905">
        <v>0.22389999999999999</v>
      </c>
      <c r="N905">
        <v>0</v>
      </c>
      <c r="O905">
        <v>1</v>
      </c>
      <c r="P905">
        <v>1</v>
      </c>
      <c r="Q905" t="str">
        <f t="shared" si="59"/>
        <v>Weekend</v>
      </c>
      <c r="R905" t="str">
        <f t="shared" si="56"/>
        <v>Mist/Cloudy</v>
      </c>
      <c r="S905">
        <f t="shared" si="57"/>
        <v>-0.25435329828790432</v>
      </c>
      <c r="T905">
        <f t="shared" si="58"/>
        <v>0.10399668008577614</v>
      </c>
      <c r="U905" s="6">
        <v>0.14000000000000001</v>
      </c>
      <c r="V905">
        <f t="array" ref="V905">CORREL(IFERROR(VALUE(TRIM(CLEAN($U$2:$U$1001))),0), IFERROR(VALUE(TRIM(CLEAN($P$2:$P$1001))),0))</f>
        <v>0.23135628536430677</v>
      </c>
    </row>
    <row r="906" spans="1:22" x14ac:dyDescent="0.25">
      <c r="A906">
        <v>905</v>
      </c>
      <c r="B906" s="1">
        <v>40584</v>
      </c>
      <c r="C906">
        <v>1</v>
      </c>
      <c r="D906">
        <v>0</v>
      </c>
      <c r="E906">
        <v>2</v>
      </c>
      <c r="F906">
        <v>5</v>
      </c>
      <c r="G906" t="b">
        <v>0</v>
      </c>
      <c r="H906">
        <v>4</v>
      </c>
      <c r="I906">
        <v>2</v>
      </c>
      <c r="J906">
        <v>0.12</v>
      </c>
      <c r="K906">
        <v>0.1212</v>
      </c>
      <c r="L906">
        <v>0.5</v>
      </c>
      <c r="M906">
        <v>0.22389999999999999</v>
      </c>
      <c r="N906">
        <v>0</v>
      </c>
      <c r="O906">
        <v>6</v>
      </c>
      <c r="P906">
        <v>6</v>
      </c>
      <c r="Q906" t="str">
        <f t="shared" si="59"/>
        <v>Weekday</v>
      </c>
      <c r="R906" t="str">
        <f t="shared" si="56"/>
        <v>Mist/Cloudy</v>
      </c>
      <c r="S906">
        <f t="shared" si="57"/>
        <v>-0.25435329828790432</v>
      </c>
      <c r="T906">
        <f t="shared" si="58"/>
        <v>0.10399668008577614</v>
      </c>
      <c r="U906" s="6">
        <v>0.12</v>
      </c>
      <c r="V906">
        <f t="array" ref="V906">CORREL(IFERROR(VALUE(TRIM(CLEAN($U$2:$U$1001))),0), IFERROR(VALUE(TRIM(CLEAN($P$2:$P$1001))),0))</f>
        <v>0.23135628536430677</v>
      </c>
    </row>
    <row r="907" spans="1:22" x14ac:dyDescent="0.25">
      <c r="A907">
        <v>906</v>
      </c>
      <c r="B907" s="1">
        <v>40584</v>
      </c>
      <c r="C907">
        <v>1</v>
      </c>
      <c r="D907">
        <v>0</v>
      </c>
      <c r="E907">
        <v>2</v>
      </c>
      <c r="F907">
        <v>6</v>
      </c>
      <c r="G907" t="b">
        <v>0</v>
      </c>
      <c r="H907">
        <v>4</v>
      </c>
      <c r="I907">
        <v>2</v>
      </c>
      <c r="J907">
        <v>0.12</v>
      </c>
      <c r="K907">
        <v>0.1212</v>
      </c>
      <c r="L907">
        <v>0.54</v>
      </c>
      <c r="M907">
        <v>0.28360000000000002</v>
      </c>
      <c r="N907">
        <v>0</v>
      </c>
      <c r="O907">
        <v>26</v>
      </c>
      <c r="P907">
        <v>26</v>
      </c>
      <c r="Q907" t="str">
        <f t="shared" si="59"/>
        <v>Weekday</v>
      </c>
      <c r="R907" t="str">
        <f t="shared" si="56"/>
        <v>Mist/Cloudy</v>
      </c>
      <c r="S907">
        <f t="shared" si="57"/>
        <v>-0.25435329828790432</v>
      </c>
      <c r="T907">
        <f t="shared" si="58"/>
        <v>0.10399668008577614</v>
      </c>
      <c r="U907" s="6">
        <v>0.12</v>
      </c>
      <c r="V907">
        <f t="array" ref="V907">CORREL(IFERROR(VALUE(TRIM(CLEAN($U$2:$U$1001))),0), IFERROR(VALUE(TRIM(CLEAN($P$2:$P$1001))),0))</f>
        <v>0.23135628536430677</v>
      </c>
    </row>
    <row r="908" spans="1:22" x14ac:dyDescent="0.25">
      <c r="A908">
        <v>907</v>
      </c>
      <c r="B908" s="1">
        <v>40584</v>
      </c>
      <c r="C908">
        <v>1</v>
      </c>
      <c r="D908">
        <v>0</v>
      </c>
      <c r="E908">
        <v>2</v>
      </c>
      <c r="F908">
        <v>7</v>
      </c>
      <c r="G908" t="b">
        <v>0</v>
      </c>
      <c r="H908">
        <v>4</v>
      </c>
      <c r="I908">
        <v>1</v>
      </c>
      <c r="J908">
        <v>0.1</v>
      </c>
      <c r="K908">
        <v>7.5800000000000006E-2</v>
      </c>
      <c r="L908">
        <v>0.5</v>
      </c>
      <c r="M908">
        <v>0.41789999999999999</v>
      </c>
      <c r="N908">
        <v>0</v>
      </c>
      <c r="O908">
        <v>99</v>
      </c>
      <c r="P908">
        <v>99</v>
      </c>
      <c r="Q908" t="str">
        <f t="shared" si="59"/>
        <v>Weekday</v>
      </c>
      <c r="R908" t="str">
        <f t="shared" si="56"/>
        <v>Clear</v>
      </c>
      <c r="S908">
        <f t="shared" si="57"/>
        <v>-0.25435329828790432</v>
      </c>
      <c r="T908">
        <f t="shared" si="58"/>
        <v>0.10399668008577614</v>
      </c>
      <c r="U908" s="6">
        <v>0.1</v>
      </c>
      <c r="V908">
        <f t="array" ref="V908">CORREL(IFERROR(VALUE(TRIM(CLEAN($U$2:$U$1001))),0), IFERROR(VALUE(TRIM(CLEAN($P$2:$P$1001))),0))</f>
        <v>0.23135628536430677</v>
      </c>
    </row>
    <row r="909" spans="1:22" x14ac:dyDescent="0.25">
      <c r="A909">
        <v>908</v>
      </c>
      <c r="B909" s="1">
        <v>40584</v>
      </c>
      <c r="C909">
        <v>1</v>
      </c>
      <c r="D909">
        <v>0</v>
      </c>
      <c r="E909">
        <v>2</v>
      </c>
      <c r="F909">
        <v>8</v>
      </c>
      <c r="G909" t="b">
        <v>0</v>
      </c>
      <c r="H909">
        <v>4</v>
      </c>
      <c r="I909">
        <v>1</v>
      </c>
      <c r="J909">
        <v>0.1</v>
      </c>
      <c r="K909">
        <v>7.5800000000000006E-2</v>
      </c>
      <c r="L909">
        <v>0.49</v>
      </c>
      <c r="M909">
        <v>0.32840000000000003</v>
      </c>
      <c r="N909">
        <v>5</v>
      </c>
      <c r="O909">
        <v>173</v>
      </c>
      <c r="P909">
        <v>178</v>
      </c>
      <c r="Q909" t="str">
        <f t="shared" si="59"/>
        <v>Weekday</v>
      </c>
      <c r="R909" t="str">
        <f t="shared" si="56"/>
        <v>Clear</v>
      </c>
      <c r="S909">
        <f t="shared" si="57"/>
        <v>-0.25435329828790432</v>
      </c>
      <c r="T909">
        <f t="shared" si="58"/>
        <v>0.10399668008577614</v>
      </c>
      <c r="U909" s="6">
        <v>0.1</v>
      </c>
      <c r="V909">
        <f t="array" ref="V909">CORREL(IFERROR(VALUE(TRIM(CLEAN($U$2:$U$1001))),0), IFERROR(VALUE(TRIM(CLEAN($P$2:$P$1001))),0))</f>
        <v>0.23135628536430677</v>
      </c>
    </row>
    <row r="910" spans="1:22" x14ac:dyDescent="0.25">
      <c r="A910">
        <v>909</v>
      </c>
      <c r="B910" s="1">
        <v>40584</v>
      </c>
      <c r="C910">
        <v>1</v>
      </c>
      <c r="D910">
        <v>0</v>
      </c>
      <c r="E910">
        <v>2</v>
      </c>
      <c r="F910">
        <v>9</v>
      </c>
      <c r="G910" t="b">
        <v>0</v>
      </c>
      <c r="H910">
        <v>4</v>
      </c>
      <c r="I910">
        <v>1</v>
      </c>
      <c r="J910">
        <v>0.12</v>
      </c>
      <c r="K910">
        <v>0.1061</v>
      </c>
      <c r="L910">
        <v>0.42</v>
      </c>
      <c r="M910">
        <v>0.35820000000000002</v>
      </c>
      <c r="N910">
        <v>1</v>
      </c>
      <c r="O910">
        <v>121</v>
      </c>
      <c r="P910">
        <v>122</v>
      </c>
      <c r="Q910" t="str">
        <f t="shared" si="59"/>
        <v>Weekday</v>
      </c>
      <c r="R910" t="str">
        <f t="shared" si="56"/>
        <v>Clear</v>
      </c>
      <c r="S910">
        <f t="shared" si="57"/>
        <v>-0.25435329828790432</v>
      </c>
      <c r="T910">
        <f t="shared" si="58"/>
        <v>0.10399668008577614</v>
      </c>
      <c r="U910" s="6">
        <v>0.12</v>
      </c>
      <c r="V910">
        <f t="array" ref="V910">CORREL(IFERROR(VALUE(TRIM(CLEAN($U$2:$U$1001))),0), IFERROR(VALUE(TRIM(CLEAN($P$2:$P$1001))),0))</f>
        <v>0.23135628536430677</v>
      </c>
    </row>
    <row r="911" spans="1:22" x14ac:dyDescent="0.25">
      <c r="A911">
        <v>910</v>
      </c>
      <c r="B911" s="1">
        <v>40584</v>
      </c>
      <c r="C911">
        <v>1</v>
      </c>
      <c r="D911">
        <v>0</v>
      </c>
      <c r="E911">
        <v>2</v>
      </c>
      <c r="F911">
        <v>10</v>
      </c>
      <c r="G911" t="b">
        <v>0</v>
      </c>
      <c r="H911">
        <v>4</v>
      </c>
      <c r="I911">
        <v>1</v>
      </c>
      <c r="J911">
        <v>0.12</v>
      </c>
      <c r="K911">
        <v>0.1061</v>
      </c>
      <c r="L911">
        <v>0.42</v>
      </c>
      <c r="M911">
        <v>0.29849999999999999</v>
      </c>
      <c r="N911">
        <v>1</v>
      </c>
      <c r="O911">
        <v>34</v>
      </c>
      <c r="P911">
        <v>35</v>
      </c>
      <c r="Q911" t="str">
        <f t="shared" si="59"/>
        <v>Weekend</v>
      </c>
      <c r="R911" t="str">
        <f t="shared" si="56"/>
        <v>Clear</v>
      </c>
      <c r="S911">
        <f t="shared" si="57"/>
        <v>-0.25435329828790432</v>
      </c>
      <c r="T911">
        <f t="shared" si="58"/>
        <v>0.10399668008577614</v>
      </c>
      <c r="U911" s="6">
        <v>0.12</v>
      </c>
      <c r="V911">
        <f t="array" ref="V911">CORREL(IFERROR(VALUE(TRIM(CLEAN($U$2:$U$1001))),0), IFERROR(VALUE(TRIM(CLEAN($P$2:$P$1001))),0))</f>
        <v>0.23135628536430677</v>
      </c>
    </row>
    <row r="912" spans="1:22" x14ac:dyDescent="0.25">
      <c r="A912">
        <v>911</v>
      </c>
      <c r="B912" s="1">
        <v>40584</v>
      </c>
      <c r="C912">
        <v>1</v>
      </c>
      <c r="D912">
        <v>0</v>
      </c>
      <c r="E912">
        <v>2</v>
      </c>
      <c r="F912">
        <v>11</v>
      </c>
      <c r="G912" t="b">
        <v>0</v>
      </c>
      <c r="H912">
        <v>4</v>
      </c>
      <c r="I912">
        <v>1</v>
      </c>
      <c r="J912">
        <v>0.14000000000000001</v>
      </c>
      <c r="K912">
        <v>0.1212</v>
      </c>
      <c r="L912">
        <v>0.39</v>
      </c>
      <c r="M912">
        <v>0.35820000000000002</v>
      </c>
      <c r="N912">
        <v>1</v>
      </c>
      <c r="O912">
        <v>44</v>
      </c>
      <c r="P912">
        <v>45</v>
      </c>
      <c r="Q912" t="str">
        <f t="shared" si="59"/>
        <v>Weekend</v>
      </c>
      <c r="R912" t="str">
        <f t="shared" si="56"/>
        <v>Clear</v>
      </c>
      <c r="S912">
        <f t="shared" si="57"/>
        <v>-0.25435329828790432</v>
      </c>
      <c r="T912">
        <f t="shared" si="58"/>
        <v>0.10399668008577614</v>
      </c>
      <c r="U912" s="6">
        <v>0.14000000000000001</v>
      </c>
      <c r="V912">
        <f t="array" ref="V912">CORREL(IFERROR(VALUE(TRIM(CLEAN($U$2:$U$1001))),0), IFERROR(VALUE(TRIM(CLEAN($P$2:$P$1001))),0))</f>
        <v>0.23135628536430677</v>
      </c>
    </row>
    <row r="913" spans="1:22" x14ac:dyDescent="0.25">
      <c r="A913">
        <v>912</v>
      </c>
      <c r="B913" s="1">
        <v>40584</v>
      </c>
      <c r="C913">
        <v>1</v>
      </c>
      <c r="D913">
        <v>0</v>
      </c>
      <c r="E913">
        <v>2</v>
      </c>
      <c r="F913">
        <v>12</v>
      </c>
      <c r="G913" t="b">
        <v>0</v>
      </c>
      <c r="H913">
        <v>4</v>
      </c>
      <c r="I913">
        <v>1</v>
      </c>
      <c r="J913">
        <v>0.16</v>
      </c>
      <c r="K913">
        <v>0.13639999999999999</v>
      </c>
      <c r="L913">
        <v>0.34</v>
      </c>
      <c r="M913">
        <v>0.3881</v>
      </c>
      <c r="N913">
        <v>4</v>
      </c>
      <c r="O913">
        <v>65</v>
      </c>
      <c r="P913">
        <v>69</v>
      </c>
      <c r="Q913" t="str">
        <f t="shared" si="59"/>
        <v>Weekday</v>
      </c>
      <c r="R913" t="str">
        <f t="shared" si="56"/>
        <v>Clear</v>
      </c>
      <c r="S913">
        <f t="shared" si="57"/>
        <v>-0.25435329828790432</v>
      </c>
      <c r="T913">
        <f t="shared" si="58"/>
        <v>0.10399668008577614</v>
      </c>
      <c r="U913" s="6">
        <v>0.16</v>
      </c>
      <c r="V913">
        <f t="array" ref="V913">CORREL(IFERROR(VALUE(TRIM(CLEAN($U$2:$U$1001))),0), IFERROR(VALUE(TRIM(CLEAN($P$2:$P$1001))),0))</f>
        <v>0.23135628536430677</v>
      </c>
    </row>
    <row r="914" spans="1:22" x14ac:dyDescent="0.25">
      <c r="A914">
        <v>913</v>
      </c>
      <c r="B914" s="1">
        <v>40584</v>
      </c>
      <c r="C914">
        <v>1</v>
      </c>
      <c r="D914">
        <v>0</v>
      </c>
      <c r="E914">
        <v>2</v>
      </c>
      <c r="F914">
        <v>13</v>
      </c>
      <c r="G914" t="b">
        <v>0</v>
      </c>
      <c r="H914">
        <v>4</v>
      </c>
      <c r="I914">
        <v>1</v>
      </c>
      <c r="J914">
        <v>0.18</v>
      </c>
      <c r="K914">
        <v>0.16669999999999999</v>
      </c>
      <c r="L914">
        <v>0.28999999999999998</v>
      </c>
      <c r="M914">
        <v>0.29849999999999999</v>
      </c>
      <c r="N914">
        <v>3</v>
      </c>
      <c r="O914">
        <v>59</v>
      </c>
      <c r="P914">
        <v>62</v>
      </c>
      <c r="Q914" t="str">
        <f t="shared" si="59"/>
        <v>Weekday</v>
      </c>
      <c r="R914" t="str">
        <f t="shared" si="56"/>
        <v>Clear</v>
      </c>
      <c r="S914">
        <f t="shared" si="57"/>
        <v>-0.25435329828790432</v>
      </c>
      <c r="T914">
        <f t="shared" si="58"/>
        <v>0.10399668008577614</v>
      </c>
      <c r="U914" s="6">
        <v>0.18</v>
      </c>
      <c r="V914">
        <f t="array" ref="V914">CORREL(IFERROR(VALUE(TRIM(CLEAN($U$2:$U$1001))),0), IFERROR(VALUE(TRIM(CLEAN($P$2:$P$1001))),0))</f>
        <v>0.23135628536430677</v>
      </c>
    </row>
    <row r="915" spans="1:22" x14ac:dyDescent="0.25">
      <c r="A915">
        <v>914</v>
      </c>
      <c r="B915" s="1">
        <v>40584</v>
      </c>
      <c r="C915">
        <v>1</v>
      </c>
      <c r="D915">
        <v>0</v>
      </c>
      <c r="E915">
        <v>2</v>
      </c>
      <c r="F915">
        <v>14</v>
      </c>
      <c r="G915" t="b">
        <v>0</v>
      </c>
      <c r="H915">
        <v>4</v>
      </c>
      <c r="I915">
        <v>1</v>
      </c>
      <c r="J915">
        <v>0.2</v>
      </c>
      <c r="K915">
        <v>0.18179999999999999</v>
      </c>
      <c r="L915">
        <v>0.27</v>
      </c>
      <c r="M915">
        <v>0.28360000000000002</v>
      </c>
      <c r="N915">
        <v>6</v>
      </c>
      <c r="O915">
        <v>42</v>
      </c>
      <c r="P915">
        <v>48</v>
      </c>
      <c r="Q915" t="str">
        <f t="shared" si="59"/>
        <v>Weekday</v>
      </c>
      <c r="R915" t="str">
        <f t="shared" si="56"/>
        <v>Clear</v>
      </c>
      <c r="S915">
        <f t="shared" si="57"/>
        <v>-0.25435329828790432</v>
      </c>
      <c r="T915">
        <f t="shared" si="58"/>
        <v>0.10399668008577614</v>
      </c>
      <c r="U915" s="6">
        <v>0.2</v>
      </c>
      <c r="V915">
        <f t="array" ref="V915">CORREL(IFERROR(VALUE(TRIM(CLEAN($U$2:$U$1001))),0), IFERROR(VALUE(TRIM(CLEAN($P$2:$P$1001))),0))</f>
        <v>0.23135628536430677</v>
      </c>
    </row>
    <row r="916" spans="1:22" x14ac:dyDescent="0.25">
      <c r="A916">
        <v>915</v>
      </c>
      <c r="B916" s="1">
        <v>40584</v>
      </c>
      <c r="C916">
        <v>1</v>
      </c>
      <c r="D916">
        <v>0</v>
      </c>
      <c r="E916">
        <v>2</v>
      </c>
      <c r="F916">
        <v>15</v>
      </c>
      <c r="G916" t="b">
        <v>0</v>
      </c>
      <c r="H916">
        <v>4</v>
      </c>
      <c r="I916">
        <v>1</v>
      </c>
      <c r="J916">
        <v>0.2</v>
      </c>
      <c r="K916">
        <v>0.19700000000000001</v>
      </c>
      <c r="L916">
        <v>0.25</v>
      </c>
      <c r="M916">
        <v>0.25369999999999998</v>
      </c>
      <c r="N916">
        <v>0</v>
      </c>
      <c r="O916">
        <v>50</v>
      </c>
      <c r="P916">
        <v>50</v>
      </c>
      <c r="Q916" t="str">
        <f t="shared" si="59"/>
        <v>Weekday</v>
      </c>
      <c r="R916" t="str">
        <f t="shared" si="56"/>
        <v>Clear</v>
      </c>
      <c r="S916">
        <f t="shared" si="57"/>
        <v>-0.25435329828790432</v>
      </c>
      <c r="T916">
        <f t="shared" si="58"/>
        <v>0.10399668008577614</v>
      </c>
      <c r="U916" s="6">
        <v>0.2</v>
      </c>
      <c r="V916">
        <f t="array" ref="V916">CORREL(IFERROR(VALUE(TRIM(CLEAN($U$2:$U$1001))),0), IFERROR(VALUE(TRIM(CLEAN($P$2:$P$1001))),0))</f>
        <v>0.23135628536430677</v>
      </c>
    </row>
    <row r="917" spans="1:22" x14ac:dyDescent="0.25">
      <c r="A917">
        <v>916</v>
      </c>
      <c r="B917" s="1">
        <v>40584</v>
      </c>
      <c r="C917">
        <v>1</v>
      </c>
      <c r="D917">
        <v>0</v>
      </c>
      <c r="E917">
        <v>2</v>
      </c>
      <c r="F917">
        <v>16</v>
      </c>
      <c r="G917" t="b">
        <v>0</v>
      </c>
      <c r="H917">
        <v>4</v>
      </c>
      <c r="I917">
        <v>1</v>
      </c>
      <c r="J917">
        <v>0.2</v>
      </c>
      <c r="K917">
        <v>0.18179999999999999</v>
      </c>
      <c r="L917">
        <v>0.27</v>
      </c>
      <c r="M917">
        <v>0.29849999999999999</v>
      </c>
      <c r="N917">
        <v>4</v>
      </c>
      <c r="O917">
        <v>76</v>
      </c>
      <c r="P917">
        <v>80</v>
      </c>
      <c r="Q917" t="str">
        <f t="shared" si="59"/>
        <v>Weekday</v>
      </c>
      <c r="R917" t="str">
        <f t="shared" si="56"/>
        <v>Clear</v>
      </c>
      <c r="S917">
        <f t="shared" si="57"/>
        <v>-0.25435329828790432</v>
      </c>
      <c r="T917">
        <f t="shared" si="58"/>
        <v>0.10399668008577614</v>
      </c>
      <c r="U917" s="6">
        <v>0.2</v>
      </c>
      <c r="V917">
        <f t="array" ref="V917">CORREL(IFERROR(VALUE(TRIM(CLEAN($U$2:$U$1001))),0), IFERROR(VALUE(TRIM(CLEAN($P$2:$P$1001))),0))</f>
        <v>0.23135628536430677</v>
      </c>
    </row>
    <row r="918" spans="1:22" x14ac:dyDescent="0.25">
      <c r="A918">
        <v>917</v>
      </c>
      <c r="B918" s="1">
        <v>40584</v>
      </c>
      <c r="C918">
        <v>1</v>
      </c>
      <c r="D918">
        <v>0</v>
      </c>
      <c r="E918">
        <v>2</v>
      </c>
      <c r="F918">
        <v>17</v>
      </c>
      <c r="G918" t="b">
        <v>0</v>
      </c>
      <c r="H918">
        <v>4</v>
      </c>
      <c r="I918">
        <v>1</v>
      </c>
      <c r="J918">
        <v>0.18</v>
      </c>
      <c r="K918">
        <v>0.18179999999999999</v>
      </c>
      <c r="L918">
        <v>0.26</v>
      </c>
      <c r="M918">
        <v>0.19400000000000001</v>
      </c>
      <c r="N918">
        <v>6</v>
      </c>
      <c r="O918">
        <v>159</v>
      </c>
      <c r="P918">
        <v>165</v>
      </c>
      <c r="Q918" t="str">
        <f t="shared" si="59"/>
        <v>Weekend</v>
      </c>
      <c r="R918" t="str">
        <f t="shared" si="56"/>
        <v>Clear</v>
      </c>
      <c r="S918">
        <f t="shared" si="57"/>
        <v>-0.25435329828790432</v>
      </c>
      <c r="T918">
        <f t="shared" si="58"/>
        <v>0.10399668008577614</v>
      </c>
      <c r="U918" s="6">
        <v>0.18</v>
      </c>
      <c r="V918">
        <f t="array" ref="V918">CORREL(IFERROR(VALUE(TRIM(CLEAN($U$2:$U$1001))),0), IFERROR(VALUE(TRIM(CLEAN($P$2:$P$1001))),0))</f>
        <v>0.23135628536430677</v>
      </c>
    </row>
    <row r="919" spans="1:22" x14ac:dyDescent="0.25">
      <c r="A919">
        <v>918</v>
      </c>
      <c r="B919" s="1">
        <v>40584</v>
      </c>
      <c r="C919">
        <v>1</v>
      </c>
      <c r="D919">
        <v>0</v>
      </c>
      <c r="E919">
        <v>2</v>
      </c>
      <c r="F919">
        <v>18</v>
      </c>
      <c r="G919" t="b">
        <v>0</v>
      </c>
      <c r="H919">
        <v>4</v>
      </c>
      <c r="I919">
        <v>1</v>
      </c>
      <c r="J919">
        <v>0.16</v>
      </c>
      <c r="K919">
        <v>0.18179999999999999</v>
      </c>
      <c r="L919">
        <v>0.28000000000000003</v>
      </c>
      <c r="M919">
        <v>0.1343</v>
      </c>
      <c r="N919">
        <v>3</v>
      </c>
      <c r="O919">
        <v>157</v>
      </c>
      <c r="P919">
        <v>160</v>
      </c>
      <c r="Q919" t="str">
        <f t="shared" si="59"/>
        <v>Weekend</v>
      </c>
      <c r="R919" t="str">
        <f t="shared" si="56"/>
        <v>Clear</v>
      </c>
      <c r="S919">
        <f t="shared" si="57"/>
        <v>-0.25435329828790432</v>
      </c>
      <c r="T919">
        <f t="shared" si="58"/>
        <v>0.10399668008577614</v>
      </c>
      <c r="U919" s="6">
        <v>0.16</v>
      </c>
      <c r="V919">
        <f t="array" ref="V919">CORREL(IFERROR(VALUE(TRIM(CLEAN($U$2:$U$1001))),0), IFERROR(VALUE(TRIM(CLEAN($P$2:$P$1001))),0))</f>
        <v>0.23135628536430677</v>
      </c>
    </row>
    <row r="920" spans="1:22" x14ac:dyDescent="0.25">
      <c r="A920">
        <v>919</v>
      </c>
      <c r="B920" s="1">
        <v>40584</v>
      </c>
      <c r="C920">
        <v>1</v>
      </c>
      <c r="D920">
        <v>0</v>
      </c>
      <c r="E920">
        <v>2</v>
      </c>
      <c r="F920">
        <v>19</v>
      </c>
      <c r="G920" t="b">
        <v>0</v>
      </c>
      <c r="H920">
        <v>4</v>
      </c>
      <c r="I920">
        <v>1</v>
      </c>
      <c r="J920">
        <v>0.14000000000000001</v>
      </c>
      <c r="K920">
        <v>0.16669999999999999</v>
      </c>
      <c r="L920">
        <v>0.28000000000000003</v>
      </c>
      <c r="M920">
        <v>0.1045</v>
      </c>
      <c r="N920">
        <v>2</v>
      </c>
      <c r="O920">
        <v>110</v>
      </c>
      <c r="P920">
        <v>112</v>
      </c>
      <c r="Q920" t="str">
        <f t="shared" si="59"/>
        <v>Weekday</v>
      </c>
      <c r="R920" t="str">
        <f t="shared" si="56"/>
        <v>Clear</v>
      </c>
      <c r="S920">
        <f t="shared" si="57"/>
        <v>-0.25435329828790432</v>
      </c>
      <c r="T920">
        <f t="shared" si="58"/>
        <v>0.10399668008577614</v>
      </c>
      <c r="U920" s="6">
        <v>0.14000000000000001</v>
      </c>
      <c r="V920">
        <f t="array" ref="V920">CORREL(IFERROR(VALUE(TRIM(CLEAN($U$2:$U$1001))),0), IFERROR(VALUE(TRIM(CLEAN($P$2:$P$1001))),0))</f>
        <v>0.23135628536430677</v>
      </c>
    </row>
    <row r="921" spans="1:22" x14ac:dyDescent="0.25">
      <c r="A921">
        <v>920</v>
      </c>
      <c r="B921" s="1">
        <v>40584</v>
      </c>
      <c r="C921">
        <v>1</v>
      </c>
      <c r="D921">
        <v>0</v>
      </c>
      <c r="E921">
        <v>2</v>
      </c>
      <c r="F921">
        <v>20</v>
      </c>
      <c r="G921" t="b">
        <v>0</v>
      </c>
      <c r="H921">
        <v>4</v>
      </c>
      <c r="I921">
        <v>1</v>
      </c>
      <c r="J921">
        <v>0.14000000000000001</v>
      </c>
      <c r="K921">
        <v>0.18179999999999999</v>
      </c>
      <c r="L921">
        <v>0.31</v>
      </c>
      <c r="M921">
        <v>8.9599999999999999E-2</v>
      </c>
      <c r="N921">
        <v>4</v>
      </c>
      <c r="O921">
        <v>93</v>
      </c>
      <c r="P921">
        <v>97</v>
      </c>
      <c r="Q921" t="str">
        <f t="shared" si="59"/>
        <v>Weekday</v>
      </c>
      <c r="R921" t="str">
        <f t="shared" si="56"/>
        <v>Clear</v>
      </c>
      <c r="S921">
        <f t="shared" si="57"/>
        <v>-0.25435329828790432</v>
      </c>
      <c r="T921">
        <f t="shared" si="58"/>
        <v>0.10399668008577614</v>
      </c>
      <c r="U921" s="6">
        <v>0.14000000000000001</v>
      </c>
      <c r="V921">
        <f t="array" ref="V921">CORREL(IFERROR(VALUE(TRIM(CLEAN($U$2:$U$1001))),0), IFERROR(VALUE(TRIM(CLEAN($P$2:$P$1001))),0))</f>
        <v>0.23135628536430677</v>
      </c>
    </row>
    <row r="922" spans="1:22" x14ac:dyDescent="0.25">
      <c r="A922">
        <v>921</v>
      </c>
      <c r="B922" s="1">
        <v>40584</v>
      </c>
      <c r="C922">
        <v>1</v>
      </c>
      <c r="D922">
        <v>0</v>
      </c>
      <c r="E922">
        <v>2</v>
      </c>
      <c r="F922">
        <v>21</v>
      </c>
      <c r="G922" t="b">
        <v>0</v>
      </c>
      <c r="H922">
        <v>4</v>
      </c>
      <c r="I922">
        <v>1</v>
      </c>
      <c r="J922">
        <v>0.14000000000000001</v>
      </c>
      <c r="K922">
        <v>0.21210000000000001</v>
      </c>
      <c r="L922">
        <v>0.39</v>
      </c>
      <c r="M922">
        <v>0</v>
      </c>
      <c r="N922">
        <v>2</v>
      </c>
      <c r="O922">
        <v>70</v>
      </c>
      <c r="P922">
        <v>72</v>
      </c>
      <c r="Q922" t="str">
        <f t="shared" si="59"/>
        <v>Weekday</v>
      </c>
      <c r="R922" t="str">
        <f t="shared" si="56"/>
        <v>Clear</v>
      </c>
      <c r="S922">
        <f t="shared" si="57"/>
        <v>-0.25435329828790432</v>
      </c>
      <c r="T922">
        <f t="shared" si="58"/>
        <v>0.10399668008577614</v>
      </c>
      <c r="U922" s="6">
        <v>0.14000000000000001</v>
      </c>
      <c r="V922">
        <f t="array" ref="V922">CORREL(IFERROR(VALUE(TRIM(CLEAN($U$2:$U$1001))),0), IFERROR(VALUE(TRIM(CLEAN($P$2:$P$1001))),0))</f>
        <v>0.23135628536430677</v>
      </c>
    </row>
    <row r="923" spans="1:22" x14ac:dyDescent="0.25">
      <c r="A923">
        <v>922</v>
      </c>
      <c r="B923" s="1">
        <v>40584</v>
      </c>
      <c r="C923">
        <v>1</v>
      </c>
      <c r="D923">
        <v>0</v>
      </c>
      <c r="E923">
        <v>2</v>
      </c>
      <c r="F923">
        <v>22</v>
      </c>
      <c r="G923" t="b">
        <v>0</v>
      </c>
      <c r="H923">
        <v>4</v>
      </c>
      <c r="I923">
        <v>1</v>
      </c>
      <c r="J923">
        <v>0.12</v>
      </c>
      <c r="K923">
        <v>0.19700000000000001</v>
      </c>
      <c r="L923">
        <v>0.39</v>
      </c>
      <c r="M923">
        <v>0</v>
      </c>
      <c r="N923">
        <v>4</v>
      </c>
      <c r="O923">
        <v>47</v>
      </c>
      <c r="P923">
        <v>51</v>
      </c>
      <c r="Q923" t="str">
        <f t="shared" si="59"/>
        <v>Weekday</v>
      </c>
      <c r="R923" t="str">
        <f t="shared" si="56"/>
        <v>Clear</v>
      </c>
      <c r="S923">
        <f t="shared" si="57"/>
        <v>-0.25435329828790432</v>
      </c>
      <c r="T923">
        <f t="shared" si="58"/>
        <v>0.10399668008577614</v>
      </c>
      <c r="U923" s="6">
        <v>0.12</v>
      </c>
      <c r="V923">
        <f t="array" ref="V923">CORREL(IFERROR(VALUE(TRIM(CLEAN($U$2:$U$1001))),0), IFERROR(VALUE(TRIM(CLEAN($P$2:$P$1001))),0))</f>
        <v>0.23135628536430677</v>
      </c>
    </row>
    <row r="924" spans="1:22" x14ac:dyDescent="0.25">
      <c r="A924">
        <v>923</v>
      </c>
      <c r="B924" s="1">
        <v>40584</v>
      </c>
      <c r="C924">
        <v>1</v>
      </c>
      <c r="D924">
        <v>0</v>
      </c>
      <c r="E924">
        <v>2</v>
      </c>
      <c r="F924">
        <v>23</v>
      </c>
      <c r="G924" t="b">
        <v>0</v>
      </c>
      <c r="H924">
        <v>4</v>
      </c>
      <c r="I924">
        <v>1</v>
      </c>
      <c r="J924">
        <v>0.12</v>
      </c>
      <c r="K924">
        <v>0.1515</v>
      </c>
      <c r="L924">
        <v>0.42</v>
      </c>
      <c r="M924">
        <v>0.1045</v>
      </c>
      <c r="N924">
        <v>1</v>
      </c>
      <c r="O924">
        <v>33</v>
      </c>
      <c r="P924">
        <v>34</v>
      </c>
      <c r="Q924" t="str">
        <f t="shared" si="59"/>
        <v>Weekday</v>
      </c>
      <c r="R924" t="str">
        <f t="shared" si="56"/>
        <v>Clear</v>
      </c>
      <c r="S924">
        <f t="shared" si="57"/>
        <v>-0.25435329828790432</v>
      </c>
      <c r="T924">
        <f t="shared" si="58"/>
        <v>0.10399668008577614</v>
      </c>
      <c r="U924" s="6">
        <v>0.12</v>
      </c>
      <c r="V924">
        <f t="array" ref="V924">CORREL(IFERROR(VALUE(TRIM(CLEAN($U$2:$U$1001))),0), IFERROR(VALUE(TRIM(CLEAN($P$2:$P$1001))),0))</f>
        <v>0.23135628536430677</v>
      </c>
    </row>
    <row r="925" spans="1:22" x14ac:dyDescent="0.25">
      <c r="A925">
        <v>924</v>
      </c>
      <c r="B925" s="1">
        <v>40585</v>
      </c>
      <c r="C925">
        <v>1</v>
      </c>
      <c r="D925">
        <v>0</v>
      </c>
      <c r="E925">
        <v>2</v>
      </c>
      <c r="F925">
        <v>0</v>
      </c>
      <c r="G925" t="b">
        <v>0</v>
      </c>
      <c r="H925">
        <v>5</v>
      </c>
      <c r="I925">
        <v>1</v>
      </c>
      <c r="J925">
        <v>0.1</v>
      </c>
      <c r="K925">
        <v>0.13639999999999999</v>
      </c>
      <c r="L925">
        <v>0.49</v>
      </c>
      <c r="M925">
        <v>0.1045</v>
      </c>
      <c r="N925">
        <v>2</v>
      </c>
      <c r="O925">
        <v>12</v>
      </c>
      <c r="P925">
        <v>14</v>
      </c>
      <c r="Q925" t="str">
        <f t="shared" si="59"/>
        <v>Weekend</v>
      </c>
      <c r="R925" t="str">
        <f t="shared" si="56"/>
        <v>Clear</v>
      </c>
      <c r="S925">
        <f t="shared" si="57"/>
        <v>-0.25435329828790432</v>
      </c>
      <c r="T925">
        <f t="shared" si="58"/>
        <v>0.10399668008577614</v>
      </c>
      <c r="U925" s="6">
        <v>0.1</v>
      </c>
      <c r="V925">
        <f t="array" ref="V925">CORREL(IFERROR(VALUE(TRIM(CLEAN($U$2:$U$1001))),0), IFERROR(VALUE(TRIM(CLEAN($P$2:$P$1001))),0))</f>
        <v>0.23135628536430677</v>
      </c>
    </row>
    <row r="926" spans="1:22" x14ac:dyDescent="0.25">
      <c r="A926">
        <v>925</v>
      </c>
      <c r="B926" s="1">
        <v>40585</v>
      </c>
      <c r="C926">
        <v>1</v>
      </c>
      <c r="D926">
        <v>0</v>
      </c>
      <c r="E926">
        <v>2</v>
      </c>
      <c r="F926">
        <v>1</v>
      </c>
      <c r="G926" t="b">
        <v>0</v>
      </c>
      <c r="H926">
        <v>5</v>
      </c>
      <c r="I926">
        <v>1</v>
      </c>
      <c r="J926">
        <v>0.1</v>
      </c>
      <c r="K926">
        <v>0.13639999999999999</v>
      </c>
      <c r="L926">
        <v>0.54</v>
      </c>
      <c r="M926">
        <v>8.9599999999999999E-2</v>
      </c>
      <c r="N926">
        <v>1</v>
      </c>
      <c r="O926">
        <v>6</v>
      </c>
      <c r="P926">
        <v>7</v>
      </c>
      <c r="Q926" t="str">
        <f t="shared" si="59"/>
        <v>Weekend</v>
      </c>
      <c r="R926" t="str">
        <f t="shared" si="56"/>
        <v>Clear</v>
      </c>
      <c r="S926">
        <f t="shared" si="57"/>
        <v>-0.25435329828790432</v>
      </c>
      <c r="T926">
        <f t="shared" si="58"/>
        <v>0.10399668008577614</v>
      </c>
      <c r="U926" s="6">
        <v>0.1</v>
      </c>
      <c r="V926">
        <f t="array" ref="V926">CORREL(IFERROR(VALUE(TRIM(CLEAN($U$2:$U$1001))),0), IFERROR(VALUE(TRIM(CLEAN($P$2:$P$1001))),0))</f>
        <v>0.23135628536430677</v>
      </c>
    </row>
    <row r="927" spans="1:22" x14ac:dyDescent="0.25">
      <c r="A927">
        <v>926</v>
      </c>
      <c r="B927" s="1">
        <v>40585</v>
      </c>
      <c r="C927">
        <v>1</v>
      </c>
      <c r="D927">
        <v>0</v>
      </c>
      <c r="E927">
        <v>2</v>
      </c>
      <c r="F927">
        <v>2</v>
      </c>
      <c r="G927" t="b">
        <v>0</v>
      </c>
      <c r="H927">
        <v>5</v>
      </c>
      <c r="I927">
        <v>1</v>
      </c>
      <c r="J927">
        <v>0.1</v>
      </c>
      <c r="K927">
        <v>0.13639999999999999</v>
      </c>
      <c r="L927">
        <v>0.54</v>
      </c>
      <c r="M927">
        <v>8.9599999999999999E-2</v>
      </c>
      <c r="N927">
        <v>0</v>
      </c>
      <c r="O927">
        <v>3</v>
      </c>
      <c r="P927">
        <v>3</v>
      </c>
      <c r="Q927" t="str">
        <f t="shared" si="59"/>
        <v>Weekday</v>
      </c>
      <c r="R927" t="str">
        <f t="shared" si="56"/>
        <v>Clear</v>
      </c>
      <c r="S927">
        <f t="shared" si="57"/>
        <v>-0.25435329828790432</v>
      </c>
      <c r="T927">
        <f t="shared" si="58"/>
        <v>0.10399668008577614</v>
      </c>
      <c r="U927" s="6">
        <v>0.1</v>
      </c>
      <c r="V927">
        <f t="array" ref="V927">CORREL(IFERROR(VALUE(TRIM(CLEAN($U$2:$U$1001))),0), IFERROR(VALUE(TRIM(CLEAN($P$2:$P$1001))),0))</f>
        <v>0.23135628536430677</v>
      </c>
    </row>
    <row r="928" spans="1:22" x14ac:dyDescent="0.25">
      <c r="A928">
        <v>927</v>
      </c>
      <c r="B928" s="1">
        <v>40585</v>
      </c>
      <c r="C928">
        <v>1</v>
      </c>
      <c r="D928">
        <v>0</v>
      </c>
      <c r="E928">
        <v>2</v>
      </c>
      <c r="F928">
        <v>5</v>
      </c>
      <c r="G928" t="b">
        <v>0</v>
      </c>
      <c r="H928">
        <v>5</v>
      </c>
      <c r="I928">
        <v>1</v>
      </c>
      <c r="J928">
        <v>0.08</v>
      </c>
      <c r="K928">
        <v>0.1212</v>
      </c>
      <c r="L928">
        <v>0.63</v>
      </c>
      <c r="M928">
        <v>8.9599999999999999E-2</v>
      </c>
      <c r="N928">
        <v>0</v>
      </c>
      <c r="O928">
        <v>4</v>
      </c>
      <c r="P928">
        <v>4</v>
      </c>
      <c r="Q928" t="str">
        <f t="shared" si="59"/>
        <v>Weekday</v>
      </c>
      <c r="R928" t="str">
        <f t="shared" si="56"/>
        <v>Clear</v>
      </c>
      <c r="S928">
        <f t="shared" si="57"/>
        <v>-0.25435329828790432</v>
      </c>
      <c r="T928">
        <f t="shared" si="58"/>
        <v>0.10399668008577614</v>
      </c>
      <c r="U928" s="6">
        <v>0.08</v>
      </c>
      <c r="V928">
        <f t="array" ref="V928">CORREL(IFERROR(VALUE(TRIM(CLEAN($U$2:$U$1001))),0), IFERROR(VALUE(TRIM(CLEAN($P$2:$P$1001))),0))</f>
        <v>0.23135628536430677</v>
      </c>
    </row>
    <row r="929" spans="1:22" x14ac:dyDescent="0.25">
      <c r="A929">
        <v>928</v>
      </c>
      <c r="B929" s="1">
        <v>40585</v>
      </c>
      <c r="C929">
        <v>1</v>
      </c>
      <c r="D929">
        <v>0</v>
      </c>
      <c r="E929">
        <v>2</v>
      </c>
      <c r="F929">
        <v>6</v>
      </c>
      <c r="G929" t="b">
        <v>0</v>
      </c>
      <c r="H929">
        <v>5</v>
      </c>
      <c r="I929">
        <v>1</v>
      </c>
      <c r="J929">
        <v>0.1</v>
      </c>
      <c r="K929">
        <v>0.18179999999999999</v>
      </c>
      <c r="L929">
        <v>0.68</v>
      </c>
      <c r="M929">
        <v>0</v>
      </c>
      <c r="N929">
        <v>1</v>
      </c>
      <c r="O929">
        <v>23</v>
      </c>
      <c r="P929">
        <v>24</v>
      </c>
      <c r="Q929" t="str">
        <f t="shared" si="59"/>
        <v>Weekday</v>
      </c>
      <c r="R929" t="str">
        <f t="shared" si="56"/>
        <v>Clear</v>
      </c>
      <c r="S929">
        <f t="shared" si="57"/>
        <v>-0.25435329828790432</v>
      </c>
      <c r="T929">
        <f t="shared" si="58"/>
        <v>0.10399668008577614</v>
      </c>
      <c r="U929" s="6">
        <v>0.1</v>
      </c>
      <c r="V929">
        <f t="array" ref="V929">CORREL(IFERROR(VALUE(TRIM(CLEAN($U$2:$U$1001))),0), IFERROR(VALUE(TRIM(CLEAN($P$2:$P$1001))),0))</f>
        <v>0.23135628536430677</v>
      </c>
    </row>
    <row r="930" spans="1:22" x14ac:dyDescent="0.25">
      <c r="A930">
        <v>929</v>
      </c>
      <c r="B930" s="1">
        <v>40585</v>
      </c>
      <c r="C930">
        <v>1</v>
      </c>
      <c r="D930">
        <v>0</v>
      </c>
      <c r="E930">
        <v>2</v>
      </c>
      <c r="F930">
        <v>7</v>
      </c>
      <c r="G930" t="b">
        <v>0</v>
      </c>
      <c r="H930">
        <v>5</v>
      </c>
      <c r="I930">
        <v>1</v>
      </c>
      <c r="J930">
        <v>0.08</v>
      </c>
      <c r="K930">
        <v>0.16669999999999999</v>
      </c>
      <c r="L930">
        <v>0.73</v>
      </c>
      <c r="M930">
        <v>0</v>
      </c>
      <c r="N930">
        <v>1</v>
      </c>
      <c r="O930">
        <v>73</v>
      </c>
      <c r="P930">
        <v>74</v>
      </c>
      <c r="Q930" t="str">
        <f t="shared" si="59"/>
        <v>Weekday</v>
      </c>
      <c r="R930" t="str">
        <f t="shared" si="56"/>
        <v>Clear</v>
      </c>
      <c r="S930">
        <f t="shared" si="57"/>
        <v>-0.25435329828790432</v>
      </c>
      <c r="T930">
        <f t="shared" si="58"/>
        <v>0.10399668008577614</v>
      </c>
      <c r="U930" s="6">
        <v>0.08</v>
      </c>
      <c r="V930">
        <f t="array" ref="V930">CORREL(IFERROR(VALUE(TRIM(CLEAN($U$2:$U$1001))),0), IFERROR(VALUE(TRIM(CLEAN($P$2:$P$1001))),0))</f>
        <v>0.23135628536430677</v>
      </c>
    </row>
    <row r="931" spans="1:22" x14ac:dyDescent="0.25">
      <c r="A931">
        <v>930</v>
      </c>
      <c r="B931" s="1">
        <v>40585</v>
      </c>
      <c r="C931">
        <v>1</v>
      </c>
      <c r="D931">
        <v>0</v>
      </c>
      <c r="E931">
        <v>2</v>
      </c>
      <c r="F931">
        <v>8</v>
      </c>
      <c r="G931" t="b">
        <v>0</v>
      </c>
      <c r="H931">
        <v>5</v>
      </c>
      <c r="I931">
        <v>1</v>
      </c>
      <c r="J931">
        <v>0.1</v>
      </c>
      <c r="K931">
        <v>0.1212</v>
      </c>
      <c r="L931">
        <v>0.74</v>
      </c>
      <c r="M931">
        <v>0.16420000000000001</v>
      </c>
      <c r="N931">
        <v>4</v>
      </c>
      <c r="O931">
        <v>212</v>
      </c>
      <c r="P931">
        <v>216</v>
      </c>
      <c r="Q931" t="str">
        <f t="shared" si="59"/>
        <v>Weekday</v>
      </c>
      <c r="R931" t="str">
        <f t="shared" si="56"/>
        <v>Clear</v>
      </c>
      <c r="S931">
        <f t="shared" si="57"/>
        <v>-0.25435329828790432</v>
      </c>
      <c r="T931">
        <f t="shared" si="58"/>
        <v>0.10399668008577614</v>
      </c>
      <c r="U931" s="6">
        <v>0.1</v>
      </c>
      <c r="V931">
        <f t="array" ref="V931">CORREL(IFERROR(VALUE(TRIM(CLEAN($U$2:$U$1001))),0), IFERROR(VALUE(TRIM(CLEAN($P$2:$P$1001))),0))</f>
        <v>0.23135628536430677</v>
      </c>
    </row>
    <row r="932" spans="1:22" x14ac:dyDescent="0.25">
      <c r="A932">
        <v>931</v>
      </c>
      <c r="B932" s="1">
        <v>40585</v>
      </c>
      <c r="C932">
        <v>1</v>
      </c>
      <c r="D932">
        <v>0</v>
      </c>
      <c r="E932">
        <v>2</v>
      </c>
      <c r="F932">
        <v>9</v>
      </c>
      <c r="G932" t="b">
        <v>0</v>
      </c>
      <c r="H932">
        <v>5</v>
      </c>
      <c r="I932">
        <v>1</v>
      </c>
      <c r="J932">
        <v>0.12</v>
      </c>
      <c r="K932">
        <v>0.1212</v>
      </c>
      <c r="L932">
        <v>0.74</v>
      </c>
      <c r="M932">
        <v>0.22389999999999999</v>
      </c>
      <c r="N932">
        <v>8</v>
      </c>
      <c r="O932">
        <v>132</v>
      </c>
      <c r="P932">
        <v>140</v>
      </c>
      <c r="Q932" t="str">
        <f t="shared" si="59"/>
        <v>Weekend</v>
      </c>
      <c r="R932" t="str">
        <f t="shared" si="56"/>
        <v>Clear</v>
      </c>
      <c r="S932">
        <f t="shared" si="57"/>
        <v>-0.25435329828790432</v>
      </c>
      <c r="T932">
        <f t="shared" si="58"/>
        <v>0.10399668008577614</v>
      </c>
      <c r="U932" s="6">
        <v>0.12</v>
      </c>
      <c r="V932">
        <f t="array" ref="V932">CORREL(IFERROR(VALUE(TRIM(CLEAN($U$2:$U$1001))),0), IFERROR(VALUE(TRIM(CLEAN($P$2:$P$1001))),0))</f>
        <v>0.23135628536430677</v>
      </c>
    </row>
    <row r="933" spans="1:22" x14ac:dyDescent="0.25">
      <c r="A933">
        <v>932</v>
      </c>
      <c r="B933" s="1">
        <v>40585</v>
      </c>
      <c r="C933">
        <v>1</v>
      </c>
      <c r="D933">
        <v>0</v>
      </c>
      <c r="E933">
        <v>2</v>
      </c>
      <c r="F933">
        <v>10</v>
      </c>
      <c r="G933" t="b">
        <v>0</v>
      </c>
      <c r="H933">
        <v>5</v>
      </c>
      <c r="I933">
        <v>1</v>
      </c>
      <c r="J933">
        <v>0.14000000000000001</v>
      </c>
      <c r="K933">
        <v>0.13639999999999999</v>
      </c>
      <c r="L933">
        <v>0.69</v>
      </c>
      <c r="M933">
        <v>0.19400000000000001</v>
      </c>
      <c r="N933">
        <v>5</v>
      </c>
      <c r="O933">
        <v>39</v>
      </c>
      <c r="P933">
        <v>44</v>
      </c>
      <c r="Q933" t="str">
        <f t="shared" si="59"/>
        <v>Weekend</v>
      </c>
      <c r="R933" t="str">
        <f t="shared" si="56"/>
        <v>Clear</v>
      </c>
      <c r="S933">
        <f t="shared" si="57"/>
        <v>-0.25435329828790432</v>
      </c>
      <c r="T933">
        <f t="shared" si="58"/>
        <v>0.10399668008577614</v>
      </c>
      <c r="U933" s="6">
        <v>0.14000000000000001</v>
      </c>
      <c r="V933">
        <f t="array" ref="V933">CORREL(IFERROR(VALUE(TRIM(CLEAN($U$2:$U$1001))),0), IFERROR(VALUE(TRIM(CLEAN($P$2:$P$1001))),0))</f>
        <v>0.23135628536430677</v>
      </c>
    </row>
    <row r="934" spans="1:22" x14ac:dyDescent="0.25">
      <c r="A934">
        <v>933</v>
      </c>
      <c r="B934" s="1">
        <v>40585</v>
      </c>
      <c r="C934">
        <v>1</v>
      </c>
      <c r="D934">
        <v>0</v>
      </c>
      <c r="E934">
        <v>2</v>
      </c>
      <c r="F934">
        <v>11</v>
      </c>
      <c r="G934" t="b">
        <v>0</v>
      </c>
      <c r="H934">
        <v>5</v>
      </c>
      <c r="I934">
        <v>1</v>
      </c>
      <c r="J934">
        <v>0.22</v>
      </c>
      <c r="K934">
        <v>0.2273</v>
      </c>
      <c r="L934">
        <v>0.47</v>
      </c>
      <c r="M934">
        <v>0.1343</v>
      </c>
      <c r="N934">
        <v>12</v>
      </c>
      <c r="O934">
        <v>52</v>
      </c>
      <c r="P934">
        <v>64</v>
      </c>
      <c r="Q934" t="str">
        <f t="shared" si="59"/>
        <v>Weekday</v>
      </c>
      <c r="R934" t="str">
        <f t="shared" si="56"/>
        <v>Clear</v>
      </c>
      <c r="S934">
        <f t="shared" si="57"/>
        <v>-0.25435329828790432</v>
      </c>
      <c r="T934">
        <f t="shared" si="58"/>
        <v>0.10399668008577614</v>
      </c>
      <c r="U934" s="6">
        <v>0.22</v>
      </c>
      <c r="V934">
        <f t="array" ref="V934">CORREL(IFERROR(VALUE(TRIM(CLEAN($U$2:$U$1001))),0), IFERROR(VALUE(TRIM(CLEAN($P$2:$P$1001))),0))</f>
        <v>0.23135628536430677</v>
      </c>
    </row>
    <row r="935" spans="1:22" x14ac:dyDescent="0.25">
      <c r="A935">
        <v>934</v>
      </c>
      <c r="B935" s="1">
        <v>40585</v>
      </c>
      <c r="C935">
        <v>1</v>
      </c>
      <c r="D935">
        <v>0</v>
      </c>
      <c r="E935">
        <v>2</v>
      </c>
      <c r="F935">
        <v>12</v>
      </c>
      <c r="G935" t="b">
        <v>0</v>
      </c>
      <c r="H935">
        <v>5</v>
      </c>
      <c r="I935">
        <v>1</v>
      </c>
      <c r="J935">
        <v>0.22</v>
      </c>
      <c r="K935">
        <v>0.2273</v>
      </c>
      <c r="L935">
        <v>0.47</v>
      </c>
      <c r="M935">
        <v>0.1343</v>
      </c>
      <c r="N935">
        <v>7</v>
      </c>
      <c r="O935">
        <v>64</v>
      </c>
      <c r="P935">
        <v>71</v>
      </c>
      <c r="Q935" t="str">
        <f t="shared" si="59"/>
        <v>Weekday</v>
      </c>
      <c r="R935" t="str">
        <f t="shared" si="56"/>
        <v>Clear</v>
      </c>
      <c r="S935">
        <f t="shared" si="57"/>
        <v>-0.25435329828790432</v>
      </c>
      <c r="T935">
        <f t="shared" si="58"/>
        <v>0.10399668008577614</v>
      </c>
      <c r="U935" s="6">
        <v>0.22</v>
      </c>
      <c r="V935">
        <f t="array" ref="V935">CORREL(IFERROR(VALUE(TRIM(CLEAN($U$2:$U$1001))),0), IFERROR(VALUE(TRIM(CLEAN($P$2:$P$1001))),0))</f>
        <v>0.23135628536430677</v>
      </c>
    </row>
    <row r="936" spans="1:22" x14ac:dyDescent="0.25">
      <c r="A936">
        <v>935</v>
      </c>
      <c r="B936" s="1">
        <v>40585</v>
      </c>
      <c r="C936">
        <v>1</v>
      </c>
      <c r="D936">
        <v>0</v>
      </c>
      <c r="E936">
        <v>2</v>
      </c>
      <c r="F936">
        <v>13</v>
      </c>
      <c r="G936" t="b">
        <v>0</v>
      </c>
      <c r="H936">
        <v>5</v>
      </c>
      <c r="I936">
        <v>1</v>
      </c>
      <c r="J936">
        <v>0.24</v>
      </c>
      <c r="K936">
        <v>0.2273</v>
      </c>
      <c r="L936">
        <v>0.35</v>
      </c>
      <c r="M936">
        <v>0.19400000000000001</v>
      </c>
      <c r="N936">
        <v>21</v>
      </c>
      <c r="O936">
        <v>89</v>
      </c>
      <c r="P936">
        <v>110</v>
      </c>
      <c r="Q936" t="str">
        <f t="shared" si="59"/>
        <v>Weekday</v>
      </c>
      <c r="R936" t="str">
        <f t="shared" si="56"/>
        <v>Clear</v>
      </c>
      <c r="S936">
        <f t="shared" si="57"/>
        <v>-0.25435329828790432</v>
      </c>
      <c r="T936">
        <f t="shared" si="58"/>
        <v>0.10399668008577614</v>
      </c>
      <c r="U936" s="6">
        <v>0.24</v>
      </c>
      <c r="V936">
        <f t="array" ref="V936">CORREL(IFERROR(VALUE(TRIM(CLEAN($U$2:$U$1001))),0), IFERROR(VALUE(TRIM(CLEAN($P$2:$P$1001))),0))</f>
        <v>0.23135628536430677</v>
      </c>
    </row>
    <row r="937" spans="1:22" x14ac:dyDescent="0.25">
      <c r="A937">
        <v>936</v>
      </c>
      <c r="B937" s="1">
        <v>40585</v>
      </c>
      <c r="C937">
        <v>1</v>
      </c>
      <c r="D937">
        <v>0</v>
      </c>
      <c r="E937">
        <v>2</v>
      </c>
      <c r="F937">
        <v>14</v>
      </c>
      <c r="G937" t="b">
        <v>0</v>
      </c>
      <c r="H937">
        <v>5</v>
      </c>
      <c r="I937">
        <v>1</v>
      </c>
      <c r="J937">
        <v>0.3</v>
      </c>
      <c r="K937">
        <v>0.28789999999999999</v>
      </c>
      <c r="L937">
        <v>0.26</v>
      </c>
      <c r="M937">
        <v>0.25369999999999998</v>
      </c>
      <c r="N937">
        <v>17</v>
      </c>
      <c r="O937">
        <v>67</v>
      </c>
      <c r="P937">
        <v>84</v>
      </c>
      <c r="Q937" t="str">
        <f t="shared" si="59"/>
        <v>Weekday</v>
      </c>
      <c r="R937" t="str">
        <f t="shared" si="56"/>
        <v>Clear</v>
      </c>
      <c r="S937">
        <f t="shared" si="57"/>
        <v>-0.25435329828790432</v>
      </c>
      <c r="T937">
        <f t="shared" si="58"/>
        <v>0.10399668008577614</v>
      </c>
      <c r="U937" s="6">
        <v>0.3</v>
      </c>
      <c r="V937">
        <f t="array" ref="V937">CORREL(IFERROR(VALUE(TRIM(CLEAN($U$2:$U$1001))),0), IFERROR(VALUE(TRIM(CLEAN($P$2:$P$1001))),0))</f>
        <v>0.23135628536430677</v>
      </c>
    </row>
    <row r="938" spans="1:22" x14ac:dyDescent="0.25">
      <c r="A938">
        <v>937</v>
      </c>
      <c r="B938" s="1">
        <v>40585</v>
      </c>
      <c r="C938">
        <v>1</v>
      </c>
      <c r="D938">
        <v>0</v>
      </c>
      <c r="E938">
        <v>2</v>
      </c>
      <c r="F938">
        <v>15</v>
      </c>
      <c r="G938" t="b">
        <v>0</v>
      </c>
      <c r="H938">
        <v>5</v>
      </c>
      <c r="I938">
        <v>1</v>
      </c>
      <c r="J938">
        <v>0.32</v>
      </c>
      <c r="K938">
        <v>0.31819999999999998</v>
      </c>
      <c r="L938">
        <v>0.21</v>
      </c>
      <c r="M938">
        <v>0.16420000000000001</v>
      </c>
      <c r="N938">
        <v>12</v>
      </c>
      <c r="O938">
        <v>62</v>
      </c>
      <c r="P938">
        <v>74</v>
      </c>
      <c r="Q938" t="str">
        <f t="shared" si="59"/>
        <v>Weekday</v>
      </c>
      <c r="R938" t="str">
        <f t="shared" si="56"/>
        <v>Clear</v>
      </c>
      <c r="S938">
        <f t="shared" si="57"/>
        <v>-0.25435329828790432</v>
      </c>
      <c r="T938">
        <f t="shared" si="58"/>
        <v>0.10399668008577614</v>
      </c>
      <c r="U938" s="6">
        <v>0.32</v>
      </c>
      <c r="V938">
        <f t="array" ref="V938">CORREL(IFERROR(VALUE(TRIM(CLEAN($U$2:$U$1001))),0), IFERROR(VALUE(TRIM(CLEAN($P$2:$P$1001))),0))</f>
        <v>0.23135628536430677</v>
      </c>
    </row>
    <row r="939" spans="1:22" x14ac:dyDescent="0.25">
      <c r="A939">
        <v>938</v>
      </c>
      <c r="B939" s="1">
        <v>40585</v>
      </c>
      <c r="C939">
        <v>1</v>
      </c>
      <c r="D939">
        <v>0</v>
      </c>
      <c r="E939">
        <v>2</v>
      </c>
      <c r="F939">
        <v>16</v>
      </c>
      <c r="G939" t="b">
        <v>0</v>
      </c>
      <c r="H939">
        <v>5</v>
      </c>
      <c r="I939">
        <v>1</v>
      </c>
      <c r="J939">
        <v>0.3</v>
      </c>
      <c r="K939">
        <v>0.28789999999999999</v>
      </c>
      <c r="L939">
        <v>0.28000000000000003</v>
      </c>
      <c r="M939">
        <v>0.19400000000000001</v>
      </c>
      <c r="N939">
        <v>14</v>
      </c>
      <c r="O939">
        <v>111</v>
      </c>
      <c r="P939">
        <v>125</v>
      </c>
      <c r="Q939" t="str">
        <f t="shared" si="59"/>
        <v>Weekend</v>
      </c>
      <c r="R939" t="str">
        <f t="shared" si="56"/>
        <v>Clear</v>
      </c>
      <c r="S939">
        <f t="shared" si="57"/>
        <v>-0.25435329828790432</v>
      </c>
      <c r="T939">
        <f t="shared" si="58"/>
        <v>0.10399668008577614</v>
      </c>
      <c r="U939" s="6">
        <v>0.3</v>
      </c>
      <c r="V939">
        <f t="array" ref="V939">CORREL(IFERROR(VALUE(TRIM(CLEAN($U$2:$U$1001))),0), IFERROR(VALUE(TRIM(CLEAN($P$2:$P$1001))),0))</f>
        <v>0.23135628536430677</v>
      </c>
    </row>
    <row r="940" spans="1:22" x14ac:dyDescent="0.25">
      <c r="A940">
        <v>939</v>
      </c>
      <c r="B940" s="1">
        <v>40585</v>
      </c>
      <c r="C940">
        <v>1</v>
      </c>
      <c r="D940">
        <v>0</v>
      </c>
      <c r="E940">
        <v>2</v>
      </c>
      <c r="F940">
        <v>17</v>
      </c>
      <c r="G940" t="b">
        <v>0</v>
      </c>
      <c r="H940">
        <v>5</v>
      </c>
      <c r="I940">
        <v>1</v>
      </c>
      <c r="J940">
        <v>0.3</v>
      </c>
      <c r="K940">
        <v>0.33329999999999999</v>
      </c>
      <c r="L940">
        <v>0.24</v>
      </c>
      <c r="M940">
        <v>0</v>
      </c>
      <c r="N940">
        <v>18</v>
      </c>
      <c r="O940">
        <v>193</v>
      </c>
      <c r="P940">
        <v>211</v>
      </c>
      <c r="Q940" t="str">
        <f t="shared" si="59"/>
        <v>Weekend</v>
      </c>
      <c r="R940" t="str">
        <f t="shared" si="56"/>
        <v>Clear</v>
      </c>
      <c r="S940">
        <f t="shared" si="57"/>
        <v>-0.25435329828790432</v>
      </c>
      <c r="T940">
        <f t="shared" si="58"/>
        <v>0.10399668008577614</v>
      </c>
      <c r="U940" s="6">
        <v>0.3</v>
      </c>
      <c r="V940">
        <f t="array" ref="V940">CORREL(IFERROR(VALUE(TRIM(CLEAN($U$2:$U$1001))),0), IFERROR(VALUE(TRIM(CLEAN($P$2:$P$1001))),0))</f>
        <v>0.23135628536430677</v>
      </c>
    </row>
    <row r="941" spans="1:22" x14ac:dyDescent="0.25">
      <c r="A941">
        <v>940</v>
      </c>
      <c r="B941" s="1">
        <v>40585</v>
      </c>
      <c r="C941">
        <v>1</v>
      </c>
      <c r="D941">
        <v>0</v>
      </c>
      <c r="E941">
        <v>2</v>
      </c>
      <c r="F941">
        <v>18</v>
      </c>
      <c r="G941" t="b">
        <v>0</v>
      </c>
      <c r="H941">
        <v>5</v>
      </c>
      <c r="I941">
        <v>1</v>
      </c>
      <c r="J941">
        <v>0.28000000000000003</v>
      </c>
      <c r="K941">
        <v>0.31819999999999998</v>
      </c>
      <c r="L941">
        <v>0.28000000000000003</v>
      </c>
      <c r="M941">
        <v>0</v>
      </c>
      <c r="N941">
        <v>9</v>
      </c>
      <c r="O941">
        <v>165</v>
      </c>
      <c r="P941">
        <v>174</v>
      </c>
      <c r="Q941" t="str">
        <f t="shared" si="59"/>
        <v>Weekday</v>
      </c>
      <c r="R941" t="str">
        <f t="shared" si="56"/>
        <v>Clear</v>
      </c>
      <c r="S941">
        <f t="shared" si="57"/>
        <v>-0.25435329828790432</v>
      </c>
      <c r="T941">
        <f t="shared" si="58"/>
        <v>0.10399668008577614</v>
      </c>
      <c r="U941" s="6">
        <v>0.28000000000000003</v>
      </c>
      <c r="V941">
        <f t="array" ref="V941">CORREL(IFERROR(VALUE(TRIM(CLEAN($U$2:$U$1001))),0), IFERROR(VALUE(TRIM(CLEAN($P$2:$P$1001))),0))</f>
        <v>0.23135628536430677</v>
      </c>
    </row>
    <row r="942" spans="1:22" x14ac:dyDescent="0.25">
      <c r="A942">
        <v>941</v>
      </c>
      <c r="B942" s="1">
        <v>40585</v>
      </c>
      <c r="C942">
        <v>1</v>
      </c>
      <c r="D942">
        <v>0</v>
      </c>
      <c r="E942">
        <v>2</v>
      </c>
      <c r="F942">
        <v>19</v>
      </c>
      <c r="G942" t="b">
        <v>0</v>
      </c>
      <c r="H942">
        <v>5</v>
      </c>
      <c r="I942">
        <v>1</v>
      </c>
      <c r="J942">
        <v>0.26</v>
      </c>
      <c r="K942">
        <v>0.30299999999999999</v>
      </c>
      <c r="L942">
        <v>0.33</v>
      </c>
      <c r="M942">
        <v>0</v>
      </c>
      <c r="N942">
        <v>7</v>
      </c>
      <c r="O942">
        <v>94</v>
      </c>
      <c r="P942">
        <v>101</v>
      </c>
      <c r="Q942" t="str">
        <f t="shared" si="59"/>
        <v>Weekday</v>
      </c>
      <c r="R942" t="str">
        <f t="shared" si="56"/>
        <v>Clear</v>
      </c>
      <c r="S942">
        <f t="shared" si="57"/>
        <v>-0.25435329828790432</v>
      </c>
      <c r="T942">
        <f t="shared" si="58"/>
        <v>0.10399668008577614</v>
      </c>
      <c r="U942" s="6">
        <v>0.26</v>
      </c>
      <c r="V942">
        <f t="array" ref="V942">CORREL(IFERROR(VALUE(TRIM(CLEAN($U$2:$U$1001))),0), IFERROR(VALUE(TRIM(CLEAN($P$2:$P$1001))),0))</f>
        <v>0.23135628536430677</v>
      </c>
    </row>
    <row r="943" spans="1:22" x14ac:dyDescent="0.25">
      <c r="A943">
        <v>942</v>
      </c>
      <c r="B943" s="1">
        <v>40585</v>
      </c>
      <c r="C943">
        <v>1</v>
      </c>
      <c r="D943">
        <v>0</v>
      </c>
      <c r="E943">
        <v>2</v>
      </c>
      <c r="F943">
        <v>20</v>
      </c>
      <c r="G943" t="b">
        <v>0</v>
      </c>
      <c r="H943">
        <v>5</v>
      </c>
      <c r="I943">
        <v>1</v>
      </c>
      <c r="J943">
        <v>0.22</v>
      </c>
      <c r="K943">
        <v>0.2273</v>
      </c>
      <c r="L943">
        <v>0.55000000000000004</v>
      </c>
      <c r="M943">
        <v>0.1343</v>
      </c>
      <c r="N943">
        <v>2</v>
      </c>
      <c r="O943">
        <v>61</v>
      </c>
      <c r="P943">
        <v>63</v>
      </c>
      <c r="Q943" t="str">
        <f t="shared" si="59"/>
        <v>Weekday</v>
      </c>
      <c r="R943" t="str">
        <f t="shared" si="56"/>
        <v>Clear</v>
      </c>
      <c r="S943">
        <f t="shared" si="57"/>
        <v>-0.25435329828790432</v>
      </c>
      <c r="T943">
        <f t="shared" si="58"/>
        <v>0.10399668008577614</v>
      </c>
      <c r="U943" s="6">
        <v>0.22</v>
      </c>
      <c r="V943">
        <f t="array" ref="V943">CORREL(IFERROR(VALUE(TRIM(CLEAN($U$2:$U$1001))),0), IFERROR(VALUE(TRIM(CLEAN($P$2:$P$1001))),0))</f>
        <v>0.23135628536430677</v>
      </c>
    </row>
    <row r="944" spans="1:22" x14ac:dyDescent="0.25">
      <c r="A944">
        <v>943</v>
      </c>
      <c r="B944" s="1">
        <v>40585</v>
      </c>
      <c r="C944">
        <v>1</v>
      </c>
      <c r="D944">
        <v>0</v>
      </c>
      <c r="E944">
        <v>2</v>
      </c>
      <c r="F944">
        <v>21</v>
      </c>
      <c r="G944" t="b">
        <v>0</v>
      </c>
      <c r="H944">
        <v>5</v>
      </c>
      <c r="I944">
        <v>1</v>
      </c>
      <c r="J944">
        <v>0.2</v>
      </c>
      <c r="K944">
        <v>0.21210000000000001</v>
      </c>
      <c r="L944">
        <v>0.59</v>
      </c>
      <c r="M944">
        <v>0.1343</v>
      </c>
      <c r="N944">
        <v>1</v>
      </c>
      <c r="O944">
        <v>46</v>
      </c>
      <c r="P944">
        <v>47</v>
      </c>
      <c r="Q944" t="str">
        <f t="shared" si="59"/>
        <v>Weekday</v>
      </c>
      <c r="R944" t="str">
        <f t="shared" si="56"/>
        <v>Clear</v>
      </c>
      <c r="S944">
        <f t="shared" si="57"/>
        <v>-0.25435329828790432</v>
      </c>
      <c r="T944">
        <f t="shared" si="58"/>
        <v>0.10399668008577614</v>
      </c>
      <c r="U944" s="6">
        <v>0.2</v>
      </c>
      <c r="V944">
        <f t="array" ref="V944">CORREL(IFERROR(VALUE(TRIM(CLEAN($U$2:$U$1001))),0), IFERROR(VALUE(TRIM(CLEAN($P$2:$P$1001))),0))</f>
        <v>0.23135628536430677</v>
      </c>
    </row>
    <row r="945" spans="1:22" x14ac:dyDescent="0.25">
      <c r="A945">
        <v>944</v>
      </c>
      <c r="B945" s="1">
        <v>40585</v>
      </c>
      <c r="C945">
        <v>1</v>
      </c>
      <c r="D945">
        <v>0</v>
      </c>
      <c r="E945">
        <v>2</v>
      </c>
      <c r="F945">
        <v>22</v>
      </c>
      <c r="G945" t="b">
        <v>0</v>
      </c>
      <c r="H945">
        <v>5</v>
      </c>
      <c r="I945">
        <v>1</v>
      </c>
      <c r="J945">
        <v>0.2</v>
      </c>
      <c r="K945">
        <v>0.2273</v>
      </c>
      <c r="L945">
        <v>0.64</v>
      </c>
      <c r="M945">
        <v>8.9599999999999999E-2</v>
      </c>
      <c r="N945">
        <v>2</v>
      </c>
      <c r="O945">
        <v>41</v>
      </c>
      <c r="P945">
        <v>43</v>
      </c>
      <c r="Q945" t="str">
        <f t="shared" si="59"/>
        <v>Weekday</v>
      </c>
      <c r="R945" t="str">
        <f t="shared" si="56"/>
        <v>Clear</v>
      </c>
      <c r="S945">
        <f t="shared" si="57"/>
        <v>-0.25435329828790432</v>
      </c>
      <c r="T945">
        <f t="shared" si="58"/>
        <v>0.10399668008577614</v>
      </c>
      <c r="U945" s="6">
        <v>0.2</v>
      </c>
      <c r="V945">
        <f t="array" ref="V945">CORREL(IFERROR(VALUE(TRIM(CLEAN($U$2:$U$1001))),0), IFERROR(VALUE(TRIM(CLEAN($P$2:$P$1001))),0))</f>
        <v>0.23135628536430677</v>
      </c>
    </row>
    <row r="946" spans="1:22" x14ac:dyDescent="0.25">
      <c r="A946">
        <v>945</v>
      </c>
      <c r="B946" s="1">
        <v>40585</v>
      </c>
      <c r="C946">
        <v>1</v>
      </c>
      <c r="D946">
        <v>0</v>
      </c>
      <c r="E946">
        <v>2</v>
      </c>
      <c r="F946">
        <v>23</v>
      </c>
      <c r="G946" t="b">
        <v>0</v>
      </c>
      <c r="H946">
        <v>5</v>
      </c>
      <c r="I946">
        <v>1</v>
      </c>
      <c r="J946">
        <v>0.18</v>
      </c>
      <c r="K946">
        <v>0.2424</v>
      </c>
      <c r="L946">
        <v>0.69</v>
      </c>
      <c r="M946">
        <v>0</v>
      </c>
      <c r="N946">
        <v>5</v>
      </c>
      <c r="O946">
        <v>48</v>
      </c>
      <c r="P946">
        <v>53</v>
      </c>
      <c r="Q946" t="str">
        <f t="shared" si="59"/>
        <v>Weekend</v>
      </c>
      <c r="R946" t="str">
        <f t="shared" si="56"/>
        <v>Clear</v>
      </c>
      <c r="S946">
        <f t="shared" si="57"/>
        <v>-0.25435329828790432</v>
      </c>
      <c r="T946">
        <f t="shared" si="58"/>
        <v>0.10399668008577614</v>
      </c>
      <c r="U946" s="6">
        <v>0.18</v>
      </c>
      <c r="V946">
        <f t="array" ref="V946">CORREL(IFERROR(VALUE(TRIM(CLEAN($U$2:$U$1001))),0), IFERROR(VALUE(TRIM(CLEAN($P$2:$P$1001))),0))</f>
        <v>0.23135628536430677</v>
      </c>
    </row>
    <row r="947" spans="1:22" x14ac:dyDescent="0.25">
      <c r="A947">
        <v>946</v>
      </c>
      <c r="B947" s="1">
        <v>40586</v>
      </c>
      <c r="C947">
        <v>1</v>
      </c>
      <c r="D947">
        <v>0</v>
      </c>
      <c r="E947">
        <v>2</v>
      </c>
      <c r="F947">
        <v>0</v>
      </c>
      <c r="G947" t="b">
        <v>0</v>
      </c>
      <c r="H947">
        <v>6</v>
      </c>
      <c r="I947">
        <v>1</v>
      </c>
      <c r="J947">
        <v>0.16</v>
      </c>
      <c r="K947">
        <v>0.19700000000000001</v>
      </c>
      <c r="L947">
        <v>0.69</v>
      </c>
      <c r="M947">
        <v>8.9599999999999999E-2</v>
      </c>
      <c r="N947">
        <v>3</v>
      </c>
      <c r="O947">
        <v>27</v>
      </c>
      <c r="P947">
        <v>30</v>
      </c>
      <c r="Q947" t="str">
        <f t="shared" si="59"/>
        <v>Weekend</v>
      </c>
      <c r="R947" t="str">
        <f t="shared" si="56"/>
        <v>Clear</v>
      </c>
      <c r="S947">
        <f t="shared" si="57"/>
        <v>-0.25435329828790432</v>
      </c>
      <c r="T947">
        <f t="shared" si="58"/>
        <v>0.10399668008577614</v>
      </c>
      <c r="U947" s="6">
        <v>0.16</v>
      </c>
      <c r="V947">
        <f t="array" ref="V947">CORREL(IFERROR(VALUE(TRIM(CLEAN($U$2:$U$1001))),0), IFERROR(VALUE(TRIM(CLEAN($P$2:$P$1001))),0))</f>
        <v>0.23135628536430677</v>
      </c>
    </row>
    <row r="948" spans="1:22" x14ac:dyDescent="0.25">
      <c r="A948">
        <v>947</v>
      </c>
      <c r="B948" s="1">
        <v>40586</v>
      </c>
      <c r="C948">
        <v>1</v>
      </c>
      <c r="D948">
        <v>0</v>
      </c>
      <c r="E948">
        <v>2</v>
      </c>
      <c r="F948">
        <v>1</v>
      </c>
      <c r="G948" t="b">
        <v>0</v>
      </c>
      <c r="H948">
        <v>6</v>
      </c>
      <c r="I948">
        <v>1</v>
      </c>
      <c r="J948">
        <v>0.14000000000000001</v>
      </c>
      <c r="K948">
        <v>0.21210000000000001</v>
      </c>
      <c r="L948">
        <v>0.86</v>
      </c>
      <c r="M948">
        <v>0</v>
      </c>
      <c r="N948">
        <v>2</v>
      </c>
      <c r="O948">
        <v>22</v>
      </c>
      <c r="P948">
        <v>24</v>
      </c>
      <c r="Q948" t="str">
        <f t="shared" si="59"/>
        <v>Weekday</v>
      </c>
      <c r="R948" t="str">
        <f t="shared" si="56"/>
        <v>Clear</v>
      </c>
      <c r="S948">
        <f t="shared" si="57"/>
        <v>-0.25435329828790432</v>
      </c>
      <c r="T948">
        <f t="shared" si="58"/>
        <v>0.10399668008577614</v>
      </c>
      <c r="U948" s="6">
        <v>0.14000000000000001</v>
      </c>
      <c r="V948">
        <f t="array" ref="V948">CORREL(IFERROR(VALUE(TRIM(CLEAN($U$2:$U$1001))),0), IFERROR(VALUE(TRIM(CLEAN($P$2:$P$1001))),0))</f>
        <v>0.23135628536430677</v>
      </c>
    </row>
    <row r="949" spans="1:22" x14ac:dyDescent="0.25">
      <c r="A949">
        <v>948</v>
      </c>
      <c r="B949" s="1">
        <v>40586</v>
      </c>
      <c r="C949">
        <v>1</v>
      </c>
      <c r="D949">
        <v>0</v>
      </c>
      <c r="E949">
        <v>2</v>
      </c>
      <c r="F949">
        <v>2</v>
      </c>
      <c r="G949" t="b">
        <v>0</v>
      </c>
      <c r="H949">
        <v>6</v>
      </c>
      <c r="I949">
        <v>1</v>
      </c>
      <c r="J949">
        <v>0.14000000000000001</v>
      </c>
      <c r="K949">
        <v>0.21210000000000001</v>
      </c>
      <c r="L949">
        <v>0.8</v>
      </c>
      <c r="M949">
        <v>0</v>
      </c>
      <c r="N949">
        <v>2</v>
      </c>
      <c r="O949">
        <v>13</v>
      </c>
      <c r="P949">
        <v>15</v>
      </c>
      <c r="Q949" t="str">
        <f t="shared" si="59"/>
        <v>Weekday</v>
      </c>
      <c r="R949" t="str">
        <f t="shared" si="56"/>
        <v>Clear</v>
      </c>
      <c r="S949">
        <f t="shared" si="57"/>
        <v>-0.25435329828790432</v>
      </c>
      <c r="T949">
        <f t="shared" si="58"/>
        <v>0.10399668008577614</v>
      </c>
      <c r="U949" s="6">
        <v>0.14000000000000001</v>
      </c>
      <c r="V949">
        <f t="array" ref="V949">CORREL(IFERROR(VALUE(TRIM(CLEAN($U$2:$U$1001))),0), IFERROR(VALUE(TRIM(CLEAN($P$2:$P$1001))),0))</f>
        <v>0.23135628536430677</v>
      </c>
    </row>
    <row r="950" spans="1:22" x14ac:dyDescent="0.25">
      <c r="A950">
        <v>949</v>
      </c>
      <c r="B950" s="1">
        <v>40586</v>
      </c>
      <c r="C950">
        <v>1</v>
      </c>
      <c r="D950">
        <v>0</v>
      </c>
      <c r="E950">
        <v>2</v>
      </c>
      <c r="F950">
        <v>3</v>
      </c>
      <c r="G950" t="b">
        <v>0</v>
      </c>
      <c r="H950">
        <v>6</v>
      </c>
      <c r="I950">
        <v>1</v>
      </c>
      <c r="J950">
        <v>0.12</v>
      </c>
      <c r="K950">
        <v>0.19700000000000001</v>
      </c>
      <c r="L950">
        <v>0.8</v>
      </c>
      <c r="M950">
        <v>0</v>
      </c>
      <c r="N950">
        <v>3</v>
      </c>
      <c r="O950">
        <v>7</v>
      </c>
      <c r="P950">
        <v>10</v>
      </c>
      <c r="Q950" t="str">
        <f t="shared" si="59"/>
        <v>Weekday</v>
      </c>
      <c r="R950" t="str">
        <f t="shared" si="56"/>
        <v>Clear</v>
      </c>
      <c r="S950">
        <f t="shared" si="57"/>
        <v>-0.25435329828790432</v>
      </c>
      <c r="T950">
        <f t="shared" si="58"/>
        <v>0.10399668008577614</v>
      </c>
      <c r="U950" s="6">
        <v>0.12</v>
      </c>
      <c r="V950">
        <f t="array" ref="V950">CORREL(IFERROR(VALUE(TRIM(CLEAN($U$2:$U$1001))),0), IFERROR(VALUE(TRIM(CLEAN($P$2:$P$1001))),0))</f>
        <v>0.23135628536430677</v>
      </c>
    </row>
    <row r="951" spans="1:22" x14ac:dyDescent="0.25">
      <c r="A951">
        <v>950</v>
      </c>
      <c r="B951" s="1">
        <v>40586</v>
      </c>
      <c r="C951">
        <v>1</v>
      </c>
      <c r="D951">
        <v>0</v>
      </c>
      <c r="E951">
        <v>2</v>
      </c>
      <c r="F951">
        <v>4</v>
      </c>
      <c r="G951" t="b">
        <v>0</v>
      </c>
      <c r="H951">
        <v>6</v>
      </c>
      <c r="I951">
        <v>1</v>
      </c>
      <c r="J951">
        <v>0.12</v>
      </c>
      <c r="K951">
        <v>0.16669999999999999</v>
      </c>
      <c r="L951">
        <v>0.74</v>
      </c>
      <c r="M951">
        <v>8.9599999999999999E-2</v>
      </c>
      <c r="N951">
        <v>0</v>
      </c>
      <c r="O951">
        <v>4</v>
      </c>
      <c r="P951">
        <v>4</v>
      </c>
      <c r="Q951" t="str">
        <f t="shared" si="59"/>
        <v>Weekday</v>
      </c>
      <c r="R951" t="str">
        <f t="shared" si="56"/>
        <v>Clear</v>
      </c>
      <c r="S951">
        <f t="shared" si="57"/>
        <v>-0.25435329828790432</v>
      </c>
      <c r="T951">
        <f t="shared" si="58"/>
        <v>0.10399668008577614</v>
      </c>
      <c r="U951" s="6">
        <v>0.12</v>
      </c>
      <c r="V951">
        <f t="array" ref="V951">CORREL(IFERROR(VALUE(TRIM(CLEAN($U$2:$U$1001))),0), IFERROR(VALUE(TRIM(CLEAN($P$2:$P$1001))),0))</f>
        <v>0.23135628536430677</v>
      </c>
    </row>
    <row r="952" spans="1:22" x14ac:dyDescent="0.25">
      <c r="A952">
        <v>951</v>
      </c>
      <c r="B952" s="1">
        <v>40586</v>
      </c>
      <c r="C952">
        <v>1</v>
      </c>
      <c r="D952">
        <v>0</v>
      </c>
      <c r="E952">
        <v>2</v>
      </c>
      <c r="F952">
        <v>5</v>
      </c>
      <c r="G952" t="b">
        <v>0</v>
      </c>
      <c r="H952">
        <v>6</v>
      </c>
      <c r="I952">
        <v>1</v>
      </c>
      <c r="J952">
        <v>0.12</v>
      </c>
      <c r="K952">
        <v>0.16669999999999999</v>
      </c>
      <c r="L952">
        <v>0.74</v>
      </c>
      <c r="M952">
        <v>8.9599999999999999E-2</v>
      </c>
      <c r="N952">
        <v>0</v>
      </c>
      <c r="O952">
        <v>1</v>
      </c>
      <c r="P952">
        <v>1</v>
      </c>
      <c r="Q952" t="str">
        <f t="shared" si="59"/>
        <v>Weekday</v>
      </c>
      <c r="R952" t="str">
        <f t="shared" si="56"/>
        <v>Clear</v>
      </c>
      <c r="S952">
        <f t="shared" si="57"/>
        <v>-0.25435329828790432</v>
      </c>
      <c r="T952">
        <f t="shared" si="58"/>
        <v>0.10399668008577614</v>
      </c>
      <c r="U952" s="6">
        <v>0.12</v>
      </c>
      <c r="V952">
        <f t="array" ref="V952">CORREL(IFERROR(VALUE(TRIM(CLEAN($U$2:$U$1001))),0), IFERROR(VALUE(TRIM(CLEAN($P$2:$P$1001))),0))</f>
        <v>0.23135628536430677</v>
      </c>
    </row>
    <row r="953" spans="1:22" x14ac:dyDescent="0.25">
      <c r="A953">
        <v>952</v>
      </c>
      <c r="B953" s="1">
        <v>40586</v>
      </c>
      <c r="C953">
        <v>1</v>
      </c>
      <c r="D953">
        <v>0</v>
      </c>
      <c r="E953">
        <v>2</v>
      </c>
      <c r="F953">
        <v>6</v>
      </c>
      <c r="G953" t="b">
        <v>0</v>
      </c>
      <c r="H953">
        <v>6</v>
      </c>
      <c r="I953">
        <v>1</v>
      </c>
      <c r="J953">
        <v>0.12</v>
      </c>
      <c r="K953">
        <v>0.13639999999999999</v>
      </c>
      <c r="L953">
        <v>0.93</v>
      </c>
      <c r="M953">
        <v>0.19400000000000001</v>
      </c>
      <c r="N953">
        <v>1</v>
      </c>
      <c r="O953">
        <v>1</v>
      </c>
      <c r="P953">
        <v>2</v>
      </c>
      <c r="Q953" t="str">
        <f t="shared" si="59"/>
        <v>Weekend</v>
      </c>
      <c r="R953" t="str">
        <f t="shared" si="56"/>
        <v>Clear</v>
      </c>
      <c r="S953">
        <f t="shared" si="57"/>
        <v>-0.25435329828790432</v>
      </c>
      <c r="T953">
        <f t="shared" si="58"/>
        <v>0.10399668008577614</v>
      </c>
      <c r="U953" s="6">
        <v>0.12</v>
      </c>
      <c r="V953">
        <f t="array" ref="V953">CORREL(IFERROR(VALUE(TRIM(CLEAN($U$2:$U$1001))),0), IFERROR(VALUE(TRIM(CLEAN($P$2:$P$1001))),0))</f>
        <v>0.23135628536430677</v>
      </c>
    </row>
    <row r="954" spans="1:22" x14ac:dyDescent="0.25">
      <c r="A954">
        <v>953</v>
      </c>
      <c r="B954" s="1">
        <v>40586</v>
      </c>
      <c r="C954">
        <v>1</v>
      </c>
      <c r="D954">
        <v>0</v>
      </c>
      <c r="E954">
        <v>2</v>
      </c>
      <c r="F954">
        <v>7</v>
      </c>
      <c r="G954" t="b">
        <v>0</v>
      </c>
      <c r="H954">
        <v>6</v>
      </c>
      <c r="I954">
        <v>1</v>
      </c>
      <c r="J954">
        <v>0.12</v>
      </c>
      <c r="K954">
        <v>0.1515</v>
      </c>
      <c r="L954">
        <v>0.8</v>
      </c>
      <c r="M954">
        <v>0.1045</v>
      </c>
      <c r="N954">
        <v>2</v>
      </c>
      <c r="O954">
        <v>9</v>
      </c>
      <c r="P954">
        <v>11</v>
      </c>
      <c r="Q954" t="str">
        <f t="shared" si="59"/>
        <v>Weekend</v>
      </c>
      <c r="R954" t="str">
        <f t="shared" si="56"/>
        <v>Clear</v>
      </c>
      <c r="S954">
        <f t="shared" si="57"/>
        <v>-0.25435329828790432</v>
      </c>
      <c r="T954">
        <f t="shared" si="58"/>
        <v>0.10399668008577614</v>
      </c>
      <c r="U954" s="6">
        <v>0.12</v>
      </c>
      <c r="V954">
        <f t="array" ref="V954">CORREL(IFERROR(VALUE(TRIM(CLEAN($U$2:$U$1001))),0), IFERROR(VALUE(TRIM(CLEAN($P$2:$P$1001))),0))</f>
        <v>0.23135628536430677</v>
      </c>
    </row>
    <row r="955" spans="1:22" x14ac:dyDescent="0.25">
      <c r="A955">
        <v>954</v>
      </c>
      <c r="B955" s="1">
        <v>40586</v>
      </c>
      <c r="C955">
        <v>1</v>
      </c>
      <c r="D955">
        <v>0</v>
      </c>
      <c r="E955">
        <v>2</v>
      </c>
      <c r="F955">
        <v>8</v>
      </c>
      <c r="G955" t="b">
        <v>0</v>
      </c>
      <c r="H955">
        <v>6</v>
      </c>
      <c r="I955">
        <v>1</v>
      </c>
      <c r="J955">
        <v>0.14000000000000001</v>
      </c>
      <c r="K955">
        <v>0.1515</v>
      </c>
      <c r="L955">
        <v>0.86</v>
      </c>
      <c r="M955">
        <v>0.1343</v>
      </c>
      <c r="N955">
        <v>2</v>
      </c>
      <c r="O955">
        <v>28</v>
      </c>
      <c r="P955">
        <v>30</v>
      </c>
      <c r="Q955" t="str">
        <f t="shared" si="59"/>
        <v>Weekday</v>
      </c>
      <c r="R955" t="str">
        <f t="shared" si="56"/>
        <v>Clear</v>
      </c>
      <c r="S955">
        <f t="shared" si="57"/>
        <v>-0.25435329828790432</v>
      </c>
      <c r="T955">
        <f t="shared" si="58"/>
        <v>0.10399668008577614</v>
      </c>
      <c r="U955" s="6">
        <v>0.14000000000000001</v>
      </c>
      <c r="V955">
        <f t="array" ref="V955">CORREL(IFERROR(VALUE(TRIM(CLEAN($U$2:$U$1001))),0), IFERROR(VALUE(TRIM(CLEAN($P$2:$P$1001))),0))</f>
        <v>0.23135628536430677</v>
      </c>
    </row>
    <row r="956" spans="1:22" x14ac:dyDescent="0.25">
      <c r="A956">
        <v>955</v>
      </c>
      <c r="B956" s="1">
        <v>40586</v>
      </c>
      <c r="C956">
        <v>1</v>
      </c>
      <c r="D956">
        <v>0</v>
      </c>
      <c r="E956">
        <v>2</v>
      </c>
      <c r="F956">
        <v>9</v>
      </c>
      <c r="G956" t="b">
        <v>0</v>
      </c>
      <c r="H956">
        <v>6</v>
      </c>
      <c r="I956">
        <v>1</v>
      </c>
      <c r="J956">
        <v>0.16</v>
      </c>
      <c r="K956">
        <v>0.18179999999999999</v>
      </c>
      <c r="L956">
        <v>0.64</v>
      </c>
      <c r="M956">
        <v>0.1343</v>
      </c>
      <c r="N956">
        <v>5</v>
      </c>
      <c r="O956">
        <v>38</v>
      </c>
      <c r="P956">
        <v>43</v>
      </c>
      <c r="Q956" t="str">
        <f t="shared" si="59"/>
        <v>Weekday</v>
      </c>
      <c r="R956" t="str">
        <f t="shared" si="56"/>
        <v>Clear</v>
      </c>
      <c r="S956">
        <f t="shared" si="57"/>
        <v>-0.25435329828790432</v>
      </c>
      <c r="T956">
        <f t="shared" si="58"/>
        <v>0.10399668008577614</v>
      </c>
      <c r="U956" s="6">
        <v>0.16</v>
      </c>
      <c r="V956">
        <f t="array" ref="V956">CORREL(IFERROR(VALUE(TRIM(CLEAN($U$2:$U$1001))),0), IFERROR(VALUE(TRIM(CLEAN($P$2:$P$1001))),0))</f>
        <v>0.23135628536430677</v>
      </c>
    </row>
    <row r="957" spans="1:22" x14ac:dyDescent="0.25">
      <c r="A957">
        <v>956</v>
      </c>
      <c r="B957" s="1">
        <v>40586</v>
      </c>
      <c r="C957">
        <v>1</v>
      </c>
      <c r="D957">
        <v>0</v>
      </c>
      <c r="E957">
        <v>2</v>
      </c>
      <c r="F957">
        <v>10</v>
      </c>
      <c r="G957" t="b">
        <v>0</v>
      </c>
      <c r="H957">
        <v>6</v>
      </c>
      <c r="I957">
        <v>1</v>
      </c>
      <c r="J957">
        <v>0.22</v>
      </c>
      <c r="K957">
        <v>0.21210000000000001</v>
      </c>
      <c r="L957">
        <v>0.41</v>
      </c>
      <c r="M957">
        <v>0.25369999999999998</v>
      </c>
      <c r="N957">
        <v>13</v>
      </c>
      <c r="O957">
        <v>71</v>
      </c>
      <c r="P957">
        <v>84</v>
      </c>
      <c r="Q957" t="str">
        <f t="shared" si="59"/>
        <v>Weekday</v>
      </c>
      <c r="R957" t="str">
        <f t="shared" si="56"/>
        <v>Clear</v>
      </c>
      <c r="S957">
        <f t="shared" si="57"/>
        <v>-0.25435329828790432</v>
      </c>
      <c r="T957">
        <f t="shared" si="58"/>
        <v>0.10399668008577614</v>
      </c>
      <c r="U957" s="6">
        <v>0.22</v>
      </c>
      <c r="V957">
        <f t="array" ref="V957">CORREL(IFERROR(VALUE(TRIM(CLEAN($U$2:$U$1001))),0), IFERROR(VALUE(TRIM(CLEAN($P$2:$P$1001))),0))</f>
        <v>0.23135628536430677</v>
      </c>
    </row>
    <row r="958" spans="1:22" x14ac:dyDescent="0.25">
      <c r="A958">
        <v>957</v>
      </c>
      <c r="B958" s="1">
        <v>40586</v>
      </c>
      <c r="C958">
        <v>1</v>
      </c>
      <c r="D958">
        <v>0</v>
      </c>
      <c r="E958">
        <v>2</v>
      </c>
      <c r="F958">
        <v>11</v>
      </c>
      <c r="G958" t="b">
        <v>0</v>
      </c>
      <c r="H958">
        <v>6</v>
      </c>
      <c r="I958">
        <v>1</v>
      </c>
      <c r="J958">
        <v>0.3</v>
      </c>
      <c r="K958">
        <v>0.2727</v>
      </c>
      <c r="L958">
        <v>0.28000000000000003</v>
      </c>
      <c r="M958">
        <v>0.32840000000000003</v>
      </c>
      <c r="N958">
        <v>30</v>
      </c>
      <c r="O958">
        <v>84</v>
      </c>
      <c r="P958">
        <v>114</v>
      </c>
      <c r="Q958" t="str">
        <f t="shared" si="59"/>
        <v>Weekday</v>
      </c>
      <c r="R958" t="str">
        <f t="shared" si="56"/>
        <v>Clear</v>
      </c>
      <c r="S958">
        <f t="shared" si="57"/>
        <v>-0.25435329828790432</v>
      </c>
      <c r="T958">
        <f t="shared" si="58"/>
        <v>0.10399668008577614</v>
      </c>
      <c r="U958" s="6">
        <v>0.3</v>
      </c>
      <c r="V958">
        <f t="array" ref="V958">CORREL(IFERROR(VALUE(TRIM(CLEAN($U$2:$U$1001))),0), IFERROR(VALUE(TRIM(CLEAN($P$2:$P$1001))),0))</f>
        <v>0.23135628536430677</v>
      </c>
    </row>
    <row r="959" spans="1:22" x14ac:dyDescent="0.25">
      <c r="A959">
        <v>958</v>
      </c>
      <c r="B959" s="1">
        <v>40586</v>
      </c>
      <c r="C959">
        <v>1</v>
      </c>
      <c r="D959">
        <v>0</v>
      </c>
      <c r="E959">
        <v>2</v>
      </c>
      <c r="F959">
        <v>12</v>
      </c>
      <c r="G959" t="b">
        <v>0</v>
      </c>
      <c r="H959">
        <v>6</v>
      </c>
      <c r="I959">
        <v>1</v>
      </c>
      <c r="J959">
        <v>0.3</v>
      </c>
      <c r="K959">
        <v>0.2727</v>
      </c>
      <c r="L959">
        <v>0.39</v>
      </c>
      <c r="M959">
        <v>0.4627</v>
      </c>
      <c r="N959">
        <v>27</v>
      </c>
      <c r="O959">
        <v>93</v>
      </c>
      <c r="P959">
        <v>120</v>
      </c>
      <c r="Q959" t="str">
        <f t="shared" si="59"/>
        <v>Weekday</v>
      </c>
      <c r="R959" t="str">
        <f t="shared" si="56"/>
        <v>Clear</v>
      </c>
      <c r="S959">
        <f t="shared" si="57"/>
        <v>-0.25435329828790432</v>
      </c>
      <c r="T959">
        <f t="shared" si="58"/>
        <v>0.10399668008577614</v>
      </c>
      <c r="U959" s="6">
        <v>0.3</v>
      </c>
      <c r="V959">
        <f t="array" ref="V959">CORREL(IFERROR(VALUE(TRIM(CLEAN($U$2:$U$1001))),0), IFERROR(VALUE(TRIM(CLEAN($P$2:$P$1001))),0))</f>
        <v>0.23135628536430677</v>
      </c>
    </row>
    <row r="960" spans="1:22" x14ac:dyDescent="0.25">
      <c r="A960">
        <v>959</v>
      </c>
      <c r="B960" s="1">
        <v>40586</v>
      </c>
      <c r="C960">
        <v>1</v>
      </c>
      <c r="D960">
        <v>0</v>
      </c>
      <c r="E960">
        <v>2</v>
      </c>
      <c r="F960">
        <v>13</v>
      </c>
      <c r="G960" t="b">
        <v>0</v>
      </c>
      <c r="H960">
        <v>6</v>
      </c>
      <c r="I960">
        <v>1</v>
      </c>
      <c r="J960">
        <v>0.3</v>
      </c>
      <c r="K960">
        <v>0.2727</v>
      </c>
      <c r="L960">
        <v>0.39</v>
      </c>
      <c r="M960">
        <v>0.41789999999999999</v>
      </c>
      <c r="N960">
        <v>32</v>
      </c>
      <c r="O960">
        <v>103</v>
      </c>
      <c r="P960">
        <v>135</v>
      </c>
      <c r="Q960" t="str">
        <f t="shared" si="59"/>
        <v>Weekend</v>
      </c>
      <c r="R960" t="str">
        <f t="shared" si="56"/>
        <v>Clear</v>
      </c>
      <c r="S960">
        <f t="shared" si="57"/>
        <v>-0.25435329828790432</v>
      </c>
      <c r="T960">
        <f t="shared" si="58"/>
        <v>0.10399668008577614</v>
      </c>
      <c r="U960" s="6">
        <v>0.3</v>
      </c>
      <c r="V960">
        <f t="array" ref="V960">CORREL(IFERROR(VALUE(TRIM(CLEAN($U$2:$U$1001))),0), IFERROR(VALUE(TRIM(CLEAN($P$2:$P$1001))),0))</f>
        <v>0.23135628536430677</v>
      </c>
    </row>
    <row r="961" spans="1:22" x14ac:dyDescent="0.25">
      <c r="A961">
        <v>960</v>
      </c>
      <c r="B961" s="1">
        <v>40586</v>
      </c>
      <c r="C961">
        <v>1</v>
      </c>
      <c r="D961">
        <v>0</v>
      </c>
      <c r="E961">
        <v>2</v>
      </c>
      <c r="F961">
        <v>14</v>
      </c>
      <c r="G961" t="b">
        <v>0</v>
      </c>
      <c r="H961">
        <v>6</v>
      </c>
      <c r="I961">
        <v>1</v>
      </c>
      <c r="J961">
        <v>0.34</v>
      </c>
      <c r="K961">
        <v>0.31819999999999998</v>
      </c>
      <c r="L961">
        <v>0.31</v>
      </c>
      <c r="M961">
        <v>0.28360000000000002</v>
      </c>
      <c r="N961">
        <v>30</v>
      </c>
      <c r="O961">
        <v>90</v>
      </c>
      <c r="P961">
        <v>120</v>
      </c>
      <c r="Q961" t="str">
        <f t="shared" si="59"/>
        <v>Weekend</v>
      </c>
      <c r="R961" t="str">
        <f t="shared" si="56"/>
        <v>Clear</v>
      </c>
      <c r="S961">
        <f t="shared" si="57"/>
        <v>-0.25435329828790432</v>
      </c>
      <c r="T961">
        <f t="shared" si="58"/>
        <v>0.10399668008577614</v>
      </c>
      <c r="U961" s="6">
        <v>0.34</v>
      </c>
      <c r="V961">
        <f t="array" ref="V961">CORREL(IFERROR(VALUE(TRIM(CLEAN($U$2:$U$1001))),0), IFERROR(VALUE(TRIM(CLEAN($P$2:$P$1001))),0))</f>
        <v>0.23135628536430677</v>
      </c>
    </row>
    <row r="962" spans="1:22" x14ac:dyDescent="0.25">
      <c r="A962">
        <v>961</v>
      </c>
      <c r="B962" s="1">
        <v>40586</v>
      </c>
      <c r="C962">
        <v>1</v>
      </c>
      <c r="D962">
        <v>0</v>
      </c>
      <c r="E962">
        <v>2</v>
      </c>
      <c r="F962">
        <v>15</v>
      </c>
      <c r="G962" t="b">
        <v>0</v>
      </c>
      <c r="H962">
        <v>6</v>
      </c>
      <c r="I962">
        <v>1</v>
      </c>
      <c r="J962">
        <v>0.34</v>
      </c>
      <c r="K962">
        <v>0.30299999999999999</v>
      </c>
      <c r="L962">
        <v>0.28999999999999998</v>
      </c>
      <c r="M962">
        <v>0.41789999999999999</v>
      </c>
      <c r="N962">
        <v>47</v>
      </c>
      <c r="O962">
        <v>127</v>
      </c>
      <c r="P962">
        <v>174</v>
      </c>
      <c r="Q962" t="str">
        <f t="shared" si="59"/>
        <v>Weekday</v>
      </c>
      <c r="R962" t="str">
        <f t="shared" ref="R962:R1001" si="60">IF(I962=1, "Clear", IF(I962=2, "Mist/Cloudy", IF(I962=3, "Light Snow/Rain", "Heavy Rain")))</f>
        <v>Clear</v>
      </c>
      <c r="S962">
        <f t="shared" ref="S962:S1001" si="61">CORREL($L$2:$L$1001, $P$2:$P$1001)</f>
        <v>-0.25435329828790432</v>
      </c>
      <c r="T962">
        <f t="shared" ref="T962:T1001" si="62">CORREL($M$2:$M$1001, $P$2:$P$1001)</f>
        <v>0.10399668008577614</v>
      </c>
      <c r="U962" s="6">
        <v>0.34</v>
      </c>
      <c r="V962">
        <f t="array" ref="V962">CORREL(IFERROR(VALUE(TRIM(CLEAN($U$2:$U$1001))),0), IFERROR(VALUE(TRIM(CLEAN($P$2:$P$1001))),0))</f>
        <v>0.23135628536430677</v>
      </c>
    </row>
    <row r="963" spans="1:22" x14ac:dyDescent="0.25">
      <c r="A963">
        <v>962</v>
      </c>
      <c r="B963" s="1">
        <v>40586</v>
      </c>
      <c r="C963">
        <v>1</v>
      </c>
      <c r="D963">
        <v>0</v>
      </c>
      <c r="E963">
        <v>2</v>
      </c>
      <c r="F963">
        <v>16</v>
      </c>
      <c r="G963" t="b">
        <v>0</v>
      </c>
      <c r="H963">
        <v>6</v>
      </c>
      <c r="I963">
        <v>1</v>
      </c>
      <c r="J963">
        <v>0.34</v>
      </c>
      <c r="K963">
        <v>0.30299999999999999</v>
      </c>
      <c r="L963">
        <v>0.28999999999999998</v>
      </c>
      <c r="M963">
        <v>0.41789999999999999</v>
      </c>
      <c r="N963">
        <v>42</v>
      </c>
      <c r="O963">
        <v>103</v>
      </c>
      <c r="P963">
        <v>145</v>
      </c>
      <c r="Q963" t="str">
        <f t="shared" ref="Q963:Q1001" si="63">IF(WEEKDAY(A963,2)&gt;5,"Weekend","Weekday")</f>
        <v>Weekday</v>
      </c>
      <c r="R963" t="str">
        <f t="shared" si="60"/>
        <v>Clear</v>
      </c>
      <c r="S963">
        <f t="shared" si="61"/>
        <v>-0.25435329828790432</v>
      </c>
      <c r="T963">
        <f t="shared" si="62"/>
        <v>0.10399668008577614</v>
      </c>
      <c r="U963" s="6">
        <v>0.34</v>
      </c>
      <c r="V963">
        <f t="array" ref="V963">CORREL(IFERROR(VALUE(TRIM(CLEAN($U$2:$U$1001))),0), IFERROR(VALUE(TRIM(CLEAN($P$2:$P$1001))),0))</f>
        <v>0.23135628536430677</v>
      </c>
    </row>
    <row r="964" spans="1:22" x14ac:dyDescent="0.25">
      <c r="A964">
        <v>963</v>
      </c>
      <c r="B964" s="1">
        <v>40586</v>
      </c>
      <c r="C964">
        <v>1</v>
      </c>
      <c r="D964">
        <v>0</v>
      </c>
      <c r="E964">
        <v>2</v>
      </c>
      <c r="F964">
        <v>17</v>
      </c>
      <c r="G964" t="b">
        <v>0</v>
      </c>
      <c r="H964">
        <v>6</v>
      </c>
      <c r="I964">
        <v>1</v>
      </c>
      <c r="J964">
        <v>0.32</v>
      </c>
      <c r="K964">
        <v>0.28789999999999999</v>
      </c>
      <c r="L964">
        <v>0.31</v>
      </c>
      <c r="M964">
        <v>0.52239999999999998</v>
      </c>
      <c r="N964">
        <v>24</v>
      </c>
      <c r="O964">
        <v>113</v>
      </c>
      <c r="P964">
        <v>137</v>
      </c>
      <c r="Q964" t="str">
        <f t="shared" si="63"/>
        <v>Weekday</v>
      </c>
      <c r="R964" t="str">
        <f t="shared" si="60"/>
        <v>Clear</v>
      </c>
      <c r="S964">
        <f t="shared" si="61"/>
        <v>-0.25435329828790432</v>
      </c>
      <c r="T964">
        <f t="shared" si="62"/>
        <v>0.10399668008577614</v>
      </c>
      <c r="U964" s="6">
        <v>0.32</v>
      </c>
      <c r="V964">
        <f t="array" ref="V964">CORREL(IFERROR(VALUE(TRIM(CLEAN($U$2:$U$1001))),0), IFERROR(VALUE(TRIM(CLEAN($P$2:$P$1001))),0))</f>
        <v>0.23135628536430677</v>
      </c>
    </row>
    <row r="965" spans="1:22" x14ac:dyDescent="0.25">
      <c r="A965">
        <v>964</v>
      </c>
      <c r="B965" s="1">
        <v>40586</v>
      </c>
      <c r="C965">
        <v>1</v>
      </c>
      <c r="D965">
        <v>0</v>
      </c>
      <c r="E965">
        <v>2</v>
      </c>
      <c r="F965">
        <v>18</v>
      </c>
      <c r="G965" t="b">
        <v>0</v>
      </c>
      <c r="H965">
        <v>6</v>
      </c>
      <c r="I965">
        <v>1</v>
      </c>
      <c r="J965">
        <v>0.28000000000000003</v>
      </c>
      <c r="K965">
        <v>0.2576</v>
      </c>
      <c r="L965">
        <v>0.38</v>
      </c>
      <c r="M965">
        <v>0.32840000000000003</v>
      </c>
      <c r="N965">
        <v>4</v>
      </c>
      <c r="O965">
        <v>60</v>
      </c>
      <c r="P965">
        <v>64</v>
      </c>
      <c r="Q965" t="str">
        <f t="shared" si="63"/>
        <v>Weekday</v>
      </c>
      <c r="R965" t="str">
        <f t="shared" si="60"/>
        <v>Clear</v>
      </c>
      <c r="S965">
        <f t="shared" si="61"/>
        <v>-0.25435329828790432</v>
      </c>
      <c r="T965">
        <f t="shared" si="62"/>
        <v>0.10399668008577614</v>
      </c>
      <c r="U965" s="6">
        <v>0.28000000000000003</v>
      </c>
      <c r="V965">
        <f t="array" ref="V965">CORREL(IFERROR(VALUE(TRIM(CLEAN($U$2:$U$1001))),0), IFERROR(VALUE(TRIM(CLEAN($P$2:$P$1001))),0))</f>
        <v>0.23135628536430677</v>
      </c>
    </row>
    <row r="966" spans="1:22" x14ac:dyDescent="0.25">
      <c r="A966">
        <v>965</v>
      </c>
      <c r="B966" s="1">
        <v>40586</v>
      </c>
      <c r="C966">
        <v>1</v>
      </c>
      <c r="D966">
        <v>0</v>
      </c>
      <c r="E966">
        <v>2</v>
      </c>
      <c r="F966">
        <v>19</v>
      </c>
      <c r="G966" t="b">
        <v>0</v>
      </c>
      <c r="H966">
        <v>6</v>
      </c>
      <c r="I966">
        <v>1</v>
      </c>
      <c r="J966">
        <v>0.28000000000000003</v>
      </c>
      <c r="K966">
        <v>0.2727</v>
      </c>
      <c r="L966">
        <v>0.38</v>
      </c>
      <c r="M966">
        <v>0.16420000000000001</v>
      </c>
      <c r="N966">
        <v>2</v>
      </c>
      <c r="O966">
        <v>39</v>
      </c>
      <c r="P966">
        <v>41</v>
      </c>
      <c r="Q966" t="str">
        <f t="shared" si="63"/>
        <v>Weekday</v>
      </c>
      <c r="R966" t="str">
        <f t="shared" si="60"/>
        <v>Clear</v>
      </c>
      <c r="S966">
        <f t="shared" si="61"/>
        <v>-0.25435329828790432</v>
      </c>
      <c r="T966">
        <f t="shared" si="62"/>
        <v>0.10399668008577614</v>
      </c>
      <c r="U966" s="6">
        <v>0.28000000000000003</v>
      </c>
      <c r="V966">
        <f t="array" ref="V966">CORREL(IFERROR(VALUE(TRIM(CLEAN($U$2:$U$1001))),0), IFERROR(VALUE(TRIM(CLEAN($P$2:$P$1001))),0))</f>
        <v>0.23135628536430677</v>
      </c>
    </row>
    <row r="967" spans="1:22" x14ac:dyDescent="0.25">
      <c r="A967">
        <v>966</v>
      </c>
      <c r="B967" s="1">
        <v>40586</v>
      </c>
      <c r="C967">
        <v>1</v>
      </c>
      <c r="D967">
        <v>0</v>
      </c>
      <c r="E967">
        <v>2</v>
      </c>
      <c r="F967">
        <v>20</v>
      </c>
      <c r="G967" t="b">
        <v>0</v>
      </c>
      <c r="H967">
        <v>6</v>
      </c>
      <c r="I967">
        <v>1</v>
      </c>
      <c r="J967">
        <v>0.26</v>
      </c>
      <c r="K967">
        <v>0.2576</v>
      </c>
      <c r="L967">
        <v>0.41</v>
      </c>
      <c r="M967">
        <v>0.22389999999999999</v>
      </c>
      <c r="N967">
        <v>1</v>
      </c>
      <c r="O967">
        <v>39</v>
      </c>
      <c r="P967">
        <v>40</v>
      </c>
      <c r="Q967" t="str">
        <f t="shared" si="63"/>
        <v>Weekend</v>
      </c>
      <c r="R967" t="str">
        <f t="shared" si="60"/>
        <v>Clear</v>
      </c>
      <c r="S967">
        <f t="shared" si="61"/>
        <v>-0.25435329828790432</v>
      </c>
      <c r="T967">
        <f t="shared" si="62"/>
        <v>0.10399668008577614</v>
      </c>
      <c r="U967" s="6">
        <v>0.26</v>
      </c>
      <c r="V967">
        <f t="array" ref="V967">CORREL(IFERROR(VALUE(TRIM(CLEAN($U$2:$U$1001))),0), IFERROR(VALUE(TRIM(CLEAN($P$2:$P$1001))),0))</f>
        <v>0.23135628536430677</v>
      </c>
    </row>
    <row r="968" spans="1:22" x14ac:dyDescent="0.25">
      <c r="A968">
        <v>967</v>
      </c>
      <c r="B968" s="1">
        <v>40586</v>
      </c>
      <c r="C968">
        <v>1</v>
      </c>
      <c r="D968">
        <v>0</v>
      </c>
      <c r="E968">
        <v>2</v>
      </c>
      <c r="F968">
        <v>21</v>
      </c>
      <c r="G968" t="b">
        <v>0</v>
      </c>
      <c r="H968">
        <v>6</v>
      </c>
      <c r="I968">
        <v>1</v>
      </c>
      <c r="J968">
        <v>0.26</v>
      </c>
      <c r="K968">
        <v>0.30299999999999999</v>
      </c>
      <c r="L968">
        <v>0.41</v>
      </c>
      <c r="M968">
        <v>0</v>
      </c>
      <c r="N968">
        <v>9</v>
      </c>
      <c r="O968">
        <v>42</v>
      </c>
      <c r="P968">
        <v>51</v>
      </c>
      <c r="Q968" t="str">
        <f t="shared" si="63"/>
        <v>Weekend</v>
      </c>
      <c r="R968" t="str">
        <f t="shared" si="60"/>
        <v>Clear</v>
      </c>
      <c r="S968">
        <f t="shared" si="61"/>
        <v>-0.25435329828790432</v>
      </c>
      <c r="T968">
        <f t="shared" si="62"/>
        <v>0.10399668008577614</v>
      </c>
      <c r="U968" s="6">
        <v>0.26</v>
      </c>
      <c r="V968">
        <f t="array" ref="V968">CORREL(IFERROR(VALUE(TRIM(CLEAN($U$2:$U$1001))),0), IFERROR(VALUE(TRIM(CLEAN($P$2:$P$1001))),0))</f>
        <v>0.23135628536430677</v>
      </c>
    </row>
    <row r="969" spans="1:22" x14ac:dyDescent="0.25">
      <c r="A969">
        <v>968</v>
      </c>
      <c r="B969" s="1">
        <v>40586</v>
      </c>
      <c r="C969">
        <v>1</v>
      </c>
      <c r="D969">
        <v>0</v>
      </c>
      <c r="E969">
        <v>2</v>
      </c>
      <c r="F969">
        <v>22</v>
      </c>
      <c r="G969" t="b">
        <v>0</v>
      </c>
      <c r="H969">
        <v>6</v>
      </c>
      <c r="I969">
        <v>1</v>
      </c>
      <c r="J969">
        <v>0.24</v>
      </c>
      <c r="K969">
        <v>0.2576</v>
      </c>
      <c r="L969">
        <v>0.44</v>
      </c>
      <c r="M969">
        <v>8.9599999999999999E-2</v>
      </c>
      <c r="N969">
        <v>6</v>
      </c>
      <c r="O969">
        <v>39</v>
      </c>
      <c r="P969">
        <v>45</v>
      </c>
      <c r="Q969" t="str">
        <f t="shared" si="63"/>
        <v>Weekday</v>
      </c>
      <c r="R969" t="str">
        <f t="shared" si="60"/>
        <v>Clear</v>
      </c>
      <c r="S969">
        <f t="shared" si="61"/>
        <v>-0.25435329828790432</v>
      </c>
      <c r="T969">
        <f t="shared" si="62"/>
        <v>0.10399668008577614</v>
      </c>
      <c r="U969" s="6">
        <v>0.24</v>
      </c>
      <c r="V969">
        <f t="array" ref="V969">CORREL(IFERROR(VALUE(TRIM(CLEAN($U$2:$U$1001))),0), IFERROR(VALUE(TRIM(CLEAN($P$2:$P$1001))),0))</f>
        <v>0.23135628536430677</v>
      </c>
    </row>
    <row r="970" spans="1:22" x14ac:dyDescent="0.25">
      <c r="A970">
        <v>969</v>
      </c>
      <c r="B970" s="1">
        <v>40586</v>
      </c>
      <c r="C970">
        <v>1</v>
      </c>
      <c r="D970">
        <v>0</v>
      </c>
      <c r="E970">
        <v>2</v>
      </c>
      <c r="F970">
        <v>23</v>
      </c>
      <c r="G970" t="b">
        <v>0</v>
      </c>
      <c r="H970">
        <v>6</v>
      </c>
      <c r="I970">
        <v>1</v>
      </c>
      <c r="J970">
        <v>0.22</v>
      </c>
      <c r="K970">
        <v>0.2273</v>
      </c>
      <c r="L970">
        <v>0.51</v>
      </c>
      <c r="M970">
        <v>0.1343</v>
      </c>
      <c r="N970">
        <v>1</v>
      </c>
      <c r="O970">
        <v>31</v>
      </c>
      <c r="P970">
        <v>32</v>
      </c>
      <c r="Q970" t="str">
        <f t="shared" si="63"/>
        <v>Weekday</v>
      </c>
      <c r="R970" t="str">
        <f t="shared" si="60"/>
        <v>Clear</v>
      </c>
      <c r="S970">
        <f t="shared" si="61"/>
        <v>-0.25435329828790432</v>
      </c>
      <c r="T970">
        <f t="shared" si="62"/>
        <v>0.10399668008577614</v>
      </c>
      <c r="U970" s="6">
        <v>0.22</v>
      </c>
      <c r="V970">
        <f t="array" ref="V970">CORREL(IFERROR(VALUE(TRIM(CLEAN($U$2:$U$1001))),0), IFERROR(VALUE(TRIM(CLEAN($P$2:$P$1001))),0))</f>
        <v>0.23135628536430677</v>
      </c>
    </row>
    <row r="971" spans="1:22" x14ac:dyDescent="0.25">
      <c r="A971">
        <v>970</v>
      </c>
      <c r="B971" s="1">
        <v>40587</v>
      </c>
      <c r="C971">
        <v>1</v>
      </c>
      <c r="D971">
        <v>0</v>
      </c>
      <c r="E971">
        <v>2</v>
      </c>
      <c r="F971">
        <v>0</v>
      </c>
      <c r="G971" t="b">
        <v>0</v>
      </c>
      <c r="H971">
        <v>0</v>
      </c>
      <c r="I971">
        <v>1</v>
      </c>
      <c r="J971">
        <v>0.2</v>
      </c>
      <c r="K971">
        <v>0.2273</v>
      </c>
      <c r="L971">
        <v>0.64</v>
      </c>
      <c r="M971">
        <v>0.1045</v>
      </c>
      <c r="N971">
        <v>5</v>
      </c>
      <c r="O971">
        <v>34</v>
      </c>
      <c r="P971">
        <v>39</v>
      </c>
      <c r="Q971" t="str">
        <f t="shared" si="63"/>
        <v>Weekday</v>
      </c>
      <c r="R971" t="str">
        <f t="shared" si="60"/>
        <v>Clear</v>
      </c>
      <c r="S971">
        <f t="shared" si="61"/>
        <v>-0.25435329828790432</v>
      </c>
      <c r="T971">
        <f t="shared" si="62"/>
        <v>0.10399668008577614</v>
      </c>
      <c r="U971" s="6">
        <v>0.2</v>
      </c>
      <c r="V971">
        <f t="array" ref="V971">CORREL(IFERROR(VALUE(TRIM(CLEAN($U$2:$U$1001))),0), IFERROR(VALUE(TRIM(CLEAN($P$2:$P$1001))),0))</f>
        <v>0.23135628536430677</v>
      </c>
    </row>
    <row r="972" spans="1:22" x14ac:dyDescent="0.25">
      <c r="A972">
        <v>971</v>
      </c>
      <c r="B972" s="1">
        <v>40587</v>
      </c>
      <c r="C972">
        <v>1</v>
      </c>
      <c r="D972">
        <v>0</v>
      </c>
      <c r="E972">
        <v>2</v>
      </c>
      <c r="F972">
        <v>1</v>
      </c>
      <c r="G972" t="b">
        <v>0</v>
      </c>
      <c r="H972">
        <v>0</v>
      </c>
      <c r="I972">
        <v>1</v>
      </c>
      <c r="J972">
        <v>0.2</v>
      </c>
      <c r="K972">
        <v>0.2273</v>
      </c>
      <c r="L972">
        <v>0.59</v>
      </c>
      <c r="M972">
        <v>8.9599999999999999E-2</v>
      </c>
      <c r="N972">
        <v>1</v>
      </c>
      <c r="O972">
        <v>23</v>
      </c>
      <c r="P972">
        <v>24</v>
      </c>
      <c r="Q972" t="str">
        <f t="shared" si="63"/>
        <v>Weekday</v>
      </c>
      <c r="R972" t="str">
        <f t="shared" si="60"/>
        <v>Clear</v>
      </c>
      <c r="S972">
        <f t="shared" si="61"/>
        <v>-0.25435329828790432</v>
      </c>
      <c r="T972">
        <f t="shared" si="62"/>
        <v>0.10399668008577614</v>
      </c>
      <c r="U972" s="6">
        <v>0.2</v>
      </c>
      <c r="V972">
        <f t="array" ref="V972">CORREL(IFERROR(VALUE(TRIM(CLEAN($U$2:$U$1001))),0), IFERROR(VALUE(TRIM(CLEAN($P$2:$P$1001))),0))</f>
        <v>0.23135628536430677</v>
      </c>
    </row>
    <row r="973" spans="1:22" x14ac:dyDescent="0.25">
      <c r="A973">
        <v>972</v>
      </c>
      <c r="B973" s="1">
        <v>40587</v>
      </c>
      <c r="C973">
        <v>1</v>
      </c>
      <c r="D973">
        <v>0</v>
      </c>
      <c r="E973">
        <v>2</v>
      </c>
      <c r="F973">
        <v>2</v>
      </c>
      <c r="G973" t="b">
        <v>0</v>
      </c>
      <c r="H973">
        <v>0</v>
      </c>
      <c r="I973">
        <v>2</v>
      </c>
      <c r="J973">
        <v>0.2</v>
      </c>
      <c r="K973">
        <v>0.2273</v>
      </c>
      <c r="L973">
        <v>0.75</v>
      </c>
      <c r="M973">
        <v>8.9599999999999999E-2</v>
      </c>
      <c r="N973">
        <v>1</v>
      </c>
      <c r="O973">
        <v>19</v>
      </c>
      <c r="P973">
        <v>20</v>
      </c>
      <c r="Q973" t="str">
        <f t="shared" si="63"/>
        <v>Weekday</v>
      </c>
      <c r="R973" t="str">
        <f t="shared" si="60"/>
        <v>Mist/Cloudy</v>
      </c>
      <c r="S973">
        <f t="shared" si="61"/>
        <v>-0.25435329828790432</v>
      </c>
      <c r="T973">
        <f t="shared" si="62"/>
        <v>0.10399668008577614</v>
      </c>
      <c r="U973" s="6">
        <v>0.2</v>
      </c>
      <c r="V973">
        <f t="array" ref="V973">CORREL(IFERROR(VALUE(TRIM(CLEAN($U$2:$U$1001))),0), IFERROR(VALUE(TRIM(CLEAN($P$2:$P$1001))),0))</f>
        <v>0.23135628536430677</v>
      </c>
    </row>
    <row r="974" spans="1:22" x14ac:dyDescent="0.25">
      <c r="A974">
        <v>973</v>
      </c>
      <c r="B974" s="1">
        <v>40587</v>
      </c>
      <c r="C974">
        <v>1</v>
      </c>
      <c r="D974">
        <v>0</v>
      </c>
      <c r="E974">
        <v>2</v>
      </c>
      <c r="F974">
        <v>3</v>
      </c>
      <c r="G974" t="b">
        <v>0</v>
      </c>
      <c r="H974">
        <v>0</v>
      </c>
      <c r="I974">
        <v>2</v>
      </c>
      <c r="J974">
        <v>0.2</v>
      </c>
      <c r="K974">
        <v>0.2273</v>
      </c>
      <c r="L974">
        <v>0.69</v>
      </c>
      <c r="M974">
        <v>0.1045</v>
      </c>
      <c r="N974">
        <v>4</v>
      </c>
      <c r="O974">
        <v>8</v>
      </c>
      <c r="P974">
        <v>12</v>
      </c>
      <c r="Q974" t="str">
        <f t="shared" si="63"/>
        <v>Weekend</v>
      </c>
      <c r="R974" t="str">
        <f t="shared" si="60"/>
        <v>Mist/Cloudy</v>
      </c>
      <c r="S974">
        <f t="shared" si="61"/>
        <v>-0.25435329828790432</v>
      </c>
      <c r="T974">
        <f t="shared" si="62"/>
        <v>0.10399668008577614</v>
      </c>
      <c r="U974" s="6">
        <v>0.2</v>
      </c>
      <c r="V974">
        <f t="array" ref="V974">CORREL(IFERROR(VALUE(TRIM(CLEAN($U$2:$U$1001))),0), IFERROR(VALUE(TRIM(CLEAN($P$2:$P$1001))),0))</f>
        <v>0.23135628536430677</v>
      </c>
    </row>
    <row r="975" spans="1:22" x14ac:dyDescent="0.25">
      <c r="A975">
        <v>974</v>
      </c>
      <c r="B975" s="1">
        <v>40587</v>
      </c>
      <c r="C975">
        <v>1</v>
      </c>
      <c r="D975">
        <v>0</v>
      </c>
      <c r="E975">
        <v>2</v>
      </c>
      <c r="F975">
        <v>4</v>
      </c>
      <c r="G975" t="b">
        <v>0</v>
      </c>
      <c r="H975">
        <v>0</v>
      </c>
      <c r="I975">
        <v>2</v>
      </c>
      <c r="J975">
        <v>0.2</v>
      </c>
      <c r="K975">
        <v>0.21210000000000001</v>
      </c>
      <c r="L975">
        <v>0.69</v>
      </c>
      <c r="M975">
        <v>0.16420000000000001</v>
      </c>
      <c r="N975">
        <v>0</v>
      </c>
      <c r="O975">
        <v>2</v>
      </c>
      <c r="P975">
        <v>2</v>
      </c>
      <c r="Q975" t="str">
        <f t="shared" si="63"/>
        <v>Weekend</v>
      </c>
      <c r="R975" t="str">
        <f t="shared" si="60"/>
        <v>Mist/Cloudy</v>
      </c>
      <c r="S975">
        <f t="shared" si="61"/>
        <v>-0.25435329828790432</v>
      </c>
      <c r="T975">
        <f t="shared" si="62"/>
        <v>0.10399668008577614</v>
      </c>
      <c r="U975" s="6">
        <v>0.2</v>
      </c>
      <c r="V975">
        <f t="array" ref="V975">CORREL(IFERROR(VALUE(TRIM(CLEAN($U$2:$U$1001))),0), IFERROR(VALUE(TRIM(CLEAN($P$2:$P$1001))),0))</f>
        <v>0.23135628536430677</v>
      </c>
    </row>
    <row r="976" spans="1:22" x14ac:dyDescent="0.25">
      <c r="A976">
        <v>975</v>
      </c>
      <c r="B976" s="1">
        <v>40587</v>
      </c>
      <c r="C976">
        <v>1</v>
      </c>
      <c r="D976">
        <v>0</v>
      </c>
      <c r="E976">
        <v>2</v>
      </c>
      <c r="F976">
        <v>6</v>
      </c>
      <c r="G976" t="b">
        <v>0</v>
      </c>
      <c r="H976">
        <v>0</v>
      </c>
      <c r="I976">
        <v>2</v>
      </c>
      <c r="J976">
        <v>0.2</v>
      </c>
      <c r="K976">
        <v>0.21210000000000001</v>
      </c>
      <c r="L976">
        <v>0.69</v>
      </c>
      <c r="M976">
        <v>0.1343</v>
      </c>
      <c r="N976">
        <v>2</v>
      </c>
      <c r="O976">
        <v>3</v>
      </c>
      <c r="P976">
        <v>5</v>
      </c>
      <c r="Q976" t="str">
        <f t="shared" si="63"/>
        <v>Weekday</v>
      </c>
      <c r="R976" t="str">
        <f t="shared" si="60"/>
        <v>Mist/Cloudy</v>
      </c>
      <c r="S976">
        <f t="shared" si="61"/>
        <v>-0.25435329828790432</v>
      </c>
      <c r="T976">
        <f t="shared" si="62"/>
        <v>0.10399668008577614</v>
      </c>
      <c r="U976" s="6">
        <v>0.2</v>
      </c>
      <c r="V976">
        <f t="array" ref="V976">CORREL(IFERROR(VALUE(TRIM(CLEAN($U$2:$U$1001))),0), IFERROR(VALUE(TRIM(CLEAN($P$2:$P$1001))),0))</f>
        <v>0.23135628536430677</v>
      </c>
    </row>
    <row r="977" spans="1:22" x14ac:dyDescent="0.25">
      <c r="A977">
        <v>976</v>
      </c>
      <c r="B977" s="1">
        <v>40587</v>
      </c>
      <c r="C977">
        <v>1</v>
      </c>
      <c r="D977">
        <v>0</v>
      </c>
      <c r="E977">
        <v>2</v>
      </c>
      <c r="F977">
        <v>7</v>
      </c>
      <c r="G977" t="b">
        <v>0</v>
      </c>
      <c r="H977">
        <v>0</v>
      </c>
      <c r="I977">
        <v>2</v>
      </c>
      <c r="J977">
        <v>0.22</v>
      </c>
      <c r="K977">
        <v>0.2727</v>
      </c>
      <c r="L977">
        <v>0.55000000000000004</v>
      </c>
      <c r="M977">
        <v>0</v>
      </c>
      <c r="N977">
        <v>0</v>
      </c>
      <c r="O977">
        <v>3</v>
      </c>
      <c r="P977">
        <v>3</v>
      </c>
      <c r="Q977" t="str">
        <f t="shared" si="63"/>
        <v>Weekday</v>
      </c>
      <c r="R977" t="str">
        <f t="shared" si="60"/>
        <v>Mist/Cloudy</v>
      </c>
      <c r="S977">
        <f t="shared" si="61"/>
        <v>-0.25435329828790432</v>
      </c>
      <c r="T977">
        <f t="shared" si="62"/>
        <v>0.10399668008577614</v>
      </c>
      <c r="U977" s="6">
        <v>0.22</v>
      </c>
      <c r="V977">
        <f t="array" ref="V977">CORREL(IFERROR(VALUE(TRIM(CLEAN($U$2:$U$1001))),0), IFERROR(VALUE(TRIM(CLEAN($P$2:$P$1001))),0))</f>
        <v>0.23135628536430677</v>
      </c>
    </row>
    <row r="978" spans="1:22" x14ac:dyDescent="0.25">
      <c r="A978">
        <v>977</v>
      </c>
      <c r="B978" s="1">
        <v>40587</v>
      </c>
      <c r="C978">
        <v>1</v>
      </c>
      <c r="D978">
        <v>0</v>
      </c>
      <c r="E978">
        <v>2</v>
      </c>
      <c r="F978">
        <v>8</v>
      </c>
      <c r="G978" t="b">
        <v>0</v>
      </c>
      <c r="H978">
        <v>0</v>
      </c>
      <c r="I978">
        <v>2</v>
      </c>
      <c r="J978">
        <v>0.22</v>
      </c>
      <c r="K978">
        <v>0.2273</v>
      </c>
      <c r="L978">
        <v>0.64</v>
      </c>
      <c r="M978">
        <v>0.19400000000000001</v>
      </c>
      <c r="N978">
        <v>1</v>
      </c>
      <c r="O978">
        <v>11</v>
      </c>
      <c r="P978">
        <v>12</v>
      </c>
      <c r="Q978" t="str">
        <f t="shared" si="63"/>
        <v>Weekday</v>
      </c>
      <c r="R978" t="str">
        <f t="shared" si="60"/>
        <v>Mist/Cloudy</v>
      </c>
      <c r="S978">
        <f t="shared" si="61"/>
        <v>-0.25435329828790432</v>
      </c>
      <c r="T978">
        <f t="shared" si="62"/>
        <v>0.10399668008577614</v>
      </c>
      <c r="U978" s="6">
        <v>0.22</v>
      </c>
      <c r="V978">
        <f t="array" ref="V978">CORREL(IFERROR(VALUE(TRIM(CLEAN($U$2:$U$1001))),0), IFERROR(VALUE(TRIM(CLEAN($P$2:$P$1001))),0))</f>
        <v>0.23135628536430677</v>
      </c>
    </row>
    <row r="979" spans="1:22" x14ac:dyDescent="0.25">
      <c r="A979">
        <v>978</v>
      </c>
      <c r="B979" s="1">
        <v>40587</v>
      </c>
      <c r="C979">
        <v>1</v>
      </c>
      <c r="D979">
        <v>0</v>
      </c>
      <c r="E979">
        <v>2</v>
      </c>
      <c r="F979">
        <v>9</v>
      </c>
      <c r="G979" t="b">
        <v>0</v>
      </c>
      <c r="H979">
        <v>0</v>
      </c>
      <c r="I979">
        <v>2</v>
      </c>
      <c r="J979">
        <v>0.24</v>
      </c>
      <c r="K979">
        <v>0.2273</v>
      </c>
      <c r="L979">
        <v>0.6</v>
      </c>
      <c r="M979">
        <v>0.22389999999999999</v>
      </c>
      <c r="N979">
        <v>12</v>
      </c>
      <c r="O979">
        <v>35</v>
      </c>
      <c r="P979">
        <v>47</v>
      </c>
      <c r="Q979" t="str">
        <f t="shared" si="63"/>
        <v>Weekday</v>
      </c>
      <c r="R979" t="str">
        <f t="shared" si="60"/>
        <v>Mist/Cloudy</v>
      </c>
      <c r="S979">
        <f t="shared" si="61"/>
        <v>-0.25435329828790432</v>
      </c>
      <c r="T979">
        <f t="shared" si="62"/>
        <v>0.10399668008577614</v>
      </c>
      <c r="U979" s="6">
        <v>0.24</v>
      </c>
      <c r="V979">
        <f t="array" ref="V979">CORREL(IFERROR(VALUE(TRIM(CLEAN($U$2:$U$1001))),0), IFERROR(VALUE(TRIM(CLEAN($P$2:$P$1001))),0))</f>
        <v>0.23135628536430677</v>
      </c>
    </row>
    <row r="980" spans="1:22" x14ac:dyDescent="0.25">
      <c r="A980">
        <v>979</v>
      </c>
      <c r="B980" s="1">
        <v>40587</v>
      </c>
      <c r="C980">
        <v>1</v>
      </c>
      <c r="D980">
        <v>0</v>
      </c>
      <c r="E980">
        <v>2</v>
      </c>
      <c r="F980">
        <v>10</v>
      </c>
      <c r="G980" t="b">
        <v>0</v>
      </c>
      <c r="H980">
        <v>0</v>
      </c>
      <c r="I980">
        <v>1</v>
      </c>
      <c r="J980">
        <v>0.3</v>
      </c>
      <c r="K980">
        <v>0.2727</v>
      </c>
      <c r="L980">
        <v>0.45</v>
      </c>
      <c r="M980">
        <v>0.32840000000000003</v>
      </c>
      <c r="N980">
        <v>19</v>
      </c>
      <c r="O980">
        <v>86</v>
      </c>
      <c r="P980">
        <v>105</v>
      </c>
      <c r="Q980" t="str">
        <f t="shared" si="63"/>
        <v>Weekday</v>
      </c>
      <c r="R980" t="str">
        <f t="shared" si="60"/>
        <v>Clear</v>
      </c>
      <c r="S980">
        <f t="shared" si="61"/>
        <v>-0.25435329828790432</v>
      </c>
      <c r="T980">
        <f t="shared" si="62"/>
        <v>0.10399668008577614</v>
      </c>
      <c r="U980" s="6">
        <v>0.3</v>
      </c>
      <c r="V980">
        <f t="array" ref="V980">CORREL(IFERROR(VALUE(TRIM(CLEAN($U$2:$U$1001))),0), IFERROR(VALUE(TRIM(CLEAN($P$2:$P$1001))),0))</f>
        <v>0.23135628536430677</v>
      </c>
    </row>
    <row r="981" spans="1:22" x14ac:dyDescent="0.25">
      <c r="A981">
        <v>980</v>
      </c>
      <c r="B981" s="1">
        <v>40587</v>
      </c>
      <c r="C981">
        <v>1</v>
      </c>
      <c r="D981">
        <v>0</v>
      </c>
      <c r="E981">
        <v>2</v>
      </c>
      <c r="F981">
        <v>11</v>
      </c>
      <c r="G981" t="b">
        <v>0</v>
      </c>
      <c r="H981">
        <v>0</v>
      </c>
      <c r="I981">
        <v>1</v>
      </c>
      <c r="J981">
        <v>0.32</v>
      </c>
      <c r="K981">
        <v>0.28789999999999999</v>
      </c>
      <c r="L981">
        <v>0.39</v>
      </c>
      <c r="M981">
        <v>0.44779999999999998</v>
      </c>
      <c r="N981">
        <v>26</v>
      </c>
      <c r="O981">
        <v>86</v>
      </c>
      <c r="P981">
        <v>112</v>
      </c>
      <c r="Q981" t="str">
        <f t="shared" si="63"/>
        <v>Weekend</v>
      </c>
      <c r="R981" t="str">
        <f t="shared" si="60"/>
        <v>Clear</v>
      </c>
      <c r="S981">
        <f t="shared" si="61"/>
        <v>-0.25435329828790432</v>
      </c>
      <c r="T981">
        <f t="shared" si="62"/>
        <v>0.10399668008577614</v>
      </c>
      <c r="U981" s="6">
        <v>0.32</v>
      </c>
      <c r="V981">
        <f t="array" ref="V981">CORREL(IFERROR(VALUE(TRIM(CLEAN($U$2:$U$1001))),0), IFERROR(VALUE(TRIM(CLEAN($P$2:$P$1001))),0))</f>
        <v>0.23135628536430677</v>
      </c>
    </row>
    <row r="982" spans="1:22" x14ac:dyDescent="0.25">
      <c r="A982">
        <v>981</v>
      </c>
      <c r="B982" s="1">
        <v>40587</v>
      </c>
      <c r="C982">
        <v>1</v>
      </c>
      <c r="D982">
        <v>0</v>
      </c>
      <c r="E982">
        <v>2</v>
      </c>
      <c r="F982">
        <v>12</v>
      </c>
      <c r="G982" t="b">
        <v>0</v>
      </c>
      <c r="H982">
        <v>0</v>
      </c>
      <c r="I982">
        <v>1</v>
      </c>
      <c r="J982">
        <v>0.36</v>
      </c>
      <c r="K982">
        <v>0.31819999999999998</v>
      </c>
      <c r="L982">
        <v>0.32</v>
      </c>
      <c r="M982">
        <v>0.4627</v>
      </c>
      <c r="N982">
        <v>58</v>
      </c>
      <c r="O982">
        <v>94</v>
      </c>
      <c r="P982">
        <v>152</v>
      </c>
      <c r="Q982" t="str">
        <f t="shared" si="63"/>
        <v>Weekend</v>
      </c>
      <c r="R982" t="str">
        <f t="shared" si="60"/>
        <v>Clear</v>
      </c>
      <c r="S982">
        <f t="shared" si="61"/>
        <v>-0.25435329828790432</v>
      </c>
      <c r="T982">
        <f t="shared" si="62"/>
        <v>0.10399668008577614</v>
      </c>
      <c r="U982" s="6">
        <v>0.36</v>
      </c>
      <c r="V982">
        <f t="array" ref="V982">CORREL(IFERROR(VALUE(TRIM(CLEAN($U$2:$U$1001))),0), IFERROR(VALUE(TRIM(CLEAN($P$2:$P$1001))),0))</f>
        <v>0.23135628536430677</v>
      </c>
    </row>
    <row r="983" spans="1:22" x14ac:dyDescent="0.25">
      <c r="A983">
        <v>982</v>
      </c>
      <c r="B983" s="1">
        <v>40587</v>
      </c>
      <c r="C983">
        <v>1</v>
      </c>
      <c r="D983">
        <v>0</v>
      </c>
      <c r="E983">
        <v>2</v>
      </c>
      <c r="F983">
        <v>13</v>
      </c>
      <c r="G983" t="b">
        <v>0</v>
      </c>
      <c r="H983">
        <v>0</v>
      </c>
      <c r="I983">
        <v>1</v>
      </c>
      <c r="J983">
        <v>0.38</v>
      </c>
      <c r="K983">
        <v>0.39389999999999997</v>
      </c>
      <c r="L983">
        <v>0.28999999999999998</v>
      </c>
      <c r="M983">
        <v>0.35820000000000002</v>
      </c>
      <c r="N983">
        <v>62</v>
      </c>
      <c r="O983">
        <v>92</v>
      </c>
      <c r="P983">
        <v>154</v>
      </c>
      <c r="Q983" t="str">
        <f t="shared" si="63"/>
        <v>Weekday</v>
      </c>
      <c r="R983" t="str">
        <f t="shared" si="60"/>
        <v>Clear</v>
      </c>
      <c r="S983">
        <f t="shared" si="61"/>
        <v>-0.25435329828790432</v>
      </c>
      <c r="T983">
        <f t="shared" si="62"/>
        <v>0.10399668008577614</v>
      </c>
      <c r="U983" s="6">
        <v>0.38</v>
      </c>
      <c r="V983">
        <f t="array" ref="V983">CORREL(IFERROR(VALUE(TRIM(CLEAN($U$2:$U$1001))),0), IFERROR(VALUE(TRIM(CLEAN($P$2:$P$1001))),0))</f>
        <v>0.23135628536430677</v>
      </c>
    </row>
    <row r="984" spans="1:22" x14ac:dyDescent="0.25">
      <c r="A984">
        <v>983</v>
      </c>
      <c r="B984" s="1">
        <v>40587</v>
      </c>
      <c r="C984">
        <v>1</v>
      </c>
      <c r="D984">
        <v>0</v>
      </c>
      <c r="E984">
        <v>2</v>
      </c>
      <c r="F984">
        <v>14</v>
      </c>
      <c r="G984" t="b">
        <v>0</v>
      </c>
      <c r="H984">
        <v>0</v>
      </c>
      <c r="I984">
        <v>2</v>
      </c>
      <c r="J984">
        <v>0.4</v>
      </c>
      <c r="K984">
        <v>0.40910000000000002</v>
      </c>
      <c r="L984">
        <v>0.3</v>
      </c>
      <c r="M984">
        <v>0.41789999999999999</v>
      </c>
      <c r="N984">
        <v>51</v>
      </c>
      <c r="O984">
        <v>110</v>
      </c>
      <c r="P984">
        <v>161</v>
      </c>
      <c r="Q984" t="str">
        <f t="shared" si="63"/>
        <v>Weekday</v>
      </c>
      <c r="R984" t="str">
        <f t="shared" si="60"/>
        <v>Mist/Cloudy</v>
      </c>
      <c r="S984">
        <f t="shared" si="61"/>
        <v>-0.25435329828790432</v>
      </c>
      <c r="T984">
        <f t="shared" si="62"/>
        <v>0.10399668008577614</v>
      </c>
      <c r="U984" s="6">
        <v>0.4</v>
      </c>
      <c r="V984">
        <f t="array" ref="V984">CORREL(IFERROR(VALUE(TRIM(CLEAN($U$2:$U$1001))),0), IFERROR(VALUE(TRIM(CLEAN($P$2:$P$1001))),0))</f>
        <v>0.23135628536430677</v>
      </c>
    </row>
    <row r="985" spans="1:22" x14ac:dyDescent="0.25">
      <c r="A985">
        <v>984</v>
      </c>
      <c r="B985" s="1">
        <v>40587</v>
      </c>
      <c r="C985">
        <v>1</v>
      </c>
      <c r="D985">
        <v>0</v>
      </c>
      <c r="E985">
        <v>2</v>
      </c>
      <c r="F985">
        <v>15</v>
      </c>
      <c r="G985" t="b">
        <v>0</v>
      </c>
      <c r="H985">
        <v>0</v>
      </c>
      <c r="I985">
        <v>2</v>
      </c>
      <c r="J985">
        <v>0.4</v>
      </c>
      <c r="K985">
        <v>0.40910000000000002</v>
      </c>
      <c r="L985">
        <v>0.3</v>
      </c>
      <c r="M985">
        <v>0.29849999999999999</v>
      </c>
      <c r="N985">
        <v>40</v>
      </c>
      <c r="O985">
        <v>122</v>
      </c>
      <c r="P985">
        <v>162</v>
      </c>
      <c r="Q985" t="str">
        <f t="shared" si="63"/>
        <v>Weekday</v>
      </c>
      <c r="R985" t="str">
        <f t="shared" si="60"/>
        <v>Mist/Cloudy</v>
      </c>
      <c r="S985">
        <f t="shared" si="61"/>
        <v>-0.25435329828790432</v>
      </c>
      <c r="T985">
        <f t="shared" si="62"/>
        <v>0.10399668008577614</v>
      </c>
      <c r="U985" s="6">
        <v>0.4</v>
      </c>
      <c r="V985">
        <f t="array" ref="V985">CORREL(IFERROR(VALUE(TRIM(CLEAN($U$2:$U$1001))),0), IFERROR(VALUE(TRIM(CLEAN($P$2:$P$1001))),0))</f>
        <v>0.23135628536430677</v>
      </c>
    </row>
    <row r="986" spans="1:22" x14ac:dyDescent="0.25">
      <c r="A986">
        <v>985</v>
      </c>
      <c r="B986" s="1">
        <v>40587</v>
      </c>
      <c r="C986">
        <v>1</v>
      </c>
      <c r="D986">
        <v>0</v>
      </c>
      <c r="E986">
        <v>2</v>
      </c>
      <c r="F986">
        <v>16</v>
      </c>
      <c r="G986" t="b">
        <v>0</v>
      </c>
      <c r="H986">
        <v>0</v>
      </c>
      <c r="I986">
        <v>2</v>
      </c>
      <c r="J986">
        <v>0.42</v>
      </c>
      <c r="K986">
        <v>0.42420000000000002</v>
      </c>
      <c r="L986">
        <v>0.28000000000000003</v>
      </c>
      <c r="M986">
        <v>0.32840000000000003</v>
      </c>
      <c r="N986">
        <v>28</v>
      </c>
      <c r="O986">
        <v>106</v>
      </c>
      <c r="P986">
        <v>134</v>
      </c>
      <c r="Q986" t="str">
        <f t="shared" si="63"/>
        <v>Weekday</v>
      </c>
      <c r="R986" t="str">
        <f t="shared" si="60"/>
        <v>Mist/Cloudy</v>
      </c>
      <c r="S986">
        <f t="shared" si="61"/>
        <v>-0.25435329828790432</v>
      </c>
      <c r="T986">
        <f t="shared" si="62"/>
        <v>0.10399668008577614</v>
      </c>
      <c r="U986" s="6">
        <v>0.42</v>
      </c>
      <c r="V986">
        <f t="array" ref="V986">CORREL(IFERROR(VALUE(TRIM(CLEAN($U$2:$U$1001))),0), IFERROR(VALUE(TRIM(CLEAN($P$2:$P$1001))),0))</f>
        <v>0.23135628536430677</v>
      </c>
    </row>
    <row r="987" spans="1:22" x14ac:dyDescent="0.25">
      <c r="A987">
        <v>986</v>
      </c>
      <c r="B987" s="1">
        <v>40587</v>
      </c>
      <c r="C987">
        <v>1</v>
      </c>
      <c r="D987">
        <v>0</v>
      </c>
      <c r="E987">
        <v>2</v>
      </c>
      <c r="F987">
        <v>17</v>
      </c>
      <c r="G987" t="b">
        <v>0</v>
      </c>
      <c r="H987">
        <v>0</v>
      </c>
      <c r="I987">
        <v>1</v>
      </c>
      <c r="J987">
        <v>0.42</v>
      </c>
      <c r="K987">
        <v>0.42420000000000002</v>
      </c>
      <c r="L987">
        <v>0.28000000000000003</v>
      </c>
      <c r="M987">
        <v>0.32840000000000003</v>
      </c>
      <c r="N987">
        <v>30</v>
      </c>
      <c r="O987">
        <v>95</v>
      </c>
      <c r="P987">
        <v>125</v>
      </c>
      <c r="Q987" t="str">
        <f t="shared" si="63"/>
        <v>Weekday</v>
      </c>
      <c r="R987" t="str">
        <f t="shared" si="60"/>
        <v>Clear</v>
      </c>
      <c r="S987">
        <f t="shared" si="61"/>
        <v>-0.25435329828790432</v>
      </c>
      <c r="T987">
        <f t="shared" si="62"/>
        <v>0.10399668008577614</v>
      </c>
      <c r="U987" s="6">
        <v>0.42</v>
      </c>
      <c r="V987">
        <f t="array" ref="V987">CORREL(IFERROR(VALUE(TRIM(CLEAN($U$2:$U$1001))),0), IFERROR(VALUE(TRIM(CLEAN($P$2:$P$1001))),0))</f>
        <v>0.23135628536430677</v>
      </c>
    </row>
    <row r="988" spans="1:22" x14ac:dyDescent="0.25">
      <c r="A988">
        <v>987</v>
      </c>
      <c r="B988" s="1">
        <v>40587</v>
      </c>
      <c r="C988">
        <v>1</v>
      </c>
      <c r="D988">
        <v>0</v>
      </c>
      <c r="E988">
        <v>2</v>
      </c>
      <c r="F988">
        <v>18</v>
      </c>
      <c r="G988" t="b">
        <v>0</v>
      </c>
      <c r="H988">
        <v>0</v>
      </c>
      <c r="I988">
        <v>1</v>
      </c>
      <c r="J988">
        <v>0.4</v>
      </c>
      <c r="K988">
        <v>0.40910000000000002</v>
      </c>
      <c r="L988">
        <v>0.32</v>
      </c>
      <c r="M988">
        <v>0.29849999999999999</v>
      </c>
      <c r="N988">
        <v>17</v>
      </c>
      <c r="O988">
        <v>78</v>
      </c>
      <c r="P988">
        <v>95</v>
      </c>
      <c r="Q988" t="str">
        <f t="shared" si="63"/>
        <v>Weekend</v>
      </c>
      <c r="R988" t="str">
        <f t="shared" si="60"/>
        <v>Clear</v>
      </c>
      <c r="S988">
        <f t="shared" si="61"/>
        <v>-0.25435329828790432</v>
      </c>
      <c r="T988">
        <f t="shared" si="62"/>
        <v>0.10399668008577614</v>
      </c>
      <c r="U988" s="6">
        <v>0.4</v>
      </c>
      <c r="V988">
        <f t="array" ref="V988">CORREL(IFERROR(VALUE(TRIM(CLEAN($U$2:$U$1001))),0), IFERROR(VALUE(TRIM(CLEAN($P$2:$P$1001))),0))</f>
        <v>0.23135628536430677</v>
      </c>
    </row>
    <row r="989" spans="1:22" x14ac:dyDescent="0.25">
      <c r="A989">
        <v>988</v>
      </c>
      <c r="B989" s="1">
        <v>40587</v>
      </c>
      <c r="C989">
        <v>1</v>
      </c>
      <c r="D989">
        <v>0</v>
      </c>
      <c r="E989">
        <v>2</v>
      </c>
      <c r="F989">
        <v>19</v>
      </c>
      <c r="G989" t="b">
        <v>0</v>
      </c>
      <c r="H989">
        <v>0</v>
      </c>
      <c r="I989">
        <v>1</v>
      </c>
      <c r="J989">
        <v>0.4</v>
      </c>
      <c r="K989">
        <v>0.40910000000000002</v>
      </c>
      <c r="L989">
        <v>0.35</v>
      </c>
      <c r="M989">
        <v>0.28360000000000002</v>
      </c>
      <c r="N989">
        <v>11</v>
      </c>
      <c r="O989">
        <v>50</v>
      </c>
      <c r="P989">
        <v>61</v>
      </c>
      <c r="Q989" t="str">
        <f t="shared" si="63"/>
        <v>Weekend</v>
      </c>
      <c r="R989" t="str">
        <f t="shared" si="60"/>
        <v>Clear</v>
      </c>
      <c r="S989">
        <f t="shared" si="61"/>
        <v>-0.25435329828790432</v>
      </c>
      <c r="T989">
        <f t="shared" si="62"/>
        <v>0.10399668008577614</v>
      </c>
      <c r="U989" s="6">
        <v>0.4</v>
      </c>
      <c r="V989">
        <f t="array" ref="V989">CORREL(IFERROR(VALUE(TRIM(CLEAN($U$2:$U$1001))),0), IFERROR(VALUE(TRIM(CLEAN($P$2:$P$1001))),0))</f>
        <v>0.23135628536430677</v>
      </c>
    </row>
    <row r="990" spans="1:22" x14ac:dyDescent="0.25">
      <c r="A990">
        <v>989</v>
      </c>
      <c r="B990" s="1">
        <v>40587</v>
      </c>
      <c r="C990">
        <v>1</v>
      </c>
      <c r="D990">
        <v>0</v>
      </c>
      <c r="E990">
        <v>2</v>
      </c>
      <c r="F990">
        <v>20</v>
      </c>
      <c r="G990" t="b">
        <v>0</v>
      </c>
      <c r="H990">
        <v>0</v>
      </c>
      <c r="I990">
        <v>1</v>
      </c>
      <c r="J990">
        <v>0.4</v>
      </c>
      <c r="K990">
        <v>0.40910000000000002</v>
      </c>
      <c r="L990">
        <v>0.35</v>
      </c>
      <c r="M990">
        <v>0.32840000000000003</v>
      </c>
      <c r="N990">
        <v>15</v>
      </c>
      <c r="O990">
        <v>32</v>
      </c>
      <c r="P990">
        <v>47</v>
      </c>
      <c r="Q990" t="str">
        <f t="shared" si="63"/>
        <v>Weekday</v>
      </c>
      <c r="R990" t="str">
        <f t="shared" si="60"/>
        <v>Clear</v>
      </c>
      <c r="S990">
        <f t="shared" si="61"/>
        <v>-0.25435329828790432</v>
      </c>
      <c r="T990">
        <f t="shared" si="62"/>
        <v>0.10399668008577614</v>
      </c>
      <c r="U990" s="6">
        <v>0.4</v>
      </c>
      <c r="V990">
        <f t="array" ref="V990">CORREL(IFERROR(VALUE(TRIM(CLEAN($U$2:$U$1001))),0), IFERROR(VALUE(TRIM(CLEAN($P$2:$P$1001))),0))</f>
        <v>0.23135628536430677</v>
      </c>
    </row>
    <row r="991" spans="1:22" x14ac:dyDescent="0.25">
      <c r="A991">
        <v>990</v>
      </c>
      <c r="B991" s="1">
        <v>40587</v>
      </c>
      <c r="C991">
        <v>1</v>
      </c>
      <c r="D991">
        <v>0</v>
      </c>
      <c r="E991">
        <v>2</v>
      </c>
      <c r="F991">
        <v>21</v>
      </c>
      <c r="G991" t="b">
        <v>0</v>
      </c>
      <c r="H991">
        <v>0</v>
      </c>
      <c r="I991">
        <v>1</v>
      </c>
      <c r="J991">
        <v>0.4</v>
      </c>
      <c r="K991">
        <v>0.40910000000000002</v>
      </c>
      <c r="L991">
        <v>0.35</v>
      </c>
      <c r="M991">
        <v>0.35820000000000002</v>
      </c>
      <c r="N991">
        <v>6</v>
      </c>
      <c r="O991">
        <v>45</v>
      </c>
      <c r="P991">
        <v>51</v>
      </c>
      <c r="Q991" t="str">
        <f t="shared" si="63"/>
        <v>Weekday</v>
      </c>
      <c r="R991" t="str">
        <f t="shared" si="60"/>
        <v>Clear</v>
      </c>
      <c r="S991">
        <f t="shared" si="61"/>
        <v>-0.25435329828790432</v>
      </c>
      <c r="T991">
        <f t="shared" si="62"/>
        <v>0.10399668008577614</v>
      </c>
      <c r="U991" s="6">
        <v>0.4</v>
      </c>
      <c r="V991">
        <f t="array" ref="V991">CORREL(IFERROR(VALUE(TRIM(CLEAN($U$2:$U$1001))),0), IFERROR(VALUE(TRIM(CLEAN($P$2:$P$1001))),0))</f>
        <v>0.23135628536430677</v>
      </c>
    </row>
    <row r="992" spans="1:22" x14ac:dyDescent="0.25">
      <c r="A992">
        <v>991</v>
      </c>
      <c r="B992" s="1">
        <v>40587</v>
      </c>
      <c r="C992">
        <v>1</v>
      </c>
      <c r="D992">
        <v>0</v>
      </c>
      <c r="E992">
        <v>2</v>
      </c>
      <c r="F992">
        <v>22</v>
      </c>
      <c r="G992" t="b">
        <v>0</v>
      </c>
      <c r="H992">
        <v>0</v>
      </c>
      <c r="I992">
        <v>1</v>
      </c>
      <c r="J992">
        <v>0.4</v>
      </c>
      <c r="K992">
        <v>0.40910000000000002</v>
      </c>
      <c r="L992">
        <v>0.35</v>
      </c>
      <c r="M992">
        <v>0.29849999999999999</v>
      </c>
      <c r="N992">
        <v>5</v>
      </c>
      <c r="O992">
        <v>31</v>
      </c>
      <c r="P992">
        <v>36</v>
      </c>
      <c r="Q992" t="str">
        <f t="shared" si="63"/>
        <v>Weekday</v>
      </c>
      <c r="R992" t="str">
        <f t="shared" si="60"/>
        <v>Clear</v>
      </c>
      <c r="S992">
        <f t="shared" si="61"/>
        <v>-0.25435329828790432</v>
      </c>
      <c r="T992">
        <f t="shared" si="62"/>
        <v>0.10399668008577614</v>
      </c>
      <c r="U992" s="6">
        <v>0.4</v>
      </c>
      <c r="V992">
        <f t="array" ref="V992">CORREL(IFERROR(VALUE(TRIM(CLEAN($U$2:$U$1001))),0), IFERROR(VALUE(TRIM(CLEAN($P$2:$P$1001))),0))</f>
        <v>0.23135628536430677</v>
      </c>
    </row>
    <row r="993" spans="1:22" x14ac:dyDescent="0.25">
      <c r="A993">
        <v>992</v>
      </c>
      <c r="B993" s="1">
        <v>40587</v>
      </c>
      <c r="C993">
        <v>1</v>
      </c>
      <c r="D993">
        <v>0</v>
      </c>
      <c r="E993">
        <v>2</v>
      </c>
      <c r="F993">
        <v>23</v>
      </c>
      <c r="G993" t="b">
        <v>0</v>
      </c>
      <c r="H993">
        <v>0</v>
      </c>
      <c r="I993">
        <v>1</v>
      </c>
      <c r="J993">
        <v>0.4</v>
      </c>
      <c r="K993">
        <v>0.40910000000000002</v>
      </c>
      <c r="L993">
        <v>0.35</v>
      </c>
      <c r="M993">
        <v>0.35820000000000002</v>
      </c>
      <c r="N993">
        <v>3</v>
      </c>
      <c r="O993">
        <v>27</v>
      </c>
      <c r="P993">
        <v>30</v>
      </c>
      <c r="Q993" t="str">
        <f t="shared" si="63"/>
        <v>Weekday</v>
      </c>
      <c r="R993" t="str">
        <f t="shared" si="60"/>
        <v>Clear</v>
      </c>
      <c r="S993">
        <f t="shared" si="61"/>
        <v>-0.25435329828790432</v>
      </c>
      <c r="T993">
        <f t="shared" si="62"/>
        <v>0.10399668008577614</v>
      </c>
      <c r="U993" s="6">
        <v>0.4</v>
      </c>
      <c r="V993">
        <f t="array" ref="V993">CORREL(IFERROR(VALUE(TRIM(CLEAN($U$2:$U$1001))),0), IFERROR(VALUE(TRIM(CLEAN($P$2:$P$1001))),0))</f>
        <v>0.23135628536430677</v>
      </c>
    </row>
    <row r="994" spans="1:22" x14ac:dyDescent="0.25">
      <c r="A994">
        <v>993</v>
      </c>
      <c r="B994" s="1">
        <v>40588</v>
      </c>
      <c r="C994">
        <v>1</v>
      </c>
      <c r="D994">
        <v>0</v>
      </c>
      <c r="E994">
        <v>2</v>
      </c>
      <c r="F994">
        <v>0</v>
      </c>
      <c r="G994" t="b">
        <v>0</v>
      </c>
      <c r="H994">
        <v>1</v>
      </c>
      <c r="I994">
        <v>1</v>
      </c>
      <c r="J994">
        <v>0.38</v>
      </c>
      <c r="K994">
        <v>0.39389999999999997</v>
      </c>
      <c r="L994">
        <v>0.37</v>
      </c>
      <c r="M994">
        <v>0.35820000000000002</v>
      </c>
      <c r="N994">
        <v>3</v>
      </c>
      <c r="O994">
        <v>8</v>
      </c>
      <c r="P994">
        <v>11</v>
      </c>
      <c r="Q994" t="str">
        <f t="shared" si="63"/>
        <v>Weekday</v>
      </c>
      <c r="R994" t="str">
        <f t="shared" si="60"/>
        <v>Clear</v>
      </c>
      <c r="S994">
        <f t="shared" si="61"/>
        <v>-0.25435329828790432</v>
      </c>
      <c r="T994">
        <f t="shared" si="62"/>
        <v>0.10399668008577614</v>
      </c>
      <c r="U994" s="6">
        <v>0.38</v>
      </c>
      <c r="V994">
        <f t="array" ref="V994">CORREL(IFERROR(VALUE(TRIM(CLEAN($U$2:$U$1001))),0), IFERROR(VALUE(TRIM(CLEAN($P$2:$P$1001))),0))</f>
        <v>0.23135628536430677</v>
      </c>
    </row>
    <row r="995" spans="1:22" x14ac:dyDescent="0.25">
      <c r="A995">
        <v>994</v>
      </c>
      <c r="B995" s="1">
        <v>40588</v>
      </c>
      <c r="C995">
        <v>1</v>
      </c>
      <c r="D995">
        <v>0</v>
      </c>
      <c r="E995">
        <v>2</v>
      </c>
      <c r="F995">
        <v>1</v>
      </c>
      <c r="G995" t="b">
        <v>0</v>
      </c>
      <c r="H995">
        <v>1</v>
      </c>
      <c r="I995">
        <v>1</v>
      </c>
      <c r="J995">
        <v>0.38</v>
      </c>
      <c r="K995">
        <v>0.39389999999999997</v>
      </c>
      <c r="L995">
        <v>0.37</v>
      </c>
      <c r="M995">
        <v>0.35820000000000002</v>
      </c>
      <c r="N995">
        <v>1</v>
      </c>
      <c r="O995">
        <v>6</v>
      </c>
      <c r="P995">
        <v>7</v>
      </c>
      <c r="Q995" t="str">
        <f t="shared" si="63"/>
        <v>Weekend</v>
      </c>
      <c r="R995" t="str">
        <f t="shared" si="60"/>
        <v>Clear</v>
      </c>
      <c r="S995">
        <f t="shared" si="61"/>
        <v>-0.25435329828790432</v>
      </c>
      <c r="T995">
        <f t="shared" si="62"/>
        <v>0.10399668008577614</v>
      </c>
      <c r="U995" s="6">
        <v>0.38</v>
      </c>
      <c r="V995">
        <f t="array" ref="V995">CORREL(IFERROR(VALUE(TRIM(CLEAN($U$2:$U$1001))),0), IFERROR(VALUE(TRIM(CLEAN($P$2:$P$1001))),0))</f>
        <v>0.23135628536430677</v>
      </c>
    </row>
    <row r="996" spans="1:22" x14ac:dyDescent="0.25">
      <c r="A996">
        <v>995</v>
      </c>
      <c r="B996" s="1">
        <v>40588</v>
      </c>
      <c r="C996">
        <v>1</v>
      </c>
      <c r="D996">
        <v>0</v>
      </c>
      <c r="E996">
        <v>2</v>
      </c>
      <c r="F996">
        <v>2</v>
      </c>
      <c r="G996" t="b">
        <v>0</v>
      </c>
      <c r="H996">
        <v>1</v>
      </c>
      <c r="I996">
        <v>1</v>
      </c>
      <c r="J996">
        <v>0.36</v>
      </c>
      <c r="K996">
        <v>0.33329999999999999</v>
      </c>
      <c r="L996">
        <v>0.4</v>
      </c>
      <c r="M996">
        <v>0.29849999999999999</v>
      </c>
      <c r="N996">
        <v>0</v>
      </c>
      <c r="O996">
        <v>2</v>
      </c>
      <c r="P996">
        <v>2</v>
      </c>
      <c r="Q996" t="str">
        <f t="shared" si="63"/>
        <v>Weekend</v>
      </c>
      <c r="R996" t="str">
        <f t="shared" si="60"/>
        <v>Clear</v>
      </c>
      <c r="S996">
        <f t="shared" si="61"/>
        <v>-0.25435329828790432</v>
      </c>
      <c r="T996">
        <f t="shared" si="62"/>
        <v>0.10399668008577614</v>
      </c>
      <c r="U996" s="6">
        <v>0.36</v>
      </c>
      <c r="V996">
        <f t="array" ref="V996">CORREL(IFERROR(VALUE(TRIM(CLEAN($U$2:$U$1001))),0), IFERROR(VALUE(TRIM(CLEAN($P$2:$P$1001))),0))</f>
        <v>0.23135628536430677</v>
      </c>
    </row>
    <row r="997" spans="1:22" x14ac:dyDescent="0.25">
      <c r="A997">
        <v>996</v>
      </c>
      <c r="B997" s="1">
        <v>40588</v>
      </c>
      <c r="C997">
        <v>1</v>
      </c>
      <c r="D997">
        <v>0</v>
      </c>
      <c r="E997">
        <v>2</v>
      </c>
      <c r="F997">
        <v>3</v>
      </c>
      <c r="G997" t="b">
        <v>0</v>
      </c>
      <c r="H997">
        <v>1</v>
      </c>
      <c r="I997">
        <v>1</v>
      </c>
      <c r="J997">
        <v>0.34</v>
      </c>
      <c r="K997">
        <v>0.31819999999999998</v>
      </c>
      <c r="L997">
        <v>0.46</v>
      </c>
      <c r="M997">
        <v>0.22389999999999999</v>
      </c>
      <c r="N997">
        <v>1</v>
      </c>
      <c r="O997">
        <v>1</v>
      </c>
      <c r="P997">
        <v>2</v>
      </c>
      <c r="Q997" t="str">
        <f t="shared" si="63"/>
        <v>Weekday</v>
      </c>
      <c r="R997" t="str">
        <f t="shared" si="60"/>
        <v>Clear</v>
      </c>
      <c r="S997">
        <f t="shared" si="61"/>
        <v>-0.25435329828790432</v>
      </c>
      <c r="T997">
        <f t="shared" si="62"/>
        <v>0.10399668008577614</v>
      </c>
      <c r="U997" s="6">
        <v>0.34</v>
      </c>
      <c r="V997">
        <f t="array" ref="V997">CORREL(IFERROR(VALUE(TRIM(CLEAN($U$2:$U$1001))),0), IFERROR(VALUE(TRIM(CLEAN($P$2:$P$1001))),0))</f>
        <v>0.23135628536430677</v>
      </c>
    </row>
    <row r="998" spans="1:22" x14ac:dyDescent="0.25">
      <c r="A998">
        <v>997</v>
      </c>
      <c r="B998" s="1">
        <v>40588</v>
      </c>
      <c r="C998">
        <v>1</v>
      </c>
      <c r="D998">
        <v>0</v>
      </c>
      <c r="E998">
        <v>2</v>
      </c>
      <c r="F998">
        <v>4</v>
      </c>
      <c r="G998" t="b">
        <v>0</v>
      </c>
      <c r="H998">
        <v>1</v>
      </c>
      <c r="I998">
        <v>1</v>
      </c>
      <c r="J998">
        <v>0.32</v>
      </c>
      <c r="K998">
        <v>0.30299999999999999</v>
      </c>
      <c r="L998">
        <v>0.53</v>
      </c>
      <c r="M998">
        <v>0.28360000000000002</v>
      </c>
      <c r="N998">
        <v>0</v>
      </c>
      <c r="O998">
        <v>2</v>
      </c>
      <c r="P998">
        <v>2</v>
      </c>
      <c r="Q998" t="str">
        <f t="shared" si="63"/>
        <v>Weekday</v>
      </c>
      <c r="R998" t="str">
        <f t="shared" si="60"/>
        <v>Clear</v>
      </c>
      <c r="S998">
        <f t="shared" si="61"/>
        <v>-0.25435329828790432</v>
      </c>
      <c r="T998">
        <f t="shared" si="62"/>
        <v>0.10399668008577614</v>
      </c>
      <c r="U998" s="6">
        <v>0.32</v>
      </c>
      <c r="V998">
        <f t="array" ref="V998">CORREL(IFERROR(VALUE(TRIM(CLEAN($U$2:$U$1001))),0), IFERROR(VALUE(TRIM(CLEAN($P$2:$P$1001))),0))</f>
        <v>0.23135628536430677</v>
      </c>
    </row>
    <row r="999" spans="1:22" x14ac:dyDescent="0.25">
      <c r="A999">
        <v>998</v>
      </c>
      <c r="B999" s="1">
        <v>40588</v>
      </c>
      <c r="C999">
        <v>1</v>
      </c>
      <c r="D999">
        <v>0</v>
      </c>
      <c r="E999">
        <v>2</v>
      </c>
      <c r="F999">
        <v>5</v>
      </c>
      <c r="G999" t="b">
        <v>0</v>
      </c>
      <c r="H999">
        <v>1</v>
      </c>
      <c r="I999">
        <v>1</v>
      </c>
      <c r="J999">
        <v>0.32</v>
      </c>
      <c r="K999">
        <v>0.30299999999999999</v>
      </c>
      <c r="L999">
        <v>0.53</v>
      </c>
      <c r="M999">
        <v>0.28360000000000002</v>
      </c>
      <c r="N999">
        <v>0</v>
      </c>
      <c r="O999">
        <v>3</v>
      </c>
      <c r="P999">
        <v>3</v>
      </c>
      <c r="Q999" t="str">
        <f t="shared" si="63"/>
        <v>Weekday</v>
      </c>
      <c r="R999" t="str">
        <f t="shared" si="60"/>
        <v>Clear</v>
      </c>
      <c r="S999">
        <f t="shared" si="61"/>
        <v>-0.25435329828790432</v>
      </c>
      <c r="T999">
        <f t="shared" si="62"/>
        <v>0.10399668008577614</v>
      </c>
      <c r="U999" s="6">
        <v>0.32</v>
      </c>
      <c r="V999">
        <f t="array" ref="V999">CORREL(IFERROR(VALUE(TRIM(CLEAN($U$2:$U$1001))),0), IFERROR(VALUE(TRIM(CLEAN($P$2:$P$1001))),0))</f>
        <v>0.23135628536430677</v>
      </c>
    </row>
    <row r="1000" spans="1:22" x14ac:dyDescent="0.25">
      <c r="A1000">
        <v>999</v>
      </c>
      <c r="B1000" s="1">
        <v>40588</v>
      </c>
      <c r="C1000">
        <v>1</v>
      </c>
      <c r="D1000">
        <v>0</v>
      </c>
      <c r="E1000">
        <v>2</v>
      </c>
      <c r="F1000">
        <v>6</v>
      </c>
      <c r="G1000" t="b">
        <v>0</v>
      </c>
      <c r="H1000">
        <v>1</v>
      </c>
      <c r="I1000">
        <v>1</v>
      </c>
      <c r="J1000">
        <v>0.34</v>
      </c>
      <c r="K1000">
        <v>0.30299999999999999</v>
      </c>
      <c r="L1000">
        <v>0.46</v>
      </c>
      <c r="M1000">
        <v>0.29849999999999999</v>
      </c>
      <c r="N1000">
        <v>1</v>
      </c>
      <c r="O1000">
        <v>25</v>
      </c>
      <c r="P1000">
        <v>26</v>
      </c>
      <c r="Q1000" t="str">
        <f t="shared" si="63"/>
        <v>Weekday</v>
      </c>
      <c r="R1000" t="str">
        <f t="shared" si="60"/>
        <v>Clear</v>
      </c>
      <c r="S1000">
        <f t="shared" si="61"/>
        <v>-0.25435329828790432</v>
      </c>
      <c r="T1000">
        <f t="shared" si="62"/>
        <v>0.10399668008577614</v>
      </c>
      <c r="U1000" s="6">
        <v>0.34</v>
      </c>
      <c r="V1000">
        <f t="array" ref="V1000">CORREL(IFERROR(VALUE(TRIM(CLEAN($U$2:$U$1001))),0), IFERROR(VALUE(TRIM(CLEAN($P$2:$P$1001))),0))</f>
        <v>0.23135628536430677</v>
      </c>
    </row>
    <row r="1001" spans="1:22" x14ac:dyDescent="0.25">
      <c r="A1001">
        <v>1000</v>
      </c>
      <c r="B1001" s="1">
        <v>40588</v>
      </c>
      <c r="C1001">
        <v>1</v>
      </c>
      <c r="D1001">
        <v>0</v>
      </c>
      <c r="E1001">
        <v>2</v>
      </c>
      <c r="F1001">
        <v>7</v>
      </c>
      <c r="G1001" t="b">
        <v>0</v>
      </c>
      <c r="H1001">
        <v>1</v>
      </c>
      <c r="I1001">
        <v>1</v>
      </c>
      <c r="J1001">
        <v>0.34</v>
      </c>
      <c r="K1001">
        <v>0.30299999999999999</v>
      </c>
      <c r="L1001">
        <v>0.46</v>
      </c>
      <c r="M1001">
        <v>0.29849999999999999</v>
      </c>
      <c r="N1001">
        <v>2</v>
      </c>
      <c r="O1001">
        <v>96</v>
      </c>
      <c r="P1001">
        <v>98</v>
      </c>
      <c r="Q1001" t="str">
        <f t="shared" si="63"/>
        <v>Weekday</v>
      </c>
      <c r="R1001" t="str">
        <f t="shared" si="60"/>
        <v>Clear</v>
      </c>
      <c r="S1001">
        <f t="shared" si="61"/>
        <v>-0.25435329828790432</v>
      </c>
      <c r="T1001">
        <f t="shared" si="62"/>
        <v>0.10399668008577614</v>
      </c>
      <c r="U1001" s="6">
        <v>0.34</v>
      </c>
      <c r="V1001">
        <f t="array" ref="V1001">CORREL(IFERROR(VALUE(TRIM(CLEAN($U$2:$U$1001))),0), IFERROR(VALUE(TRIM(CLEAN($P$2:$P$1001))),0))</f>
        <v>0.23135628536430677</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5"/>
  <sheetViews>
    <sheetView topLeftCell="A2" zoomScaleNormal="100" workbookViewId="0">
      <selection activeCell="F21" sqref="F21"/>
    </sheetView>
  </sheetViews>
  <sheetFormatPr defaultRowHeight="15" x14ac:dyDescent="0.25"/>
  <cols>
    <col min="1" max="1" width="13.140625" bestFit="1" customWidth="1"/>
    <col min="2" max="2" width="10.28515625" bestFit="1" customWidth="1"/>
  </cols>
  <sheetData>
    <row r="3" spans="1:2" x14ac:dyDescent="0.25">
      <c r="A3" s="2" t="s">
        <v>21</v>
      </c>
      <c r="B3" t="s">
        <v>23</v>
      </c>
    </row>
    <row r="4" spans="1:2" x14ac:dyDescent="0.25">
      <c r="A4" s="3">
        <v>1</v>
      </c>
      <c r="B4">
        <v>20115</v>
      </c>
    </row>
    <row r="5" spans="1:2" x14ac:dyDescent="0.25">
      <c r="A5" s="3" t="s">
        <v>22</v>
      </c>
      <c r="B5">
        <v>20115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28"/>
  <sheetViews>
    <sheetView topLeftCell="A5" zoomScaleNormal="100" workbookViewId="0">
      <selection activeCell="V25" sqref="V25"/>
    </sheetView>
  </sheetViews>
  <sheetFormatPr defaultRowHeight="15" x14ac:dyDescent="0.25"/>
  <cols>
    <col min="1" max="1" width="13.140625" bestFit="1" customWidth="1"/>
    <col min="2" max="2" width="13.85546875" bestFit="1" customWidth="1"/>
  </cols>
  <sheetData>
    <row r="3" spans="1:2" x14ac:dyDescent="0.25">
      <c r="A3" s="2" t="s">
        <v>21</v>
      </c>
      <c r="B3" t="s">
        <v>24</v>
      </c>
    </row>
    <row r="4" spans="1:2" x14ac:dyDescent="0.25">
      <c r="A4" s="3">
        <v>0</v>
      </c>
      <c r="B4">
        <v>18.928571428571427</v>
      </c>
    </row>
    <row r="5" spans="1:2" x14ac:dyDescent="0.25">
      <c r="A5" s="3">
        <v>1</v>
      </c>
      <c r="B5">
        <v>11.785714285714286</v>
      </c>
    </row>
    <row r="6" spans="1:2" x14ac:dyDescent="0.25">
      <c r="A6" s="3">
        <v>2</v>
      </c>
      <c r="B6">
        <v>6.9285714285714288</v>
      </c>
    </row>
    <row r="7" spans="1:2" x14ac:dyDescent="0.25">
      <c r="A7" s="3">
        <v>3</v>
      </c>
      <c r="B7">
        <v>4.75</v>
      </c>
    </row>
    <row r="8" spans="1:2" x14ac:dyDescent="0.25">
      <c r="A8" s="3">
        <v>4</v>
      </c>
      <c r="B8">
        <v>2.7777777777777777</v>
      </c>
    </row>
    <row r="9" spans="1:2" x14ac:dyDescent="0.25">
      <c r="A9" s="3">
        <v>5</v>
      </c>
      <c r="B9">
        <v>4.4615384615384617</v>
      </c>
    </row>
    <row r="10" spans="1:2" x14ac:dyDescent="0.25">
      <c r="A10" s="3">
        <v>6</v>
      </c>
      <c r="B10">
        <v>21.928571428571427</v>
      </c>
    </row>
    <row r="11" spans="1:2" x14ac:dyDescent="0.25">
      <c r="A11" s="3">
        <v>7</v>
      </c>
      <c r="B11">
        <v>61.857142857142854</v>
      </c>
    </row>
    <row r="12" spans="1:2" x14ac:dyDescent="0.25">
      <c r="A12" s="3">
        <v>8</v>
      </c>
      <c r="B12">
        <v>141.46153846153845</v>
      </c>
    </row>
    <row r="13" spans="1:2" x14ac:dyDescent="0.25">
      <c r="A13" s="3">
        <v>9</v>
      </c>
      <c r="B13">
        <v>99.384615384615387</v>
      </c>
    </row>
    <row r="14" spans="1:2" x14ac:dyDescent="0.25">
      <c r="A14" s="3">
        <v>10</v>
      </c>
      <c r="B14">
        <v>58.769230769230766</v>
      </c>
    </row>
    <row r="15" spans="1:2" x14ac:dyDescent="0.25">
      <c r="A15" s="3">
        <v>11</v>
      </c>
      <c r="B15">
        <v>66.769230769230774</v>
      </c>
    </row>
    <row r="16" spans="1:2" x14ac:dyDescent="0.25">
      <c r="A16" s="3">
        <v>12</v>
      </c>
      <c r="B16">
        <v>84.92307692307692</v>
      </c>
    </row>
    <row r="17" spans="1:2" x14ac:dyDescent="0.25">
      <c r="A17" s="3">
        <v>13</v>
      </c>
      <c r="B17">
        <v>89.07692307692308</v>
      </c>
    </row>
    <row r="18" spans="1:2" x14ac:dyDescent="0.25">
      <c r="A18" s="3">
        <v>14</v>
      </c>
      <c r="B18">
        <v>82</v>
      </c>
    </row>
    <row r="19" spans="1:2" x14ac:dyDescent="0.25">
      <c r="A19" s="3">
        <v>15</v>
      </c>
      <c r="B19">
        <v>88.07692307692308</v>
      </c>
    </row>
    <row r="20" spans="1:2" x14ac:dyDescent="0.25">
      <c r="A20" s="3">
        <v>16</v>
      </c>
      <c r="B20">
        <v>102.46153846153847</v>
      </c>
    </row>
    <row r="21" spans="1:2" x14ac:dyDescent="0.25">
      <c r="A21" s="3">
        <v>17</v>
      </c>
      <c r="B21">
        <v>164.69230769230768</v>
      </c>
    </row>
    <row r="22" spans="1:2" x14ac:dyDescent="0.25">
      <c r="A22" s="3">
        <v>18</v>
      </c>
      <c r="B22">
        <v>138.69230769230768</v>
      </c>
    </row>
    <row r="23" spans="1:2" x14ac:dyDescent="0.25">
      <c r="A23" s="3">
        <v>19</v>
      </c>
      <c r="B23">
        <v>87.307692307692307</v>
      </c>
    </row>
    <row r="24" spans="1:2" x14ac:dyDescent="0.25">
      <c r="A24" s="3">
        <v>20</v>
      </c>
      <c r="B24">
        <v>69.15384615384616</v>
      </c>
    </row>
    <row r="25" spans="1:2" x14ac:dyDescent="0.25">
      <c r="A25" s="3">
        <v>21</v>
      </c>
      <c r="B25">
        <v>57.153846153846153</v>
      </c>
    </row>
    <row r="26" spans="1:2" x14ac:dyDescent="0.25">
      <c r="A26" s="3">
        <v>22</v>
      </c>
      <c r="B26">
        <v>42.846153846153847</v>
      </c>
    </row>
    <row r="27" spans="1:2" x14ac:dyDescent="0.25">
      <c r="A27" s="3">
        <v>23</v>
      </c>
      <c r="B27">
        <v>33</v>
      </c>
    </row>
    <row r="28" spans="1:2" x14ac:dyDescent="0.25">
      <c r="A28" s="3" t="s">
        <v>22</v>
      </c>
      <c r="B28">
        <v>64.47115384615384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7"/>
  <sheetViews>
    <sheetView zoomScaleNormal="100" workbookViewId="0">
      <selection activeCell="S28" sqref="S28"/>
    </sheetView>
  </sheetViews>
  <sheetFormatPr defaultRowHeight="15" x14ac:dyDescent="0.25"/>
  <cols>
    <col min="1" max="1" width="15.42578125" bestFit="1" customWidth="1"/>
    <col min="2" max="2" width="10.28515625" bestFit="1" customWidth="1"/>
  </cols>
  <sheetData>
    <row r="3" spans="1:2" x14ac:dyDescent="0.25">
      <c r="A3" s="2" t="s">
        <v>21</v>
      </c>
      <c r="B3" t="s">
        <v>23</v>
      </c>
    </row>
    <row r="4" spans="1:2" x14ac:dyDescent="0.25">
      <c r="A4" s="3" t="s">
        <v>25</v>
      </c>
      <c r="B4">
        <v>13287</v>
      </c>
    </row>
    <row r="5" spans="1:2" x14ac:dyDescent="0.25">
      <c r="A5" s="3" t="s">
        <v>26</v>
      </c>
      <c r="B5">
        <v>1192</v>
      </c>
    </row>
    <row r="6" spans="1:2" x14ac:dyDescent="0.25">
      <c r="A6" s="3" t="s">
        <v>27</v>
      </c>
      <c r="B6">
        <v>5636</v>
      </c>
    </row>
    <row r="7" spans="1:2" x14ac:dyDescent="0.25">
      <c r="A7" s="3" t="s">
        <v>22</v>
      </c>
      <c r="B7">
        <v>20115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6"/>
  <sheetViews>
    <sheetView topLeftCell="A7" workbookViewId="0">
      <selection activeCell="G22" sqref="G22"/>
    </sheetView>
  </sheetViews>
  <sheetFormatPr defaultRowHeight="15" x14ac:dyDescent="0.25"/>
  <cols>
    <col min="1" max="1" width="13.140625" bestFit="1" customWidth="1"/>
    <col min="2" max="2" width="13.85546875" bestFit="1" customWidth="1"/>
  </cols>
  <sheetData>
    <row r="3" spans="1:2" x14ac:dyDescent="0.25">
      <c r="A3" s="2" t="s">
        <v>21</v>
      </c>
      <c r="B3" t="s">
        <v>24</v>
      </c>
    </row>
    <row r="4" spans="1:2" x14ac:dyDescent="0.25">
      <c r="A4" s="3" t="s">
        <v>28</v>
      </c>
      <c r="B4">
        <v>64.504464285714292</v>
      </c>
    </row>
    <row r="5" spans="1:2" x14ac:dyDescent="0.25">
      <c r="A5" s="3" t="s">
        <v>29</v>
      </c>
      <c r="B5">
        <v>64.38636363636364</v>
      </c>
    </row>
    <row r="6" spans="1:2" x14ac:dyDescent="0.25">
      <c r="A6" s="3" t="s">
        <v>22</v>
      </c>
      <c r="B6">
        <v>64.47115384615384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5"/>
  <sheetViews>
    <sheetView topLeftCell="A7" workbookViewId="0">
      <selection activeCell="C3" sqref="C3"/>
    </sheetView>
  </sheetViews>
  <sheetFormatPr defaultRowHeight="15" x14ac:dyDescent="0.25"/>
  <cols>
    <col min="1" max="2" width="13.140625" bestFit="1" customWidth="1"/>
    <col min="3" max="3" width="16.85546875" bestFit="1" customWidth="1"/>
  </cols>
  <sheetData>
    <row r="3" spans="1:3" x14ac:dyDescent="0.25">
      <c r="A3" s="2" t="s">
        <v>21</v>
      </c>
      <c r="B3" t="s">
        <v>30</v>
      </c>
      <c r="C3" t="s">
        <v>31</v>
      </c>
    </row>
    <row r="4" spans="1:3" x14ac:dyDescent="0.25">
      <c r="A4" s="3">
        <v>2</v>
      </c>
      <c r="B4">
        <v>1848</v>
      </c>
      <c r="C4">
        <v>18267</v>
      </c>
    </row>
    <row r="5" spans="1:3" x14ac:dyDescent="0.25">
      <c r="A5" s="3" t="s">
        <v>22</v>
      </c>
      <c r="B5">
        <v>1848</v>
      </c>
      <c r="C5">
        <v>18267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23"/>
  <sheetViews>
    <sheetView topLeftCell="A13" workbookViewId="0">
      <selection activeCell="M36" sqref="M36"/>
    </sheetView>
  </sheetViews>
  <sheetFormatPr defaultRowHeight="15" x14ac:dyDescent="0.25"/>
  <cols>
    <col min="1" max="1" width="13.140625" bestFit="1" customWidth="1"/>
    <col min="2" max="2" width="10.28515625" bestFit="1" customWidth="1"/>
    <col min="3" max="3" width="16.85546875" bestFit="1" customWidth="1"/>
  </cols>
  <sheetData>
    <row r="3" spans="1:2" x14ac:dyDescent="0.25">
      <c r="A3" s="2" t="s">
        <v>21</v>
      </c>
      <c r="B3" t="s">
        <v>23</v>
      </c>
    </row>
    <row r="4" spans="1:2" x14ac:dyDescent="0.25">
      <c r="A4" s="3">
        <v>0.06</v>
      </c>
      <c r="B4">
        <v>151</v>
      </c>
    </row>
    <row r="5" spans="1:2" x14ac:dyDescent="0.25">
      <c r="A5" s="3">
        <v>0.08</v>
      </c>
      <c r="B5">
        <v>81</v>
      </c>
    </row>
    <row r="6" spans="1:2" x14ac:dyDescent="0.25">
      <c r="A6" s="3">
        <v>0.1</v>
      </c>
      <c r="B6">
        <v>764</v>
      </c>
    </row>
    <row r="7" spans="1:2" x14ac:dyDescent="0.25">
      <c r="A7" s="3">
        <v>0.12</v>
      </c>
      <c r="B7">
        <v>606</v>
      </c>
    </row>
    <row r="8" spans="1:2" x14ac:dyDescent="0.25">
      <c r="A8" s="3">
        <v>0.14000000000000001</v>
      </c>
      <c r="B8">
        <v>1491</v>
      </c>
    </row>
    <row r="9" spans="1:2" x14ac:dyDescent="0.25">
      <c r="A9" s="3">
        <v>0.16</v>
      </c>
      <c r="B9">
        <v>1473</v>
      </c>
    </row>
    <row r="10" spans="1:2" x14ac:dyDescent="0.25">
      <c r="A10" s="3">
        <v>0.18</v>
      </c>
      <c r="B10">
        <v>970</v>
      </c>
    </row>
    <row r="11" spans="1:2" x14ac:dyDescent="0.25">
      <c r="A11" s="3">
        <v>0.2</v>
      </c>
      <c r="B11">
        <v>1903</v>
      </c>
    </row>
    <row r="12" spans="1:2" x14ac:dyDescent="0.25">
      <c r="A12" s="3">
        <v>0.22</v>
      </c>
      <c r="B12">
        <v>2170</v>
      </c>
    </row>
    <row r="13" spans="1:2" x14ac:dyDescent="0.25">
      <c r="A13" s="3">
        <v>0.24</v>
      </c>
      <c r="B13">
        <v>2506</v>
      </c>
    </row>
    <row r="14" spans="1:2" x14ac:dyDescent="0.25">
      <c r="A14" s="3">
        <v>0.26</v>
      </c>
      <c r="B14">
        <v>894</v>
      </c>
    </row>
    <row r="15" spans="1:2" x14ac:dyDescent="0.25">
      <c r="A15" s="3">
        <v>0.28000000000000003</v>
      </c>
      <c r="B15">
        <v>862</v>
      </c>
    </row>
    <row r="16" spans="1:2" x14ac:dyDescent="0.25">
      <c r="A16" s="3">
        <v>0.3</v>
      </c>
      <c r="B16">
        <v>1301</v>
      </c>
    </row>
    <row r="17" spans="1:2" x14ac:dyDescent="0.25">
      <c r="A17" s="3">
        <v>0.32</v>
      </c>
      <c r="B17">
        <v>1021</v>
      </c>
    </row>
    <row r="18" spans="1:2" x14ac:dyDescent="0.25">
      <c r="A18" s="3">
        <v>0.34</v>
      </c>
      <c r="B18">
        <v>1974</v>
      </c>
    </row>
    <row r="19" spans="1:2" x14ac:dyDescent="0.25">
      <c r="A19" s="3">
        <v>0.36</v>
      </c>
      <c r="B19">
        <v>685</v>
      </c>
    </row>
    <row r="20" spans="1:2" x14ac:dyDescent="0.25">
      <c r="A20" s="3">
        <v>0.38</v>
      </c>
      <c r="B20">
        <v>361</v>
      </c>
    </row>
    <row r="21" spans="1:2" x14ac:dyDescent="0.25">
      <c r="A21" s="3">
        <v>0.4</v>
      </c>
      <c r="B21">
        <v>643</v>
      </c>
    </row>
    <row r="22" spans="1:2" x14ac:dyDescent="0.25">
      <c r="A22" s="3">
        <v>0.42</v>
      </c>
      <c r="B22">
        <v>259</v>
      </c>
    </row>
    <row r="23" spans="1:2" x14ac:dyDescent="0.25">
      <c r="A23" s="3" t="s">
        <v>22</v>
      </c>
      <c r="B23">
        <v>20115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workbookViewId="0">
      <selection activeCell="J29" sqref="J29"/>
    </sheetView>
  </sheetViews>
  <sheetFormatPr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P29"/>
  <sheetViews>
    <sheetView showGridLines="0" workbookViewId="0">
      <selection activeCell="D39" sqref="D39"/>
    </sheetView>
  </sheetViews>
  <sheetFormatPr defaultRowHeight="48" customHeight="1" x14ac:dyDescent="0.25"/>
  <cols>
    <col min="1" max="8" width="27.28515625" customWidth="1"/>
    <col min="9" max="10" width="30.28515625" customWidth="1"/>
    <col min="11" max="16" width="20.7109375" customWidth="1"/>
    <col min="17" max="18" width="18.7109375" customWidth="1"/>
  </cols>
  <sheetData>
    <row r="2" spans="1:16" s="5" customFormat="1" ht="48" customHeight="1" x14ac:dyDescent="0.25">
      <c r="A2" s="10" t="s">
        <v>32</v>
      </c>
      <c r="B2" s="10"/>
      <c r="C2" s="10"/>
      <c r="D2" s="10" t="s">
        <v>33</v>
      </c>
      <c r="E2" s="10"/>
      <c r="F2" s="10"/>
      <c r="G2" s="10" t="s">
        <v>34</v>
      </c>
      <c r="H2" s="10"/>
      <c r="I2" s="10"/>
      <c r="J2" s="10"/>
      <c r="K2" s="4"/>
      <c r="L2" s="4"/>
      <c r="M2" s="4"/>
      <c r="N2" s="4"/>
      <c r="O2" s="4"/>
      <c r="P2" s="4"/>
    </row>
    <row r="3" spans="1:16" ht="48" customHeight="1" x14ac:dyDescent="0.25">
      <c r="A3" s="11">
        <v>58304</v>
      </c>
      <c r="B3" s="11"/>
      <c r="C3" s="11"/>
      <c r="D3" s="11">
        <v>58.3</v>
      </c>
      <c r="E3" s="11"/>
      <c r="F3" s="11"/>
      <c r="G3" s="11">
        <v>449</v>
      </c>
      <c r="H3" s="11"/>
      <c r="I3" s="11"/>
      <c r="J3" s="11"/>
    </row>
    <row r="4" spans="1:16" ht="14.25" customHeight="1" x14ac:dyDescent="0.25"/>
    <row r="5" spans="1:16" ht="42" customHeight="1" x14ac:dyDescent="0.25"/>
    <row r="6" spans="1:16" ht="42" customHeight="1" x14ac:dyDescent="0.25"/>
    <row r="7" spans="1:16" ht="42" customHeight="1" x14ac:dyDescent="0.25"/>
    <row r="8" spans="1:16" ht="42" customHeight="1" x14ac:dyDescent="0.25"/>
    <row r="9" spans="1:16" ht="42" customHeight="1" x14ac:dyDescent="0.25"/>
    <row r="10" spans="1:16" ht="42" customHeight="1" x14ac:dyDescent="0.25"/>
    <row r="11" spans="1:16" ht="42" customHeight="1" x14ac:dyDescent="0.25"/>
    <row r="12" spans="1:16" ht="12" customHeight="1" x14ac:dyDescent="0.25"/>
    <row r="13" spans="1:16" ht="12" customHeight="1" x14ac:dyDescent="0.25"/>
    <row r="14" spans="1:16" ht="42" customHeight="1" x14ac:dyDescent="0.25"/>
    <row r="15" spans="1:16" ht="42" customHeight="1" x14ac:dyDescent="0.25"/>
    <row r="16" spans="1:16" ht="42" customHeight="1" x14ac:dyDescent="0.25"/>
    <row r="17" ht="42" customHeight="1" x14ac:dyDescent="0.25"/>
    <row r="18" ht="42" customHeight="1" x14ac:dyDescent="0.25"/>
    <row r="19" ht="42" customHeight="1" x14ac:dyDescent="0.25"/>
    <row r="20" ht="42" customHeight="1" x14ac:dyDescent="0.25"/>
    <row r="21" ht="12" customHeight="1" x14ac:dyDescent="0.25"/>
    <row r="22" ht="12" customHeight="1" x14ac:dyDescent="0.25"/>
    <row r="23" ht="42" customHeight="1" x14ac:dyDescent="0.25"/>
    <row r="24" ht="42" customHeight="1" x14ac:dyDescent="0.25"/>
    <row r="25" ht="42" customHeight="1" x14ac:dyDescent="0.25"/>
    <row r="26" ht="42" customHeight="1" x14ac:dyDescent="0.25"/>
    <row r="27" ht="42" customHeight="1" x14ac:dyDescent="0.25"/>
    <row r="28" ht="42" customHeight="1" x14ac:dyDescent="0.25"/>
    <row r="29" ht="42" customHeight="1" x14ac:dyDescent="0.25"/>
  </sheetData>
  <mergeCells count="6">
    <mergeCell ref="A2:C2"/>
    <mergeCell ref="D2:F2"/>
    <mergeCell ref="G2:J2"/>
    <mergeCell ref="A3:C3"/>
    <mergeCell ref="D3:F3"/>
    <mergeCell ref="G3: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dataset 1</vt:lpstr>
      <vt:lpstr>dataset 2</vt:lpstr>
      <vt:lpstr>dataset 1 or 2 merge</vt:lpstr>
      <vt:lpstr>final merge data</vt:lpstr>
      <vt:lpstr>SEASON CHART BAR</vt:lpstr>
      <vt:lpstr>Hourly Trend (Line Chart)</vt:lpstr>
      <vt:lpstr>WEATHER IMPECT PIE CHART</vt:lpstr>
      <vt:lpstr>WEEKDAY BY WEEKEND COLOUMN CHAT</vt:lpstr>
      <vt:lpstr>TYPE OF MONTH BY CSTACKED CHARD</vt:lpstr>
      <vt:lpstr>tem bar chart</vt:lpstr>
      <vt:lpstr>CORRELATION CHART</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MPB10</dc:creator>
  <cp:lastModifiedBy>SKYLIGHT INNOVATIONS</cp:lastModifiedBy>
  <dcterms:created xsi:type="dcterms:W3CDTF">2026-03-16T11:00:58Z</dcterms:created>
  <dcterms:modified xsi:type="dcterms:W3CDTF">2026-03-24T10:06:36Z</dcterms:modified>
</cp:coreProperties>
</file>